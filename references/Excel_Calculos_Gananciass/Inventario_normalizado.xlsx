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alumnoudg-my.sharepoint.com/personal/fernando_nunez0744_alumno_udg_mx/Documents/"/>
    </mc:Choice>
  </mc:AlternateContent>
  <xr:revisionPtr revIDLastSave="1499" documentId="8_{ED4FC9E5-6ECB-1B48-9DD5-CDC3F5FD229B}" xr6:coauthVersionLast="47" xr6:coauthVersionMax="47" xr10:uidLastSave="{CFB63A4D-6E98-1D4A-9862-8BDD32FA5805}"/>
  <bookViews>
    <workbookView xWindow="55840" yWindow="600" windowWidth="25600" windowHeight="27020" xr2:uid="{00000000-000D-0000-FFFF-FFFF00000000}"/>
  </bookViews>
  <sheets>
    <sheet name="Resumen" sheetId="1" r:id="rId1"/>
    <sheet name="Productos" sheetId="2" r:id="rId2"/>
    <sheet name="Ventas" sheetId="3" r:id="rId3"/>
    <sheet name="Productos Vendidos" sheetId="7" r:id="rId4"/>
    <sheet name="Reparto" sheetId="4" r:id="rId5"/>
    <sheet name="Cómo usar" sheetId="5" r:id="rId6"/>
    <sheet name="Cortes Semanales" sheetId="6" r:id="rId7"/>
  </sheets>
  <definedNames>
    <definedName name="_xlnm._FilterDatabase" localSheetId="1" hidden="1">Productos!$A$1:$J$1000</definedName>
    <definedName name="_xlnm._FilterDatabase" localSheetId="4" hidden="1">Reparto!$A$1:$F$197</definedName>
    <definedName name="_xlnm._FilterDatabase" localSheetId="2" hidden="1">Ventas!$A$1:$I$501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 a="1"/>
  <c r="A3" i="7" s="1"/>
  <c r="A70" i="2"/>
  <c r="A69" i="2"/>
  <c r="I70" i="2"/>
  <c r="I62" i="2"/>
  <c r="I12" i="2"/>
  <c r="F2" i="2"/>
  <c r="G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G46" i="2" s="1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A69" i="3" l="1"/>
  <c r="B69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2" i="3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J12" i="2"/>
  <c r="I13" i="2"/>
  <c r="J13" i="2" s="1"/>
  <c r="I14" i="2"/>
  <c r="J14" i="2" s="1"/>
  <c r="I15" i="2"/>
  <c r="J15" i="2" s="1"/>
  <c r="I16" i="2"/>
  <c r="J16" i="2" s="1"/>
  <c r="J17" i="2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J41" i="2"/>
  <c r="I42" i="2"/>
  <c r="J42" i="2" s="1"/>
  <c r="I43" i="2"/>
  <c r="J43" i="2" s="1"/>
  <c r="I44" i="2"/>
  <c r="J44" i="2" s="1"/>
  <c r="I45" i="2"/>
  <c r="J45" i="2" s="1"/>
  <c r="J46" i="2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J62" i="2"/>
  <c r="I63" i="2"/>
  <c r="J63" i="2" s="1"/>
  <c r="J64" i="2"/>
  <c r="I65" i="2"/>
  <c r="J65" i="2" s="1"/>
  <c r="I66" i="2"/>
  <c r="J66" i="2" s="1"/>
  <c r="I67" i="2"/>
  <c r="J67" i="2" s="1"/>
  <c r="I68" i="2"/>
  <c r="J68" i="2" s="1"/>
  <c r="I69" i="2"/>
  <c r="J69" i="2" s="1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2" i="2"/>
  <c r="J2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A3" i="2"/>
  <c r="A4" i="2"/>
  <c r="A5" i="2"/>
  <c r="A6" i="2"/>
  <c r="A7" i="2"/>
  <c r="A8" i="2"/>
  <c r="A9" i="2"/>
  <c r="A10" i="2"/>
  <c r="A11" i="2"/>
  <c r="A11" i="4" s="1"/>
  <c r="A12" i="2"/>
  <c r="C12" i="3" s="1"/>
  <c r="E12" i="3" s="1"/>
  <c r="A13" i="2"/>
  <c r="A14" i="2"/>
  <c r="A14" i="3" s="1"/>
  <c r="A15" i="2"/>
  <c r="A16" i="2"/>
  <c r="A17" i="2"/>
  <c r="A18" i="2"/>
  <c r="A19" i="2"/>
  <c r="A20" i="2"/>
  <c r="A21" i="2"/>
  <c r="A21" i="3" s="1"/>
  <c r="A22" i="2"/>
  <c r="A23" i="2"/>
  <c r="A23" i="3" s="1"/>
  <c r="A24" i="2"/>
  <c r="A25" i="2"/>
  <c r="A26" i="2"/>
  <c r="A27" i="2"/>
  <c r="A28" i="2"/>
  <c r="A29" i="2"/>
  <c r="A30" i="2"/>
  <c r="A31" i="2"/>
  <c r="A31" i="4" s="1"/>
  <c r="A32" i="2"/>
  <c r="A33" i="2"/>
  <c r="A33" i="3" s="1"/>
  <c r="A34" i="2"/>
  <c r="A35" i="2"/>
  <c r="A36" i="2"/>
  <c r="A37" i="2"/>
  <c r="A38" i="2"/>
  <c r="A39" i="2"/>
  <c r="A40" i="2"/>
  <c r="A41" i="2"/>
  <c r="A41" i="4" s="1"/>
  <c r="A42" i="2"/>
  <c r="A43" i="2"/>
  <c r="A43" i="3" s="1"/>
  <c r="A44" i="2"/>
  <c r="A45" i="2"/>
  <c r="A46" i="2"/>
  <c r="A47" i="2"/>
  <c r="A48" i="2"/>
  <c r="A49" i="2"/>
  <c r="A50" i="2"/>
  <c r="A51" i="2"/>
  <c r="A51" i="3" s="1"/>
  <c r="A52" i="2"/>
  <c r="A53" i="2"/>
  <c r="A53" i="3" s="1"/>
  <c r="A54" i="2"/>
  <c r="A55" i="2"/>
  <c r="A56" i="2"/>
  <c r="A57" i="2"/>
  <c r="A58" i="2"/>
  <c r="A59" i="2"/>
  <c r="A60" i="2"/>
  <c r="A61" i="2"/>
  <c r="A62" i="2"/>
  <c r="A63" i="2"/>
  <c r="A63" i="4" s="1"/>
  <c r="A64" i="2"/>
  <c r="C64" i="3" s="1"/>
  <c r="A65" i="2"/>
  <c r="A66" i="2"/>
  <c r="A67" i="2"/>
  <c r="A68" i="2"/>
  <c r="A71" i="2"/>
  <c r="A72" i="2"/>
  <c r="A73" i="2"/>
  <c r="A74" i="2"/>
  <c r="A75" i="2"/>
  <c r="A76" i="2"/>
  <c r="A77" i="2"/>
  <c r="A78" i="2"/>
  <c r="A79" i="2"/>
  <c r="A80" i="2"/>
  <c r="A81" i="2"/>
  <c r="C81" i="3" s="1"/>
  <c r="E81" i="3" s="1"/>
  <c r="A82" i="2"/>
  <c r="A83" i="2"/>
  <c r="A84" i="2"/>
  <c r="A85" i="2"/>
  <c r="A86" i="2"/>
  <c r="A87" i="2"/>
  <c r="A87" i="3" s="1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C101" i="3" s="1"/>
  <c r="E101" i="3" s="1"/>
  <c r="A102" i="2"/>
  <c r="C102" i="3" s="1"/>
  <c r="E102" i="3" s="1"/>
  <c r="A103" i="2"/>
  <c r="A103" i="4" s="1"/>
  <c r="A104" i="2"/>
  <c r="A105" i="2"/>
  <c r="A106" i="2"/>
  <c r="A107" i="2"/>
  <c r="A107" i="3" s="1"/>
  <c r="A108" i="2"/>
  <c r="A109" i="2"/>
  <c r="A110" i="2"/>
  <c r="A111" i="2"/>
  <c r="A111" i="3" s="1"/>
  <c r="A112" i="2"/>
  <c r="A113" i="2"/>
  <c r="A114" i="2"/>
  <c r="A115" i="2"/>
  <c r="A116" i="2"/>
  <c r="A117" i="2"/>
  <c r="A118" i="2"/>
  <c r="A119" i="2"/>
  <c r="A120" i="2"/>
  <c r="A121" i="2"/>
  <c r="A121" i="3" s="1"/>
  <c r="A122" i="2"/>
  <c r="A123" i="2"/>
  <c r="A123" i="3" s="1"/>
  <c r="A124" i="2"/>
  <c r="A125" i="2"/>
  <c r="A126" i="2"/>
  <c r="A127" i="2"/>
  <c r="A128" i="2"/>
  <c r="A129" i="2"/>
  <c r="A130" i="2"/>
  <c r="A131" i="2"/>
  <c r="A131" i="3" s="1"/>
  <c r="A132" i="2"/>
  <c r="A133" i="2"/>
  <c r="A134" i="2"/>
  <c r="A135" i="2"/>
  <c r="A136" i="2"/>
  <c r="A137" i="2"/>
  <c r="A138" i="2"/>
  <c r="A139" i="2"/>
  <c r="A140" i="2"/>
  <c r="A141" i="2"/>
  <c r="A141" i="3" s="1"/>
  <c r="A142" i="2"/>
  <c r="A143" i="2"/>
  <c r="A143" i="3" s="1"/>
  <c r="A144" i="2"/>
  <c r="A144" i="3" s="1"/>
  <c r="A145" i="2"/>
  <c r="A146" i="2"/>
  <c r="A147" i="2"/>
  <c r="A148" i="2"/>
  <c r="A149" i="2"/>
  <c r="A150" i="2"/>
  <c r="A151" i="2"/>
  <c r="A151" i="3" s="1"/>
  <c r="A152" i="2"/>
  <c r="C152" i="3" s="1"/>
  <c r="E152" i="3" s="1"/>
  <c r="A153" i="2"/>
  <c r="A154" i="2"/>
  <c r="A155" i="2"/>
  <c r="A156" i="2"/>
  <c r="A157" i="2"/>
  <c r="A158" i="2"/>
  <c r="A159" i="2"/>
  <c r="A160" i="2"/>
  <c r="A161" i="2"/>
  <c r="A162" i="2"/>
  <c r="A163" i="2"/>
  <c r="A163" i="3" s="1"/>
  <c r="A164" i="2"/>
  <c r="A164" i="3" s="1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0" i="3" s="1"/>
  <c r="A181" i="2"/>
  <c r="A182" i="2"/>
  <c r="A183" i="2"/>
  <c r="A184" i="2"/>
  <c r="A185" i="2"/>
  <c r="A186" i="2"/>
  <c r="A187" i="2"/>
  <c r="A188" i="2"/>
  <c r="A189" i="2"/>
  <c r="A190" i="2"/>
  <c r="A191" i="2"/>
  <c r="A191" i="3" s="1"/>
  <c r="A192" i="2"/>
  <c r="C192" i="3" s="1"/>
  <c r="E192" i="3" s="1"/>
  <c r="A193" i="2"/>
  <c r="C193" i="3" s="1"/>
  <c r="E193" i="3" s="1"/>
  <c r="A194" i="2"/>
  <c r="A195" i="2"/>
  <c r="A196" i="2"/>
  <c r="A197" i="2"/>
  <c r="A198" i="2"/>
  <c r="A199" i="2"/>
  <c r="A200" i="2"/>
  <c r="A201" i="2"/>
  <c r="A202" i="2"/>
  <c r="C202" i="3" s="1"/>
  <c r="E202" i="3" s="1"/>
  <c r="A203" i="2"/>
  <c r="A204" i="2"/>
  <c r="A205" i="2"/>
  <c r="A206" i="2"/>
  <c r="A207" i="2"/>
  <c r="A208" i="2"/>
  <c r="A209" i="2"/>
  <c r="A210" i="2"/>
  <c r="A211" i="2"/>
  <c r="A211" i="3" s="1"/>
  <c r="A212" i="2"/>
  <c r="A213" i="2"/>
  <c r="A214" i="2"/>
  <c r="A215" i="2"/>
  <c r="A216" i="2"/>
  <c r="A217" i="2"/>
  <c r="A218" i="2"/>
  <c r="A218" i="3" s="1"/>
  <c r="A219" i="2"/>
  <c r="A219" i="3" s="1"/>
  <c r="A220" i="2"/>
  <c r="A221" i="2"/>
  <c r="A222" i="2"/>
  <c r="A223" i="2"/>
  <c r="A224" i="2"/>
  <c r="A225" i="2"/>
  <c r="A226" i="2"/>
  <c r="A227" i="2"/>
  <c r="A228" i="2"/>
  <c r="A229" i="2"/>
  <c r="A230" i="2"/>
  <c r="A231" i="2"/>
  <c r="A231" i="3" s="1"/>
  <c r="A232" i="2"/>
  <c r="A233" i="2"/>
  <c r="A233" i="3" s="1"/>
  <c r="A234" i="2"/>
  <c r="A234" i="3" s="1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1" i="4" s="1"/>
  <c r="A252" i="2"/>
  <c r="A253" i="2"/>
  <c r="A253" i="3" s="1"/>
  <c r="A254" i="2"/>
  <c r="A255" i="2"/>
  <c r="A255" i="3" s="1"/>
  <c r="A256" i="2"/>
  <c r="A257" i="2"/>
  <c r="A258" i="2"/>
  <c r="A259" i="2"/>
  <c r="A260" i="2"/>
  <c r="A261" i="2"/>
  <c r="A262" i="2"/>
  <c r="A263" i="2"/>
  <c r="A263" i="4" s="1"/>
  <c r="A264" i="2"/>
  <c r="A265" i="2"/>
  <c r="A266" i="2"/>
  <c r="A267" i="2"/>
  <c r="A268" i="2"/>
  <c r="A269" i="2"/>
  <c r="A270" i="2"/>
  <c r="A271" i="2"/>
  <c r="C271" i="3" s="1"/>
  <c r="E271" i="3" s="1"/>
  <c r="A272" i="2"/>
  <c r="A273" i="2"/>
  <c r="C273" i="3" s="1"/>
  <c r="E273" i="3" s="1"/>
  <c r="A274" i="2"/>
  <c r="A274" i="3" s="1"/>
  <c r="A275" i="2"/>
  <c r="A275" i="3" s="1"/>
  <c r="A276" i="2"/>
  <c r="A277" i="2"/>
  <c r="A278" i="2"/>
  <c r="A279" i="2"/>
  <c r="A280" i="2"/>
  <c r="A281" i="2"/>
  <c r="A282" i="2"/>
  <c r="A283" i="2"/>
  <c r="C283" i="3" s="1"/>
  <c r="E283" i="3" s="1"/>
  <c r="A284" i="2"/>
  <c r="A285" i="2"/>
  <c r="A286" i="2"/>
  <c r="A287" i="2"/>
  <c r="A288" i="2"/>
  <c r="A289" i="2"/>
  <c r="A289" i="3" s="1"/>
  <c r="A290" i="2"/>
  <c r="A291" i="2"/>
  <c r="A291" i="4" s="1"/>
  <c r="A292" i="2"/>
  <c r="A293" i="2"/>
  <c r="C293" i="3" s="1"/>
  <c r="E293" i="3" s="1"/>
  <c r="A294" i="2"/>
  <c r="A295" i="2"/>
  <c r="A296" i="2"/>
  <c r="A297" i="2"/>
  <c r="A298" i="2"/>
  <c r="A299" i="2"/>
  <c r="A300" i="2"/>
  <c r="A301" i="2"/>
  <c r="A302" i="2"/>
  <c r="A303" i="2"/>
  <c r="A303" i="4" s="1"/>
  <c r="A304" i="2"/>
  <c r="A305" i="2"/>
  <c r="A306" i="2"/>
  <c r="A307" i="2"/>
  <c r="A308" i="2"/>
  <c r="A309" i="2"/>
  <c r="A309" i="3" s="1"/>
  <c r="A310" i="2"/>
  <c r="A310" i="3" s="1"/>
  <c r="A311" i="2"/>
  <c r="A311" i="3" s="1"/>
  <c r="A312" i="2"/>
  <c r="A313" i="2"/>
  <c r="C313" i="3" s="1"/>
  <c r="E313" i="3" s="1"/>
  <c r="A314" i="2"/>
  <c r="A315" i="2"/>
  <c r="A316" i="2"/>
  <c r="A317" i="2"/>
  <c r="A318" i="2"/>
  <c r="A319" i="2"/>
  <c r="A320" i="2"/>
  <c r="A321" i="2"/>
  <c r="A321" i="3" s="1"/>
  <c r="A322" i="2"/>
  <c r="A323" i="2"/>
  <c r="A323" i="3" s="1"/>
  <c r="A324" i="2"/>
  <c r="A325" i="2"/>
  <c r="A326" i="2"/>
  <c r="A327" i="2"/>
  <c r="A328" i="2"/>
  <c r="A329" i="2"/>
  <c r="A330" i="2"/>
  <c r="A331" i="2"/>
  <c r="A331" i="3" s="1"/>
  <c r="A332" i="2"/>
  <c r="A333" i="2"/>
  <c r="A334" i="2"/>
  <c r="A335" i="2"/>
  <c r="A336" i="2"/>
  <c r="A337" i="2"/>
  <c r="A338" i="2"/>
  <c r="A339" i="2"/>
  <c r="A340" i="2"/>
  <c r="A341" i="2"/>
  <c r="A341" i="4" s="1"/>
  <c r="A342" i="2"/>
  <c r="A343" i="2"/>
  <c r="A343" i="3" s="1"/>
  <c r="A344" i="2"/>
  <c r="A345" i="2"/>
  <c r="A345" i="3" s="1"/>
  <c r="A346" i="2"/>
  <c r="A347" i="2"/>
  <c r="A347" i="3" s="1"/>
  <c r="A348" i="2"/>
  <c r="A349" i="2"/>
  <c r="A350" i="2"/>
  <c r="A351" i="2"/>
  <c r="A351" i="3" s="1"/>
  <c r="A352" i="2"/>
  <c r="A353" i="2"/>
  <c r="A354" i="2"/>
  <c r="A355" i="2"/>
  <c r="A356" i="2"/>
  <c r="A357" i="2"/>
  <c r="A358" i="2"/>
  <c r="A359" i="2"/>
  <c r="A360" i="2"/>
  <c r="A361" i="2"/>
  <c r="C361" i="3" s="1"/>
  <c r="E361" i="3" s="1"/>
  <c r="A362" i="2"/>
  <c r="C362" i="3" s="1"/>
  <c r="E362" i="3" s="1"/>
  <c r="A363" i="2"/>
  <c r="A363" i="3" s="1"/>
  <c r="A364" i="2"/>
  <c r="A365" i="2"/>
  <c r="A365" i="3" s="1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C381" i="3" s="1"/>
  <c r="E381" i="3" s="1"/>
  <c r="A382" i="2"/>
  <c r="C382" i="3" s="1"/>
  <c r="E382" i="3" s="1"/>
  <c r="A383" i="2"/>
  <c r="A384" i="2"/>
  <c r="A385" i="2"/>
  <c r="A386" i="2"/>
  <c r="A387" i="2"/>
  <c r="A388" i="2"/>
  <c r="A389" i="2"/>
  <c r="A390" i="2"/>
  <c r="A391" i="2"/>
  <c r="A391" i="3" s="1"/>
  <c r="A392" i="2"/>
  <c r="A393" i="2"/>
  <c r="A394" i="2"/>
  <c r="A395" i="2"/>
  <c r="A396" i="2"/>
  <c r="A397" i="2"/>
  <c r="A398" i="2"/>
  <c r="A399" i="2"/>
  <c r="A400" i="2"/>
  <c r="A400" i="3" s="1"/>
  <c r="A401" i="2"/>
  <c r="A402" i="2"/>
  <c r="C402" i="3" s="1"/>
  <c r="E402" i="3" s="1"/>
  <c r="A403" i="2"/>
  <c r="A403" i="3" s="1"/>
  <c r="A404" i="2"/>
  <c r="A405" i="2"/>
  <c r="A406" i="2"/>
  <c r="A407" i="2"/>
  <c r="A408" i="2"/>
  <c r="A409" i="2"/>
  <c r="A410" i="2"/>
  <c r="A411" i="2"/>
  <c r="A411" i="3" s="1"/>
  <c r="A412" i="2"/>
  <c r="A413" i="2"/>
  <c r="A414" i="2"/>
  <c r="A415" i="2"/>
  <c r="A416" i="2"/>
  <c r="A417" i="2"/>
  <c r="A418" i="2"/>
  <c r="A419" i="2"/>
  <c r="A420" i="2"/>
  <c r="A421" i="2"/>
  <c r="A421" i="3" s="1"/>
  <c r="A422" i="2"/>
  <c r="A423" i="2"/>
  <c r="A423" i="3" s="1"/>
  <c r="A424" i="2"/>
  <c r="A425" i="2"/>
  <c r="A426" i="2"/>
  <c r="A427" i="2"/>
  <c r="A428" i="2"/>
  <c r="A429" i="2"/>
  <c r="A430" i="2"/>
  <c r="A431" i="2"/>
  <c r="A431" i="3" s="1"/>
  <c r="A432" i="2"/>
  <c r="A433" i="2"/>
  <c r="A433" i="3" s="1"/>
  <c r="A434" i="2"/>
  <c r="A435" i="2"/>
  <c r="A436" i="2"/>
  <c r="A437" i="2"/>
  <c r="A438" i="2"/>
  <c r="A439" i="2"/>
  <c r="A440" i="2"/>
  <c r="A440" i="3" s="1"/>
  <c r="A441" i="2"/>
  <c r="A441" i="3" s="1"/>
  <c r="A442" i="2"/>
  <c r="A443" i="2"/>
  <c r="A443" i="3" s="1"/>
  <c r="A444" i="2"/>
  <c r="A445" i="2"/>
  <c r="A446" i="2"/>
  <c r="A447" i="2"/>
  <c r="A448" i="2"/>
  <c r="A449" i="2"/>
  <c r="A450" i="2"/>
  <c r="A451" i="2"/>
  <c r="A451" i="4" s="1"/>
  <c r="A452" i="2"/>
  <c r="C452" i="3" s="1"/>
  <c r="E452" i="3" s="1"/>
  <c r="A453" i="2"/>
  <c r="A453" i="3" s="1"/>
  <c r="A454" i="2"/>
  <c r="A455" i="2"/>
  <c r="A456" i="2"/>
  <c r="A457" i="2"/>
  <c r="A458" i="2"/>
  <c r="A458" i="3" s="1"/>
  <c r="A459" i="2"/>
  <c r="A460" i="2"/>
  <c r="A461" i="2"/>
  <c r="A462" i="2"/>
  <c r="A463" i="2"/>
  <c r="A463" i="3" s="1"/>
  <c r="A464" i="2"/>
  <c r="A465" i="2"/>
  <c r="A466" i="2"/>
  <c r="A467" i="2"/>
  <c r="A468" i="2"/>
  <c r="A469" i="2"/>
  <c r="A470" i="2"/>
  <c r="A471" i="2"/>
  <c r="A472" i="2"/>
  <c r="A473" i="2"/>
  <c r="A473" i="4" s="1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C491" i="3" s="1"/>
  <c r="E491" i="3" s="1"/>
  <c r="A492" i="2"/>
  <c r="C492" i="3" s="1"/>
  <c r="E492" i="3" s="1"/>
  <c r="A493" i="2"/>
  <c r="A493" i="4" s="1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8" i="3" s="1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7" i="3" s="1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C542" i="3" s="1"/>
  <c r="E542" i="3" s="1"/>
  <c r="A543" i="2"/>
  <c r="A544" i="2"/>
  <c r="A544" i="3" s="1"/>
  <c r="A545" i="2"/>
  <c r="A545" i="3" s="1"/>
  <c r="A546" i="2"/>
  <c r="A547" i="2"/>
  <c r="A548" i="2"/>
  <c r="A549" i="2"/>
  <c r="A550" i="2"/>
  <c r="A551" i="2"/>
  <c r="A552" i="2"/>
  <c r="C552" i="3" s="1"/>
  <c r="E552" i="3" s="1"/>
  <c r="A553" i="2"/>
  <c r="A554" i="2"/>
  <c r="A555" i="2"/>
  <c r="A556" i="2"/>
  <c r="A557" i="2"/>
  <c r="A558" i="2"/>
  <c r="A558" i="3" s="1"/>
  <c r="A559" i="2"/>
  <c r="A560" i="2"/>
  <c r="A560" i="3" s="1"/>
  <c r="A561" i="2"/>
  <c r="A562" i="2"/>
  <c r="C562" i="3" s="1"/>
  <c r="E562" i="3" s="1"/>
  <c r="A563" i="2"/>
  <c r="C563" i="3" s="1"/>
  <c r="E563" i="3" s="1"/>
  <c r="A564" i="2"/>
  <c r="A565" i="2"/>
  <c r="A566" i="2"/>
  <c r="A567" i="2"/>
  <c r="A568" i="2"/>
  <c r="A569" i="2"/>
  <c r="A570" i="2"/>
  <c r="A571" i="2"/>
  <c r="A572" i="2"/>
  <c r="C572" i="3" s="1"/>
  <c r="E572" i="3" s="1"/>
  <c r="A573" i="2"/>
  <c r="A574" i="2"/>
  <c r="A575" i="2"/>
  <c r="A576" i="2"/>
  <c r="A576" i="3" s="1"/>
  <c r="A577" i="2"/>
  <c r="A578" i="2"/>
  <c r="A579" i="2"/>
  <c r="A580" i="2"/>
  <c r="A581" i="2"/>
  <c r="A582" i="2"/>
  <c r="C582" i="3" s="1"/>
  <c r="E582" i="3" s="1"/>
  <c r="A583" i="2"/>
  <c r="A584" i="2"/>
  <c r="A585" i="2"/>
  <c r="A586" i="2"/>
  <c r="A587" i="2"/>
  <c r="A588" i="2"/>
  <c r="A589" i="2"/>
  <c r="A590" i="2"/>
  <c r="A591" i="2"/>
  <c r="A592" i="2"/>
  <c r="C592" i="3" s="1"/>
  <c r="E592" i="3" s="1"/>
  <c r="A593" i="2"/>
  <c r="A594" i="2"/>
  <c r="A595" i="2"/>
  <c r="A596" i="2"/>
  <c r="A597" i="2"/>
  <c r="A598" i="2"/>
  <c r="A599" i="2"/>
  <c r="A600" i="2"/>
  <c r="A601" i="2"/>
  <c r="A602" i="2"/>
  <c r="A603" i="2"/>
  <c r="C603" i="3" s="1"/>
  <c r="E603" i="3" s="1"/>
  <c r="A604" i="2"/>
  <c r="A605" i="2"/>
  <c r="A606" i="2"/>
  <c r="A607" i="2"/>
  <c r="A608" i="2"/>
  <c r="A608" i="3" s="1"/>
  <c r="A609" i="2"/>
  <c r="A610" i="2"/>
  <c r="A610" i="3" s="1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7" i="3" s="1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C641" i="3" s="1"/>
  <c r="E641" i="3" s="1"/>
  <c r="A642" i="2"/>
  <c r="A643" i="2"/>
  <c r="A644" i="2"/>
  <c r="A644" i="3" s="1"/>
  <c r="A645" i="2"/>
  <c r="A645" i="3" s="1"/>
  <c r="A646" i="2"/>
  <c r="A647" i="2"/>
  <c r="A648" i="2"/>
  <c r="A649" i="2"/>
  <c r="A650" i="2"/>
  <c r="A651" i="2"/>
  <c r="A652" i="2"/>
  <c r="A653" i="2"/>
  <c r="C653" i="3" s="1"/>
  <c r="E653" i="3" s="1"/>
  <c r="A654" i="2"/>
  <c r="A655" i="2"/>
  <c r="A656" i="2"/>
  <c r="A657" i="2"/>
  <c r="A658" i="2"/>
  <c r="A658" i="3" s="1"/>
  <c r="A659" i="2"/>
  <c r="A660" i="2"/>
  <c r="A661" i="2"/>
  <c r="C661" i="3" s="1"/>
  <c r="E661" i="3" s="1"/>
  <c r="A662" i="2"/>
  <c r="A663" i="2"/>
  <c r="C663" i="3" s="1"/>
  <c r="E663" i="3" s="1"/>
  <c r="A664" i="2"/>
  <c r="A665" i="2"/>
  <c r="A666" i="2"/>
  <c r="A667" i="2"/>
  <c r="A668" i="2"/>
  <c r="A669" i="2"/>
  <c r="A670" i="2"/>
  <c r="A671" i="2"/>
  <c r="A672" i="2"/>
  <c r="A673" i="2"/>
  <c r="C673" i="3" s="1"/>
  <c r="E673" i="3" s="1"/>
  <c r="A674" i="2"/>
  <c r="A675" i="2"/>
  <c r="A676" i="2"/>
  <c r="A677" i="2"/>
  <c r="A678" i="2"/>
  <c r="A679" i="2"/>
  <c r="A680" i="2"/>
  <c r="A681" i="2"/>
  <c r="C681" i="3" s="1"/>
  <c r="E681" i="3" s="1"/>
  <c r="A682" i="2"/>
  <c r="A683" i="2"/>
  <c r="C683" i="3" s="1"/>
  <c r="E683" i="3" s="1"/>
  <c r="A684" i="2"/>
  <c r="A685" i="2"/>
  <c r="A686" i="2"/>
  <c r="A687" i="2"/>
  <c r="A688" i="2"/>
  <c r="A689" i="2"/>
  <c r="A690" i="2"/>
  <c r="A691" i="2"/>
  <c r="A692" i="2"/>
  <c r="A693" i="2"/>
  <c r="C693" i="3" s="1"/>
  <c r="E693" i="3" s="1"/>
  <c r="A694" i="2"/>
  <c r="A694" i="3" s="1"/>
  <c r="A695" i="2"/>
  <c r="A695" i="3" s="1"/>
  <c r="A696" i="2"/>
  <c r="A697" i="2"/>
  <c r="A698" i="2"/>
  <c r="A699" i="2"/>
  <c r="A700" i="2"/>
  <c r="A701" i="2"/>
  <c r="A702" i="2"/>
  <c r="A703" i="2"/>
  <c r="C703" i="3" s="1"/>
  <c r="E703" i="3" s="1"/>
  <c r="A704" i="2"/>
  <c r="A705" i="2"/>
  <c r="A706" i="2"/>
  <c r="A707" i="2"/>
  <c r="A708" i="2"/>
  <c r="A708" i="3" s="1"/>
  <c r="A709" i="2"/>
  <c r="A710" i="2"/>
  <c r="A710" i="3" s="1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6" i="3" s="1"/>
  <c r="A727" i="2"/>
  <c r="A728" i="2"/>
  <c r="A729" i="2"/>
  <c r="A730" i="2"/>
  <c r="A731" i="2"/>
  <c r="C731" i="3" s="1"/>
  <c r="E731" i="3" s="1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4" i="3" s="1"/>
  <c r="A745" i="2"/>
  <c r="A745" i="3" s="1"/>
  <c r="A746" i="2"/>
  <c r="A747" i="2"/>
  <c r="A748" i="2"/>
  <c r="A749" i="2"/>
  <c r="A750" i="2"/>
  <c r="A751" i="2"/>
  <c r="C751" i="3" s="1"/>
  <c r="E751" i="3" s="1"/>
  <c r="A752" i="2"/>
  <c r="C752" i="3" s="1"/>
  <c r="E752" i="3" s="1"/>
  <c r="A753" i="2"/>
  <c r="A754" i="2"/>
  <c r="A755" i="2"/>
  <c r="A756" i="2"/>
  <c r="A757" i="2"/>
  <c r="A757" i="3" s="1"/>
  <c r="A758" i="2"/>
  <c r="A758" i="3" s="1"/>
  <c r="A759" i="2"/>
  <c r="A760" i="2"/>
  <c r="A760" i="3" s="1"/>
  <c r="A761" i="2"/>
  <c r="A762" i="2"/>
  <c r="A763" i="2"/>
  <c r="A764" i="2"/>
  <c r="A765" i="2"/>
  <c r="A766" i="2"/>
  <c r="A767" i="2"/>
  <c r="A768" i="2"/>
  <c r="A769" i="2"/>
  <c r="A770" i="2"/>
  <c r="A771" i="2"/>
  <c r="C771" i="3" s="1"/>
  <c r="E771" i="3" s="1"/>
  <c r="A772" i="2"/>
  <c r="C772" i="3" s="1"/>
  <c r="E772" i="3" s="1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C792" i="3" s="1"/>
  <c r="E792" i="3" s="1"/>
  <c r="A793" i="2"/>
  <c r="A794" i="2"/>
  <c r="A794" i="3" s="1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8" i="3" s="1"/>
  <c r="A809" i="2"/>
  <c r="A810" i="2"/>
  <c r="A810" i="3" s="1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7" i="3" s="1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0" i="3" s="1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8" i="3" s="1"/>
  <c r="A859" i="2"/>
  <c r="A860" i="2"/>
  <c r="A860" i="3" s="1"/>
  <c r="A861" i="2"/>
  <c r="C861" i="3" s="1"/>
  <c r="E861" i="3" s="1"/>
  <c r="A862" i="2"/>
  <c r="C862" i="3" s="1"/>
  <c r="E862" i="3" s="1"/>
  <c r="A863" i="2"/>
  <c r="C863" i="3" s="1"/>
  <c r="E863" i="3" s="1"/>
  <c r="A864" i="2"/>
  <c r="A865" i="2"/>
  <c r="A866" i="2"/>
  <c r="A867" i="2"/>
  <c r="A868" i="2"/>
  <c r="A869" i="2"/>
  <c r="A870" i="2"/>
  <c r="A871" i="2"/>
  <c r="A872" i="2"/>
  <c r="A873" i="2"/>
  <c r="A874" i="2"/>
  <c r="A875" i="2"/>
  <c r="A875" i="3" s="1"/>
  <c r="A876" i="2"/>
  <c r="A877" i="2"/>
  <c r="A877" i="3" s="1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0" i="3" s="1"/>
  <c r="A891" i="2"/>
  <c r="A892" i="2"/>
  <c r="A893" i="2"/>
  <c r="A894" i="2"/>
  <c r="A894" i="3" s="1"/>
  <c r="A895" i="2"/>
  <c r="A896" i="2"/>
  <c r="A897" i="2"/>
  <c r="A898" i="2"/>
  <c r="A899" i="2"/>
  <c r="A900" i="2"/>
  <c r="A901" i="2"/>
  <c r="A902" i="2"/>
  <c r="A903" i="2"/>
  <c r="C903" i="3" s="1"/>
  <c r="E903" i="3" s="1"/>
  <c r="A904" i="2"/>
  <c r="A905" i="2"/>
  <c r="A906" i="2"/>
  <c r="A907" i="2"/>
  <c r="A908" i="2"/>
  <c r="A908" i="3" s="1"/>
  <c r="A909" i="2"/>
  <c r="A910" i="2"/>
  <c r="A910" i="3" s="1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7" i="3" s="1"/>
  <c r="A928" i="2"/>
  <c r="A929" i="2"/>
  <c r="A930" i="2"/>
  <c r="A931" i="2"/>
  <c r="C931" i="3" s="1"/>
  <c r="E931" i="3" s="1"/>
  <c r="A932" i="2"/>
  <c r="A933" i="2"/>
  <c r="A934" i="2"/>
  <c r="A935" i="2"/>
  <c r="A936" i="2"/>
  <c r="A937" i="2"/>
  <c r="A938" i="2"/>
  <c r="A939" i="2"/>
  <c r="A940" i="2"/>
  <c r="A940" i="3" s="1"/>
  <c r="A941" i="2"/>
  <c r="C941" i="3" s="1"/>
  <c r="E941" i="3" s="1"/>
  <c r="A942" i="2"/>
  <c r="A943" i="2"/>
  <c r="A944" i="2"/>
  <c r="A944" i="3" s="1"/>
  <c r="A945" i="2"/>
  <c r="A945" i="3" s="1"/>
  <c r="A946" i="2"/>
  <c r="A947" i="2"/>
  <c r="A948" i="2"/>
  <c r="A949" i="2"/>
  <c r="A950" i="2"/>
  <c r="A951" i="2"/>
  <c r="C951" i="3" s="1"/>
  <c r="E951" i="3" s="1"/>
  <c r="A952" i="2"/>
  <c r="A953" i="2"/>
  <c r="A954" i="2"/>
  <c r="A955" i="2"/>
  <c r="A956" i="2"/>
  <c r="A957" i="2"/>
  <c r="A958" i="2"/>
  <c r="A958" i="3" s="1"/>
  <c r="A959" i="2"/>
  <c r="A960" i="2"/>
  <c r="A961" i="2"/>
  <c r="C961" i="3" s="1"/>
  <c r="E961" i="3" s="1"/>
  <c r="A962" i="2"/>
  <c r="A963" i="2"/>
  <c r="A964" i="2"/>
  <c r="A965" i="2"/>
  <c r="A966" i="2"/>
  <c r="A967" i="2"/>
  <c r="A968" i="2"/>
  <c r="A969" i="2"/>
  <c r="A970" i="2"/>
  <c r="A971" i="2"/>
  <c r="C971" i="3" s="1"/>
  <c r="E971" i="3" s="1"/>
  <c r="A972" i="2"/>
  <c r="C972" i="3" s="1"/>
  <c r="E972" i="3" s="1"/>
  <c r="A973" i="2"/>
  <c r="A974" i="2"/>
  <c r="A975" i="2"/>
  <c r="A975" i="3" s="1"/>
  <c r="A976" i="2"/>
  <c r="A977" i="2"/>
  <c r="A978" i="2"/>
  <c r="A979" i="2"/>
  <c r="A980" i="2"/>
  <c r="A981" i="2"/>
  <c r="C981" i="3" s="1"/>
  <c r="E981" i="3" s="1"/>
  <c r="A982" i="2"/>
  <c r="A983" i="2"/>
  <c r="A984" i="2"/>
  <c r="A985" i="2"/>
  <c r="A986" i="2"/>
  <c r="A987" i="2"/>
  <c r="A988" i="2"/>
  <c r="A989" i="2"/>
  <c r="A990" i="2"/>
  <c r="A990" i="3" s="1"/>
  <c r="A991" i="2"/>
  <c r="A992" i="2"/>
  <c r="A993" i="2"/>
  <c r="A994" i="2"/>
  <c r="A994" i="3" s="1"/>
  <c r="A995" i="2"/>
  <c r="A995" i="3" s="1"/>
  <c r="A996" i="2"/>
  <c r="A997" i="2"/>
  <c r="A998" i="2"/>
  <c r="A999" i="2"/>
  <c r="A1000" i="2"/>
  <c r="A2" i="2"/>
  <c r="A341" i="3" l="1"/>
  <c r="C41" i="3"/>
  <c r="E41" i="3" s="1"/>
  <c r="C11" i="3"/>
  <c r="E11" i="3" s="1"/>
  <c r="A31" i="3"/>
  <c r="A291" i="3"/>
  <c r="A11" i="3"/>
  <c r="A493" i="3"/>
  <c r="H493" i="3" s="1"/>
  <c r="A251" i="3"/>
  <c r="A103" i="3"/>
  <c r="C451" i="3"/>
  <c r="E451" i="3" s="1"/>
  <c r="G726" i="3"/>
  <c r="I726" i="3"/>
  <c r="F726" i="3"/>
  <c r="H726" i="3"/>
  <c r="I995" i="3"/>
  <c r="G995" i="3"/>
  <c r="F995" i="3"/>
  <c r="H995" i="3"/>
  <c r="I945" i="3"/>
  <c r="H945" i="3"/>
  <c r="G945" i="3"/>
  <c r="F945" i="3"/>
  <c r="H365" i="3"/>
  <c r="G365" i="3"/>
  <c r="I365" i="3"/>
  <c r="F365" i="3"/>
  <c r="G255" i="3"/>
  <c r="I255" i="3"/>
  <c r="F255" i="3"/>
  <c r="H255" i="3"/>
  <c r="I994" i="3"/>
  <c r="F994" i="3"/>
  <c r="G994" i="3"/>
  <c r="H994" i="3"/>
  <c r="H944" i="3"/>
  <c r="I944" i="3"/>
  <c r="F944" i="3"/>
  <c r="G944" i="3"/>
  <c r="H894" i="3"/>
  <c r="I894" i="3"/>
  <c r="G894" i="3"/>
  <c r="F894" i="3"/>
  <c r="H794" i="3"/>
  <c r="I794" i="3"/>
  <c r="G794" i="3"/>
  <c r="F794" i="3"/>
  <c r="H744" i="3"/>
  <c r="I744" i="3"/>
  <c r="F744" i="3"/>
  <c r="G744" i="3"/>
  <c r="H694" i="3"/>
  <c r="I694" i="3"/>
  <c r="G694" i="3"/>
  <c r="F694" i="3"/>
  <c r="H644" i="3"/>
  <c r="I644" i="3"/>
  <c r="F644" i="3"/>
  <c r="G644" i="3"/>
  <c r="H544" i="3"/>
  <c r="I544" i="3"/>
  <c r="F544" i="3"/>
  <c r="G544" i="3"/>
  <c r="I274" i="3"/>
  <c r="H274" i="3"/>
  <c r="G274" i="3"/>
  <c r="F274" i="3"/>
  <c r="I234" i="3"/>
  <c r="H234" i="3"/>
  <c r="F234" i="3"/>
  <c r="G234" i="3"/>
  <c r="G164" i="3"/>
  <c r="H164" i="3"/>
  <c r="I164" i="3"/>
  <c r="F164" i="3"/>
  <c r="G144" i="3"/>
  <c r="H144" i="3"/>
  <c r="F144" i="3"/>
  <c r="I144" i="3"/>
  <c r="G14" i="3"/>
  <c r="H14" i="3" s="1"/>
  <c r="I14" i="3"/>
  <c r="F14" i="3"/>
  <c r="I910" i="3"/>
  <c r="H910" i="3"/>
  <c r="F910" i="3"/>
  <c r="G910" i="3"/>
  <c r="I840" i="3"/>
  <c r="G840" i="3"/>
  <c r="F840" i="3"/>
  <c r="H840" i="3"/>
  <c r="I440" i="3"/>
  <c r="H440" i="3"/>
  <c r="G440" i="3"/>
  <c r="F440" i="3"/>
  <c r="I400" i="3"/>
  <c r="H400" i="3"/>
  <c r="F400" i="3"/>
  <c r="G400" i="3"/>
  <c r="G576" i="3"/>
  <c r="I576" i="3"/>
  <c r="H576" i="3"/>
  <c r="F576" i="3"/>
  <c r="H975" i="3"/>
  <c r="G975" i="3"/>
  <c r="I975" i="3"/>
  <c r="F975" i="3"/>
  <c r="G875" i="3"/>
  <c r="I875" i="3"/>
  <c r="H875" i="3"/>
  <c r="F875" i="3"/>
  <c r="G545" i="3"/>
  <c r="H545" i="3"/>
  <c r="I545" i="3"/>
  <c r="F545" i="3"/>
  <c r="I275" i="3"/>
  <c r="H275" i="3"/>
  <c r="F275" i="3"/>
  <c r="G275" i="3"/>
  <c r="I309" i="3"/>
  <c r="H309" i="3"/>
  <c r="G309" i="3"/>
  <c r="F309" i="3"/>
  <c r="I289" i="3"/>
  <c r="G289" i="3"/>
  <c r="H289" i="3"/>
  <c r="F289" i="3"/>
  <c r="I219" i="3"/>
  <c r="H219" i="3"/>
  <c r="G219" i="3"/>
  <c r="F219" i="3"/>
  <c r="I69" i="3"/>
  <c r="F69" i="3"/>
  <c r="G69" i="3"/>
  <c r="I745" i="3"/>
  <c r="G745" i="3"/>
  <c r="H745" i="3"/>
  <c r="F745" i="3"/>
  <c r="I695" i="3"/>
  <c r="G695" i="3"/>
  <c r="H695" i="3"/>
  <c r="F695" i="3"/>
  <c r="I645" i="3"/>
  <c r="G645" i="3"/>
  <c r="F645" i="3"/>
  <c r="H645" i="3"/>
  <c r="H345" i="3"/>
  <c r="G345" i="3"/>
  <c r="I345" i="3"/>
  <c r="F345" i="3"/>
  <c r="F958" i="3"/>
  <c r="H958" i="3"/>
  <c r="G958" i="3"/>
  <c r="I958" i="3"/>
  <c r="F908" i="3"/>
  <c r="G908" i="3"/>
  <c r="I908" i="3"/>
  <c r="H908" i="3"/>
  <c r="F858" i="3"/>
  <c r="G858" i="3"/>
  <c r="I858" i="3"/>
  <c r="H858" i="3"/>
  <c r="F808" i="3"/>
  <c r="G808" i="3"/>
  <c r="I808" i="3"/>
  <c r="H808" i="3"/>
  <c r="F758" i="3"/>
  <c r="G758" i="3"/>
  <c r="I758" i="3"/>
  <c r="H758" i="3"/>
  <c r="F708" i="3"/>
  <c r="G708" i="3"/>
  <c r="I708" i="3"/>
  <c r="H708" i="3"/>
  <c r="F658" i="3"/>
  <c r="G658" i="3"/>
  <c r="I658" i="3"/>
  <c r="H658" i="3"/>
  <c r="F608" i="3"/>
  <c r="G608" i="3"/>
  <c r="I608" i="3"/>
  <c r="H608" i="3"/>
  <c r="F558" i="3"/>
  <c r="G558" i="3"/>
  <c r="H558" i="3"/>
  <c r="I558" i="3"/>
  <c r="F508" i="3"/>
  <c r="G508" i="3"/>
  <c r="I508" i="3"/>
  <c r="H508" i="3"/>
  <c r="I458" i="3"/>
  <c r="F458" i="3"/>
  <c r="H458" i="3"/>
  <c r="G458" i="3"/>
  <c r="I218" i="3"/>
  <c r="F218" i="3"/>
  <c r="G218" i="3"/>
  <c r="H218" i="3"/>
  <c r="A238" i="4"/>
  <c r="C238" i="3"/>
  <c r="E238" i="3" s="1"/>
  <c r="A238" i="3"/>
  <c r="A228" i="4"/>
  <c r="A228" i="3"/>
  <c r="C228" i="3"/>
  <c r="E228" i="3" s="1"/>
  <c r="A208" i="4"/>
  <c r="C208" i="3"/>
  <c r="E208" i="3" s="1"/>
  <c r="A208" i="3"/>
  <c r="A198" i="4"/>
  <c r="C198" i="3"/>
  <c r="E198" i="3" s="1"/>
  <c r="A178" i="4"/>
  <c r="C178" i="3"/>
  <c r="E178" i="3" s="1"/>
  <c r="A168" i="4"/>
  <c r="C168" i="3"/>
  <c r="E168" i="3" s="1"/>
  <c r="A168" i="3"/>
  <c r="A158" i="4"/>
  <c r="A158" i="3"/>
  <c r="C158" i="3"/>
  <c r="E158" i="3" s="1"/>
  <c r="A148" i="4"/>
  <c r="A148" i="3"/>
  <c r="C148" i="3"/>
  <c r="E148" i="3" s="1"/>
  <c r="A128" i="4"/>
  <c r="C128" i="3"/>
  <c r="E128" i="3" s="1"/>
  <c r="A128" i="3"/>
  <c r="A118" i="4"/>
  <c r="C118" i="3"/>
  <c r="E118" i="3" s="1"/>
  <c r="A118" i="3"/>
  <c r="A108" i="4"/>
  <c r="C108" i="3"/>
  <c r="E108" i="3" s="1"/>
  <c r="A98" i="4"/>
  <c r="C98" i="3"/>
  <c r="E98" i="3" s="1"/>
  <c r="A98" i="3"/>
  <c r="A88" i="4"/>
  <c r="C88" i="3"/>
  <c r="E88" i="3" s="1"/>
  <c r="A78" i="4"/>
  <c r="C78" i="3"/>
  <c r="E78" i="3" s="1"/>
  <c r="A78" i="3"/>
  <c r="A58" i="4"/>
  <c r="C58" i="3"/>
  <c r="E58" i="3" s="1"/>
  <c r="A58" i="3"/>
  <c r="A38" i="4"/>
  <c r="C38" i="3"/>
  <c r="E38" i="3" s="1"/>
  <c r="A38" i="3"/>
  <c r="A28" i="4"/>
  <c r="C28" i="3"/>
  <c r="E28" i="3" s="1"/>
  <c r="A28" i="3"/>
  <c r="A18" i="4"/>
  <c r="C18" i="3"/>
  <c r="E18" i="3" s="1"/>
  <c r="A18" i="3"/>
  <c r="A997" i="4"/>
  <c r="C997" i="3"/>
  <c r="E997" i="3" s="1"/>
  <c r="A997" i="3"/>
  <c r="A987" i="4"/>
  <c r="C987" i="3"/>
  <c r="E987" i="3" s="1"/>
  <c r="A987" i="3"/>
  <c r="C977" i="3"/>
  <c r="E977" i="3" s="1"/>
  <c r="A977" i="4"/>
  <c r="A967" i="4"/>
  <c r="C967" i="3"/>
  <c r="E967" i="3" s="1"/>
  <c r="A967" i="3"/>
  <c r="A957" i="4"/>
  <c r="C957" i="3"/>
  <c r="E957" i="3" s="1"/>
  <c r="A947" i="4"/>
  <c r="C947" i="3"/>
  <c r="E947" i="3" s="1"/>
  <c r="A947" i="3"/>
  <c r="A937" i="4"/>
  <c r="A937" i="3"/>
  <c r="C937" i="3"/>
  <c r="E937" i="3" s="1"/>
  <c r="A927" i="4"/>
  <c r="C927" i="3"/>
  <c r="E927" i="3" s="1"/>
  <c r="A917" i="4"/>
  <c r="C917" i="3"/>
  <c r="E917" i="3" s="1"/>
  <c r="A917" i="3"/>
  <c r="A907" i="4"/>
  <c r="C907" i="3"/>
  <c r="E907" i="3" s="1"/>
  <c r="A897" i="4"/>
  <c r="A897" i="3"/>
  <c r="C897" i="3"/>
  <c r="E897" i="3" s="1"/>
  <c r="A887" i="4"/>
  <c r="C887" i="3"/>
  <c r="E887" i="3" s="1"/>
  <c r="A887" i="3"/>
  <c r="A877" i="4"/>
  <c r="C877" i="3"/>
  <c r="E877" i="3" s="1"/>
  <c r="A867" i="4"/>
  <c r="C867" i="3"/>
  <c r="E867" i="3" s="1"/>
  <c r="A867" i="3"/>
  <c r="A857" i="4"/>
  <c r="C857" i="3"/>
  <c r="E857" i="3" s="1"/>
  <c r="A847" i="4"/>
  <c r="A847" i="3"/>
  <c r="C847" i="3"/>
  <c r="E847" i="3" s="1"/>
  <c r="A837" i="4"/>
  <c r="C837" i="3"/>
  <c r="E837" i="3" s="1"/>
  <c r="A837" i="3"/>
  <c r="A827" i="4"/>
  <c r="C827" i="3"/>
  <c r="E827" i="3" s="1"/>
  <c r="A817" i="4"/>
  <c r="C817" i="3"/>
  <c r="E817" i="3" s="1"/>
  <c r="A817" i="3"/>
  <c r="A807" i="4"/>
  <c r="C807" i="3"/>
  <c r="E807" i="3" s="1"/>
  <c r="A797" i="4"/>
  <c r="C797" i="3"/>
  <c r="E797" i="3" s="1"/>
  <c r="A797" i="3"/>
  <c r="A787" i="4"/>
  <c r="C787" i="3"/>
  <c r="E787" i="3" s="1"/>
  <c r="A787" i="3"/>
  <c r="A777" i="4"/>
  <c r="C777" i="3"/>
  <c r="E777" i="3" s="1"/>
  <c r="A767" i="4"/>
  <c r="C767" i="3"/>
  <c r="E767" i="3" s="1"/>
  <c r="A767" i="3"/>
  <c r="A757" i="4"/>
  <c r="C757" i="3"/>
  <c r="E757" i="3" s="1"/>
  <c r="A747" i="4"/>
  <c r="C747" i="3"/>
  <c r="E747" i="3" s="1"/>
  <c r="A747" i="3"/>
  <c r="A737" i="4"/>
  <c r="C737" i="3"/>
  <c r="E737" i="3" s="1"/>
  <c r="A737" i="3"/>
  <c r="A727" i="4"/>
  <c r="C727" i="3"/>
  <c r="E727" i="3" s="1"/>
  <c r="A717" i="4"/>
  <c r="C717" i="3"/>
  <c r="E717" i="3" s="1"/>
  <c r="A717" i="3"/>
  <c r="A707" i="4"/>
  <c r="C707" i="3"/>
  <c r="E707" i="3" s="1"/>
  <c r="A697" i="4"/>
  <c r="C697" i="3"/>
  <c r="E697" i="3" s="1"/>
  <c r="A697" i="3"/>
  <c r="A687" i="4"/>
  <c r="C687" i="3"/>
  <c r="E687" i="3" s="1"/>
  <c r="A687" i="3"/>
  <c r="A677" i="4"/>
  <c r="C677" i="3"/>
  <c r="E677" i="3" s="1"/>
  <c r="A667" i="4"/>
  <c r="C667" i="3"/>
  <c r="E667" i="3" s="1"/>
  <c r="A667" i="3"/>
  <c r="A657" i="4"/>
  <c r="C657" i="3"/>
  <c r="E657" i="3" s="1"/>
  <c r="A657" i="3"/>
  <c r="A647" i="4"/>
  <c r="A647" i="3"/>
  <c r="C647" i="3"/>
  <c r="E647" i="3" s="1"/>
  <c r="A637" i="4"/>
  <c r="C637" i="3"/>
  <c r="E637" i="3" s="1"/>
  <c r="A637" i="3"/>
  <c r="A627" i="4"/>
  <c r="C627" i="3"/>
  <c r="E627" i="3" s="1"/>
  <c r="A617" i="4"/>
  <c r="A617" i="3"/>
  <c r="C617" i="3"/>
  <c r="E617" i="3" s="1"/>
  <c r="A607" i="4"/>
  <c r="A607" i="3"/>
  <c r="C607" i="3"/>
  <c r="E607" i="3" s="1"/>
  <c r="A597" i="4"/>
  <c r="A597" i="3"/>
  <c r="C597" i="3"/>
  <c r="E597" i="3" s="1"/>
  <c r="A587" i="4"/>
  <c r="C587" i="3"/>
  <c r="E587" i="3" s="1"/>
  <c r="A587" i="3"/>
  <c r="A577" i="4"/>
  <c r="C577" i="3"/>
  <c r="E577" i="3" s="1"/>
  <c r="C567" i="3"/>
  <c r="E567" i="3" s="1"/>
  <c r="A567" i="4"/>
  <c r="A567" i="3"/>
  <c r="A557" i="4"/>
  <c r="C557" i="3"/>
  <c r="E557" i="3" s="1"/>
  <c r="A557" i="3"/>
  <c r="A547" i="4"/>
  <c r="C547" i="3"/>
  <c r="E547" i="3" s="1"/>
  <c r="A547" i="3"/>
  <c r="A537" i="4"/>
  <c r="C537" i="3"/>
  <c r="E537" i="3" s="1"/>
  <c r="A537" i="3"/>
  <c r="A527" i="4"/>
  <c r="C527" i="3"/>
  <c r="E527" i="3" s="1"/>
  <c r="A517" i="4"/>
  <c r="C517" i="3"/>
  <c r="E517" i="3" s="1"/>
  <c r="A517" i="3"/>
  <c r="A507" i="4"/>
  <c r="C507" i="3"/>
  <c r="E507" i="3" s="1"/>
  <c r="A507" i="3"/>
  <c r="A497" i="4"/>
  <c r="C497" i="3"/>
  <c r="E497" i="3" s="1"/>
  <c r="A497" i="3"/>
  <c r="A487" i="4"/>
  <c r="C487" i="3"/>
  <c r="E487" i="3" s="1"/>
  <c r="A487" i="3"/>
  <c r="A477" i="4"/>
  <c r="C477" i="3"/>
  <c r="E477" i="3" s="1"/>
  <c r="A477" i="3"/>
  <c r="A467" i="4"/>
  <c r="C467" i="3"/>
  <c r="E467" i="3" s="1"/>
  <c r="A467" i="3"/>
  <c r="A457" i="4"/>
  <c r="A457" i="3"/>
  <c r="C457" i="3"/>
  <c r="E457" i="3" s="1"/>
  <c r="A447" i="4"/>
  <c r="C447" i="3"/>
  <c r="E447" i="3" s="1"/>
  <c r="A447" i="3"/>
  <c r="A437" i="4"/>
  <c r="A437" i="3"/>
  <c r="C437" i="3"/>
  <c r="E437" i="3" s="1"/>
  <c r="A427" i="4"/>
  <c r="A427" i="3"/>
  <c r="C427" i="3"/>
  <c r="E427" i="3" s="1"/>
  <c r="A417" i="4"/>
  <c r="A417" i="3"/>
  <c r="C417" i="3"/>
  <c r="E417" i="3" s="1"/>
  <c r="A407" i="4"/>
  <c r="C407" i="3"/>
  <c r="E407" i="3" s="1"/>
  <c r="A407" i="3"/>
  <c r="A397" i="4"/>
  <c r="C397" i="3"/>
  <c r="E397" i="3" s="1"/>
  <c r="A397" i="3"/>
  <c r="C387" i="3"/>
  <c r="E387" i="3" s="1"/>
  <c r="A387" i="4"/>
  <c r="A387" i="3"/>
  <c r="A377" i="4"/>
  <c r="C377" i="3"/>
  <c r="E377" i="3" s="1"/>
  <c r="A377" i="3"/>
  <c r="A367" i="4"/>
  <c r="C367" i="3"/>
  <c r="E367" i="3" s="1"/>
  <c r="A367" i="3"/>
  <c r="A357" i="4"/>
  <c r="C357" i="3"/>
  <c r="E357" i="3" s="1"/>
  <c r="A357" i="3"/>
  <c r="A347" i="4"/>
  <c r="C347" i="3"/>
  <c r="E347" i="3" s="1"/>
  <c r="A337" i="4"/>
  <c r="A337" i="3"/>
  <c r="C337" i="3"/>
  <c r="E337" i="3" s="1"/>
  <c r="A327" i="4"/>
  <c r="A327" i="3"/>
  <c r="C327" i="3"/>
  <c r="E327" i="3" s="1"/>
  <c r="A317" i="4"/>
  <c r="A317" i="3"/>
  <c r="C317" i="3"/>
  <c r="E317" i="3" s="1"/>
  <c r="A307" i="4"/>
  <c r="C307" i="3"/>
  <c r="E307" i="3" s="1"/>
  <c r="A307" i="3"/>
  <c r="A297" i="4"/>
  <c r="C297" i="3"/>
  <c r="E297" i="3" s="1"/>
  <c r="A297" i="3"/>
  <c r="A287" i="4"/>
  <c r="C287" i="3"/>
  <c r="E287" i="3" s="1"/>
  <c r="A287" i="3"/>
  <c r="A277" i="4"/>
  <c r="C277" i="3"/>
  <c r="E277" i="3" s="1"/>
  <c r="A277" i="3"/>
  <c r="A267" i="4"/>
  <c r="C267" i="3"/>
  <c r="E267" i="3" s="1"/>
  <c r="A267" i="3"/>
  <c r="A257" i="4"/>
  <c r="A257" i="3"/>
  <c r="C257" i="3"/>
  <c r="E257" i="3" s="1"/>
  <c r="A247" i="4"/>
  <c r="A247" i="3"/>
  <c r="C247" i="3"/>
  <c r="E247" i="3" s="1"/>
  <c r="A237" i="4"/>
  <c r="A237" i="3"/>
  <c r="C237" i="3"/>
  <c r="E237" i="3" s="1"/>
  <c r="A227" i="4"/>
  <c r="A227" i="3"/>
  <c r="C227" i="3"/>
  <c r="E227" i="3" s="1"/>
  <c r="A217" i="4"/>
  <c r="A217" i="3"/>
  <c r="C217" i="3"/>
  <c r="E217" i="3" s="1"/>
  <c r="A207" i="4"/>
  <c r="A207" i="3"/>
  <c r="C207" i="3"/>
  <c r="E207" i="3" s="1"/>
  <c r="A197" i="4"/>
  <c r="C197" i="3"/>
  <c r="E197" i="3" s="1"/>
  <c r="A197" i="3"/>
  <c r="A187" i="4"/>
  <c r="C187" i="3"/>
  <c r="E187" i="3" s="1"/>
  <c r="A187" i="3"/>
  <c r="A177" i="4"/>
  <c r="C177" i="3"/>
  <c r="E177" i="3" s="1"/>
  <c r="A177" i="3"/>
  <c r="A167" i="4"/>
  <c r="C167" i="3"/>
  <c r="E167" i="3" s="1"/>
  <c r="A167" i="3"/>
  <c r="A157" i="4"/>
  <c r="A157" i="3"/>
  <c r="C157" i="3"/>
  <c r="E157" i="3" s="1"/>
  <c r="A147" i="4"/>
  <c r="C147" i="3"/>
  <c r="E147" i="3" s="1"/>
  <c r="A147" i="3"/>
  <c r="A137" i="4"/>
  <c r="A137" i="3"/>
  <c r="C137" i="3"/>
  <c r="E137" i="3" s="1"/>
  <c r="A127" i="4"/>
  <c r="C127" i="3"/>
  <c r="E127" i="3" s="1"/>
  <c r="A127" i="3"/>
  <c r="A117" i="4"/>
  <c r="A117" i="3"/>
  <c r="C117" i="3"/>
  <c r="E117" i="3" s="1"/>
  <c r="A107" i="4"/>
  <c r="C107" i="3"/>
  <c r="E107" i="3" s="1"/>
  <c r="A97" i="4"/>
  <c r="C97" i="3"/>
  <c r="E97" i="3" s="1"/>
  <c r="A97" i="3"/>
  <c r="A87" i="4"/>
  <c r="C87" i="3"/>
  <c r="E87" i="3" s="1"/>
  <c r="A77" i="4"/>
  <c r="C77" i="3"/>
  <c r="E77" i="3" s="1"/>
  <c r="A77" i="3"/>
  <c r="A67" i="4"/>
  <c r="C67" i="3"/>
  <c r="E67" i="3" s="1"/>
  <c r="A57" i="4"/>
  <c r="C57" i="3"/>
  <c r="E57" i="3" s="1"/>
  <c r="A57" i="3"/>
  <c r="A47" i="4"/>
  <c r="C47" i="3"/>
  <c r="E47" i="3" s="1"/>
  <c r="A47" i="3"/>
  <c r="A37" i="4"/>
  <c r="A37" i="3"/>
  <c r="C37" i="3"/>
  <c r="E37" i="3" s="1"/>
  <c r="A27" i="4"/>
  <c r="A27" i="3"/>
  <c r="C27" i="3"/>
  <c r="E27" i="3" s="1"/>
  <c r="A17" i="4"/>
  <c r="C17" i="3"/>
  <c r="E17" i="3" s="1"/>
  <c r="A17" i="3"/>
  <c r="A7" i="4"/>
  <c r="C7" i="3"/>
  <c r="E7" i="3" s="1"/>
  <c r="A7" i="3"/>
  <c r="A777" i="3"/>
  <c r="G493" i="3"/>
  <c r="F493" i="3"/>
  <c r="G33" i="3"/>
  <c r="I33" i="3"/>
  <c r="F33" i="3"/>
  <c r="A945" i="4"/>
  <c r="C945" i="3"/>
  <c r="E945" i="3" s="1"/>
  <c r="A895" i="4"/>
  <c r="C895" i="3"/>
  <c r="E895" i="3" s="1"/>
  <c r="A845" i="4"/>
  <c r="C845" i="3"/>
  <c r="E845" i="3" s="1"/>
  <c r="A775" i="4"/>
  <c r="C775" i="3"/>
  <c r="E775" i="3" s="1"/>
  <c r="A725" i="4"/>
  <c r="C725" i="3"/>
  <c r="E725" i="3" s="1"/>
  <c r="A665" i="4"/>
  <c r="C665" i="3"/>
  <c r="E665" i="3" s="1"/>
  <c r="A665" i="3"/>
  <c r="A615" i="4"/>
  <c r="C615" i="3"/>
  <c r="E615" i="3" s="1"/>
  <c r="A615" i="3"/>
  <c r="A565" i="4"/>
  <c r="C565" i="3"/>
  <c r="E565" i="3" s="1"/>
  <c r="A565" i="3"/>
  <c r="A495" i="4"/>
  <c r="C495" i="3"/>
  <c r="E495" i="3" s="1"/>
  <c r="A495" i="3"/>
  <c r="A455" i="4"/>
  <c r="C455" i="3"/>
  <c r="E455" i="3" s="1"/>
  <c r="A455" i="3"/>
  <c r="A435" i="4"/>
  <c r="A435" i="3"/>
  <c r="C435" i="3"/>
  <c r="E435" i="3" s="1"/>
  <c r="A385" i="4"/>
  <c r="C385" i="3"/>
  <c r="E385" i="3" s="1"/>
  <c r="A355" i="4"/>
  <c r="C355" i="3"/>
  <c r="E355" i="3" s="1"/>
  <c r="A355" i="3"/>
  <c r="A305" i="4"/>
  <c r="A305" i="3"/>
  <c r="C305" i="3"/>
  <c r="E305" i="3" s="1"/>
  <c r="A265" i="4"/>
  <c r="C265" i="3"/>
  <c r="E265" i="3" s="1"/>
  <c r="A265" i="3"/>
  <c r="A245" i="4"/>
  <c r="C245" i="3"/>
  <c r="E245" i="3" s="1"/>
  <c r="A245" i="3"/>
  <c r="A205" i="4"/>
  <c r="A205" i="3"/>
  <c r="C205" i="3"/>
  <c r="E205" i="3" s="1"/>
  <c r="A165" i="4"/>
  <c r="C165" i="3"/>
  <c r="E165" i="3" s="1"/>
  <c r="A165" i="3"/>
  <c r="A125" i="4"/>
  <c r="C125" i="3"/>
  <c r="E125" i="3" s="1"/>
  <c r="A95" i="4"/>
  <c r="C95" i="3"/>
  <c r="E95" i="3" s="1"/>
  <c r="A95" i="3"/>
  <c r="A45" i="4"/>
  <c r="C45" i="3"/>
  <c r="E45" i="3" s="1"/>
  <c r="A45" i="3"/>
  <c r="A5" i="4"/>
  <c r="C5" i="3"/>
  <c r="E5" i="3" s="1"/>
  <c r="A5" i="3"/>
  <c r="A914" i="4"/>
  <c r="C914" i="3"/>
  <c r="E914" i="3" s="1"/>
  <c r="A914" i="3"/>
  <c r="A84" i="4"/>
  <c r="C84" i="3"/>
  <c r="E84" i="3" s="1"/>
  <c r="A84" i="3"/>
  <c r="A996" i="4"/>
  <c r="C996" i="3"/>
  <c r="E996" i="3" s="1"/>
  <c r="A996" i="3"/>
  <c r="A986" i="4"/>
  <c r="A986" i="3"/>
  <c r="C986" i="3"/>
  <c r="E986" i="3" s="1"/>
  <c r="A976" i="4"/>
  <c r="C976" i="3"/>
  <c r="E976" i="3" s="1"/>
  <c r="A966" i="4"/>
  <c r="C966" i="3"/>
  <c r="E966" i="3" s="1"/>
  <c r="A966" i="3"/>
  <c r="A956" i="4"/>
  <c r="C956" i="3"/>
  <c r="E956" i="3" s="1"/>
  <c r="A956" i="3"/>
  <c r="A946" i="4"/>
  <c r="C946" i="3"/>
  <c r="E946" i="3" s="1"/>
  <c r="A946" i="3"/>
  <c r="A936" i="4"/>
  <c r="A936" i="3"/>
  <c r="C936" i="3"/>
  <c r="E936" i="3" s="1"/>
  <c r="A926" i="4"/>
  <c r="C926" i="3"/>
  <c r="E926" i="3" s="1"/>
  <c r="A916" i="4"/>
  <c r="C916" i="3"/>
  <c r="E916" i="3" s="1"/>
  <c r="A916" i="3"/>
  <c r="A906" i="4"/>
  <c r="C906" i="3"/>
  <c r="E906" i="3" s="1"/>
  <c r="A906" i="3"/>
  <c r="A896" i="4"/>
  <c r="C896" i="3"/>
  <c r="E896" i="3" s="1"/>
  <c r="A896" i="3"/>
  <c r="A886" i="4"/>
  <c r="C886" i="3"/>
  <c r="E886" i="3" s="1"/>
  <c r="A886" i="3"/>
  <c r="A876" i="4"/>
  <c r="C876" i="3"/>
  <c r="E876" i="3" s="1"/>
  <c r="A866" i="4"/>
  <c r="C866" i="3"/>
  <c r="E866" i="3" s="1"/>
  <c r="A866" i="3"/>
  <c r="A856" i="4"/>
  <c r="C856" i="3"/>
  <c r="E856" i="3" s="1"/>
  <c r="A856" i="3"/>
  <c r="A846" i="4"/>
  <c r="C846" i="3"/>
  <c r="E846" i="3" s="1"/>
  <c r="A846" i="3"/>
  <c r="A836" i="4"/>
  <c r="C836" i="3"/>
  <c r="E836" i="3" s="1"/>
  <c r="A836" i="3"/>
  <c r="A826" i="4"/>
  <c r="C826" i="3"/>
  <c r="E826" i="3" s="1"/>
  <c r="A816" i="4"/>
  <c r="C816" i="3"/>
  <c r="E816" i="3" s="1"/>
  <c r="A816" i="3"/>
  <c r="A806" i="4"/>
  <c r="C806" i="3"/>
  <c r="E806" i="3" s="1"/>
  <c r="A806" i="3"/>
  <c r="A796" i="4"/>
  <c r="C796" i="3"/>
  <c r="E796" i="3" s="1"/>
  <c r="A796" i="3"/>
  <c r="A786" i="4"/>
  <c r="A786" i="3"/>
  <c r="C786" i="3"/>
  <c r="E786" i="3" s="1"/>
  <c r="A776" i="4"/>
  <c r="C776" i="3"/>
  <c r="E776" i="3" s="1"/>
  <c r="A766" i="4"/>
  <c r="C766" i="3"/>
  <c r="E766" i="3" s="1"/>
  <c r="A766" i="3"/>
  <c r="A756" i="4"/>
  <c r="C756" i="3"/>
  <c r="E756" i="3" s="1"/>
  <c r="A756" i="3"/>
  <c r="A746" i="4"/>
  <c r="C746" i="3"/>
  <c r="E746" i="3" s="1"/>
  <c r="A746" i="3"/>
  <c r="A736" i="4"/>
  <c r="C736" i="3"/>
  <c r="E736" i="3" s="1"/>
  <c r="A736" i="3"/>
  <c r="A726" i="4"/>
  <c r="C726" i="3"/>
  <c r="E726" i="3" s="1"/>
  <c r="A716" i="4"/>
  <c r="A716" i="3"/>
  <c r="C716" i="3"/>
  <c r="E716" i="3" s="1"/>
  <c r="A706" i="4"/>
  <c r="C706" i="3"/>
  <c r="E706" i="3" s="1"/>
  <c r="A706" i="3"/>
  <c r="A696" i="4"/>
  <c r="C696" i="3"/>
  <c r="E696" i="3" s="1"/>
  <c r="A696" i="3"/>
  <c r="A686" i="4"/>
  <c r="C686" i="3"/>
  <c r="E686" i="3" s="1"/>
  <c r="A686" i="3"/>
  <c r="A676" i="4"/>
  <c r="C676" i="3"/>
  <c r="E676" i="3" s="1"/>
  <c r="A666" i="4"/>
  <c r="C666" i="3"/>
  <c r="E666" i="3" s="1"/>
  <c r="A666" i="3"/>
  <c r="A656" i="4"/>
  <c r="C656" i="3"/>
  <c r="E656" i="3" s="1"/>
  <c r="A656" i="3"/>
  <c r="A646" i="4"/>
  <c r="C646" i="3"/>
  <c r="E646" i="3" s="1"/>
  <c r="A646" i="3"/>
  <c r="A636" i="4"/>
  <c r="C636" i="3"/>
  <c r="E636" i="3" s="1"/>
  <c r="A636" i="3"/>
  <c r="A626" i="4"/>
  <c r="C626" i="3"/>
  <c r="E626" i="3" s="1"/>
  <c r="A616" i="4"/>
  <c r="C616" i="3"/>
  <c r="E616" i="3" s="1"/>
  <c r="A616" i="3"/>
  <c r="A606" i="4"/>
  <c r="C606" i="3"/>
  <c r="E606" i="3" s="1"/>
  <c r="A606" i="3"/>
  <c r="A596" i="4"/>
  <c r="C596" i="3"/>
  <c r="E596" i="3" s="1"/>
  <c r="A596" i="3"/>
  <c r="A586" i="4"/>
  <c r="C586" i="3"/>
  <c r="E586" i="3" s="1"/>
  <c r="A586" i="3"/>
  <c r="A576" i="4"/>
  <c r="C576" i="3"/>
  <c r="E576" i="3" s="1"/>
  <c r="A566" i="4"/>
  <c r="C566" i="3"/>
  <c r="E566" i="3" s="1"/>
  <c r="A566" i="3"/>
  <c r="A556" i="4"/>
  <c r="C556" i="3"/>
  <c r="E556" i="3" s="1"/>
  <c r="A556" i="3"/>
  <c r="A546" i="4"/>
  <c r="C546" i="3"/>
  <c r="E546" i="3" s="1"/>
  <c r="A546" i="3"/>
  <c r="A536" i="4"/>
  <c r="A536" i="3"/>
  <c r="C536" i="3"/>
  <c r="E536" i="3" s="1"/>
  <c r="A526" i="4"/>
  <c r="C526" i="3"/>
  <c r="E526" i="3" s="1"/>
  <c r="A516" i="4"/>
  <c r="A516" i="3"/>
  <c r="C516" i="3"/>
  <c r="E516" i="3" s="1"/>
  <c r="A506" i="4"/>
  <c r="A506" i="3"/>
  <c r="C506" i="3"/>
  <c r="E506" i="3" s="1"/>
  <c r="A496" i="4"/>
  <c r="C496" i="3"/>
  <c r="E496" i="3" s="1"/>
  <c r="A496" i="3"/>
  <c r="A486" i="4"/>
  <c r="C486" i="3"/>
  <c r="E486" i="3" s="1"/>
  <c r="A486" i="3"/>
  <c r="A476" i="4"/>
  <c r="C476" i="3"/>
  <c r="E476" i="3" s="1"/>
  <c r="A466" i="4"/>
  <c r="C466" i="3"/>
  <c r="E466" i="3" s="1"/>
  <c r="A466" i="3"/>
  <c r="A456" i="4"/>
  <c r="C456" i="3"/>
  <c r="E456" i="3" s="1"/>
  <c r="A446" i="4"/>
  <c r="C446" i="3"/>
  <c r="E446" i="3" s="1"/>
  <c r="A446" i="3"/>
  <c r="A436" i="4"/>
  <c r="C436" i="3"/>
  <c r="E436" i="3" s="1"/>
  <c r="A436" i="3"/>
  <c r="A426" i="4"/>
  <c r="A426" i="3"/>
  <c r="C426" i="3"/>
  <c r="E426" i="3" s="1"/>
  <c r="A416" i="4"/>
  <c r="A416" i="3"/>
  <c r="C416" i="3"/>
  <c r="E416" i="3" s="1"/>
  <c r="A406" i="4"/>
  <c r="C406" i="3"/>
  <c r="E406" i="3" s="1"/>
  <c r="A406" i="3"/>
  <c r="A396" i="4"/>
  <c r="C396" i="3"/>
  <c r="E396" i="3" s="1"/>
  <c r="A396" i="3"/>
  <c r="A386" i="4"/>
  <c r="C386" i="3"/>
  <c r="E386" i="3" s="1"/>
  <c r="A376" i="4"/>
  <c r="C376" i="3"/>
  <c r="E376" i="3" s="1"/>
  <c r="A376" i="3"/>
  <c r="A366" i="4"/>
  <c r="C366" i="3"/>
  <c r="E366" i="3" s="1"/>
  <c r="A356" i="4"/>
  <c r="C356" i="3"/>
  <c r="E356" i="3" s="1"/>
  <c r="A356" i="3"/>
  <c r="A346" i="4"/>
  <c r="A346" i="3"/>
  <c r="C346" i="3"/>
  <c r="E346" i="3" s="1"/>
  <c r="A336" i="4"/>
  <c r="C336" i="3"/>
  <c r="E336" i="3" s="1"/>
  <c r="A336" i="3"/>
  <c r="A326" i="4"/>
  <c r="A326" i="3"/>
  <c r="C326" i="3"/>
  <c r="E326" i="3" s="1"/>
  <c r="A316" i="4"/>
  <c r="A316" i="3"/>
  <c r="C316" i="3"/>
  <c r="E316" i="3" s="1"/>
  <c r="A306" i="4"/>
  <c r="A306" i="3"/>
  <c r="C306" i="3"/>
  <c r="E306" i="3" s="1"/>
  <c r="A296" i="4"/>
  <c r="C296" i="3"/>
  <c r="E296" i="3" s="1"/>
  <c r="A296" i="3"/>
  <c r="A286" i="4"/>
  <c r="C286" i="3"/>
  <c r="E286" i="3" s="1"/>
  <c r="A286" i="3"/>
  <c r="A276" i="4"/>
  <c r="C276" i="3"/>
  <c r="E276" i="3" s="1"/>
  <c r="A276" i="3"/>
  <c r="A266" i="4"/>
  <c r="C266" i="3"/>
  <c r="E266" i="3" s="1"/>
  <c r="A266" i="3"/>
  <c r="A256" i="4"/>
  <c r="C256" i="3"/>
  <c r="E256" i="3" s="1"/>
  <c r="A256" i="3"/>
  <c r="A246" i="4"/>
  <c r="C246" i="3"/>
  <c r="E246" i="3" s="1"/>
  <c r="A246" i="3"/>
  <c r="A236" i="4"/>
  <c r="C236" i="3"/>
  <c r="E236" i="3" s="1"/>
  <c r="A226" i="4"/>
  <c r="A226" i="3"/>
  <c r="C226" i="3"/>
  <c r="E226" i="3" s="1"/>
  <c r="A216" i="4"/>
  <c r="A216" i="3"/>
  <c r="C216" i="3"/>
  <c r="E216" i="3" s="1"/>
  <c r="A206" i="4"/>
  <c r="A206" i="3"/>
  <c r="C206" i="3"/>
  <c r="E206" i="3" s="1"/>
  <c r="A196" i="4"/>
  <c r="C196" i="3"/>
  <c r="E196" i="3" s="1"/>
  <c r="A196" i="3"/>
  <c r="A186" i="4"/>
  <c r="C186" i="3"/>
  <c r="E186" i="3" s="1"/>
  <c r="A186" i="3"/>
  <c r="A176" i="4"/>
  <c r="C176" i="3"/>
  <c r="E176" i="3" s="1"/>
  <c r="A176" i="3"/>
  <c r="A166" i="4"/>
  <c r="C166" i="3"/>
  <c r="E166" i="3" s="1"/>
  <c r="A166" i="3"/>
  <c r="A156" i="4"/>
  <c r="C156" i="3"/>
  <c r="E156" i="3" s="1"/>
  <c r="A156" i="3"/>
  <c r="A146" i="4"/>
  <c r="C146" i="3"/>
  <c r="E146" i="3" s="1"/>
  <c r="A146" i="3"/>
  <c r="A136" i="4"/>
  <c r="C136" i="3"/>
  <c r="E136" i="3" s="1"/>
  <c r="A136" i="3"/>
  <c r="A126" i="4"/>
  <c r="C126" i="3"/>
  <c r="E126" i="3" s="1"/>
  <c r="A126" i="3"/>
  <c r="A116" i="4"/>
  <c r="A116" i="3"/>
  <c r="C116" i="3"/>
  <c r="E116" i="3" s="1"/>
  <c r="A106" i="4"/>
  <c r="C106" i="3"/>
  <c r="E106" i="3" s="1"/>
  <c r="A106" i="3"/>
  <c r="A96" i="4"/>
  <c r="C96" i="3"/>
  <c r="E96" i="3" s="1"/>
  <c r="A96" i="3"/>
  <c r="A86" i="4"/>
  <c r="C86" i="3"/>
  <c r="E86" i="3" s="1"/>
  <c r="A86" i="3"/>
  <c r="A76" i="4"/>
  <c r="C76" i="3"/>
  <c r="E76" i="3" s="1"/>
  <c r="A76" i="3"/>
  <c r="A66" i="4"/>
  <c r="C66" i="3"/>
  <c r="E66" i="3" s="1"/>
  <c r="A66" i="3"/>
  <c r="A56" i="4"/>
  <c r="A56" i="3"/>
  <c r="C56" i="3"/>
  <c r="E56" i="3" s="1"/>
  <c r="A46" i="4"/>
  <c r="C46" i="3"/>
  <c r="E46" i="3" s="1"/>
  <c r="A46" i="3"/>
  <c r="A36" i="4"/>
  <c r="A36" i="3"/>
  <c r="C36" i="3"/>
  <c r="E36" i="3" s="1"/>
  <c r="A26" i="4"/>
  <c r="A26" i="3"/>
  <c r="C26" i="3"/>
  <c r="E26" i="3" s="1"/>
  <c r="A16" i="4"/>
  <c r="C16" i="3"/>
  <c r="E16" i="3" s="1"/>
  <c r="A16" i="3"/>
  <c r="A6" i="4"/>
  <c r="C6" i="3"/>
  <c r="E6" i="3" s="1"/>
  <c r="A6" i="3"/>
  <c r="I890" i="3"/>
  <c r="G890" i="3"/>
  <c r="F890" i="3"/>
  <c r="H890" i="3"/>
  <c r="I827" i="3"/>
  <c r="G827" i="3"/>
  <c r="F827" i="3"/>
  <c r="H827" i="3"/>
  <c r="A776" i="3"/>
  <c r="A725" i="3"/>
  <c r="I560" i="3"/>
  <c r="H560" i="3"/>
  <c r="F560" i="3"/>
  <c r="G560" i="3"/>
  <c r="A476" i="3"/>
  <c r="A386" i="3"/>
  <c r="I310" i="3"/>
  <c r="H310" i="3"/>
  <c r="G310" i="3"/>
  <c r="F310" i="3"/>
  <c r="A236" i="3"/>
  <c r="I180" i="3"/>
  <c r="H180" i="3"/>
  <c r="F180" i="3"/>
  <c r="G180" i="3"/>
  <c r="A108" i="3"/>
  <c r="I31" i="3"/>
  <c r="G31" i="3"/>
  <c r="F31" i="3"/>
  <c r="A885" i="4"/>
  <c r="A885" i="3"/>
  <c r="C885" i="3"/>
  <c r="E885" i="3" s="1"/>
  <c r="A825" i="4"/>
  <c r="C825" i="3"/>
  <c r="E825" i="3" s="1"/>
  <c r="A785" i="4"/>
  <c r="A785" i="3"/>
  <c r="C785" i="3"/>
  <c r="E785" i="3" s="1"/>
  <c r="A715" i="4"/>
  <c r="A715" i="3"/>
  <c r="C715" i="3"/>
  <c r="E715" i="3" s="1"/>
  <c r="A655" i="4"/>
  <c r="C655" i="3"/>
  <c r="E655" i="3" s="1"/>
  <c r="A655" i="3"/>
  <c r="A605" i="4"/>
  <c r="A605" i="3"/>
  <c r="C605" i="3"/>
  <c r="E605" i="3" s="1"/>
  <c r="A555" i="4"/>
  <c r="C555" i="3"/>
  <c r="E555" i="3" s="1"/>
  <c r="A555" i="3"/>
  <c r="A525" i="4"/>
  <c r="C525" i="3"/>
  <c r="E525" i="3" s="1"/>
  <c r="A525" i="3"/>
  <c r="A505" i="4"/>
  <c r="C505" i="3"/>
  <c r="E505" i="3" s="1"/>
  <c r="A505" i="3"/>
  <c r="A475" i="4"/>
  <c r="C475" i="3"/>
  <c r="E475" i="3" s="1"/>
  <c r="A425" i="4"/>
  <c r="C425" i="3"/>
  <c r="E425" i="3" s="1"/>
  <c r="A425" i="3"/>
  <c r="A395" i="4"/>
  <c r="A395" i="3"/>
  <c r="C395" i="3"/>
  <c r="E395" i="3" s="1"/>
  <c r="A335" i="4"/>
  <c r="C335" i="3"/>
  <c r="E335" i="3" s="1"/>
  <c r="A335" i="3"/>
  <c r="A285" i="4"/>
  <c r="C285" i="3"/>
  <c r="E285" i="3" s="1"/>
  <c r="A285" i="3"/>
  <c r="A215" i="4"/>
  <c r="A215" i="3"/>
  <c r="C215" i="3"/>
  <c r="E215" i="3" s="1"/>
  <c r="A155" i="4"/>
  <c r="C155" i="3"/>
  <c r="E155" i="3" s="1"/>
  <c r="A155" i="3"/>
  <c r="A115" i="4"/>
  <c r="A115" i="3"/>
  <c r="C115" i="3"/>
  <c r="E115" i="3" s="1"/>
  <c r="A75" i="4"/>
  <c r="C75" i="3"/>
  <c r="E75" i="3" s="1"/>
  <c r="A75" i="3"/>
  <c r="A35" i="4"/>
  <c r="C35" i="3"/>
  <c r="E35" i="3" s="1"/>
  <c r="A35" i="3"/>
  <c r="I940" i="3"/>
  <c r="H940" i="3"/>
  <c r="F940" i="3"/>
  <c r="G940" i="3"/>
  <c r="I877" i="3"/>
  <c r="G877" i="3"/>
  <c r="H877" i="3"/>
  <c r="F877" i="3"/>
  <c r="A826" i="3"/>
  <c r="A775" i="3"/>
  <c r="I710" i="3"/>
  <c r="H710" i="3"/>
  <c r="F710" i="3"/>
  <c r="G710" i="3"/>
  <c r="A475" i="3"/>
  <c r="A385" i="3"/>
  <c r="A178" i="3"/>
  <c r="I107" i="3"/>
  <c r="F107" i="3"/>
  <c r="G107" i="3"/>
  <c r="H107" i="3"/>
  <c r="A985" i="4"/>
  <c r="C985" i="3"/>
  <c r="E985" i="3" s="1"/>
  <c r="A985" i="3"/>
  <c r="A925" i="4"/>
  <c r="C925" i="3"/>
  <c r="E925" i="3" s="1"/>
  <c r="A865" i="4"/>
  <c r="C865" i="3"/>
  <c r="E865" i="3" s="1"/>
  <c r="A865" i="3"/>
  <c r="A805" i="4"/>
  <c r="C805" i="3"/>
  <c r="E805" i="3" s="1"/>
  <c r="A805" i="3"/>
  <c r="A685" i="4"/>
  <c r="C685" i="3"/>
  <c r="E685" i="3" s="1"/>
  <c r="A685" i="3"/>
  <c r="I990" i="3"/>
  <c r="G990" i="3"/>
  <c r="F990" i="3"/>
  <c r="H990" i="3"/>
  <c r="I927" i="3"/>
  <c r="G927" i="3"/>
  <c r="H927" i="3"/>
  <c r="F927" i="3"/>
  <c r="A876" i="3"/>
  <c r="A825" i="3"/>
  <c r="I760" i="3"/>
  <c r="H760" i="3"/>
  <c r="G760" i="3"/>
  <c r="F760" i="3"/>
  <c r="I627" i="3"/>
  <c r="G627" i="3"/>
  <c r="H627" i="3"/>
  <c r="F627" i="3"/>
  <c r="A366" i="3"/>
  <c r="H291" i="3"/>
  <c r="I291" i="3"/>
  <c r="G291" i="3"/>
  <c r="F291" i="3"/>
  <c r="F11" i="3"/>
  <c r="G11" i="3"/>
  <c r="I11" i="3"/>
  <c r="A995" i="4"/>
  <c r="C995" i="3"/>
  <c r="E995" i="3" s="1"/>
  <c r="A965" i="4"/>
  <c r="C965" i="3"/>
  <c r="E965" i="3" s="1"/>
  <c r="A965" i="3"/>
  <c r="A905" i="4"/>
  <c r="A905" i="3"/>
  <c r="C905" i="3"/>
  <c r="E905" i="3" s="1"/>
  <c r="A835" i="4"/>
  <c r="C835" i="3"/>
  <c r="E835" i="3" s="1"/>
  <c r="A835" i="3"/>
  <c r="A765" i="4"/>
  <c r="C765" i="3"/>
  <c r="E765" i="3" s="1"/>
  <c r="A765" i="3"/>
  <c r="A735" i="4"/>
  <c r="C735" i="3"/>
  <c r="E735" i="3" s="1"/>
  <c r="A735" i="3"/>
  <c r="A705" i="4"/>
  <c r="C705" i="3"/>
  <c r="E705" i="3" s="1"/>
  <c r="A705" i="3"/>
  <c r="A635" i="4"/>
  <c r="C635" i="3"/>
  <c r="E635" i="3" s="1"/>
  <c r="A635" i="3"/>
  <c r="A595" i="4"/>
  <c r="C595" i="3"/>
  <c r="E595" i="3" s="1"/>
  <c r="A545" i="4"/>
  <c r="C545" i="3"/>
  <c r="E545" i="3" s="1"/>
  <c r="A485" i="4"/>
  <c r="A485" i="3"/>
  <c r="C485" i="3"/>
  <c r="E485" i="3" s="1"/>
  <c r="A375" i="4"/>
  <c r="C375" i="3"/>
  <c r="E375" i="3" s="1"/>
  <c r="A375" i="3"/>
  <c r="G323" i="3"/>
  <c r="H323" i="3"/>
  <c r="I323" i="3"/>
  <c r="F323" i="3"/>
  <c r="G43" i="3"/>
  <c r="I43" i="3"/>
  <c r="F43" i="3"/>
  <c r="G23" i="3"/>
  <c r="I23" i="3"/>
  <c r="F23" i="3"/>
  <c r="A977" i="3"/>
  <c r="A926" i="3"/>
  <c r="I810" i="3"/>
  <c r="H810" i="3"/>
  <c r="F810" i="3"/>
  <c r="G810" i="3"/>
  <c r="A707" i="3"/>
  <c r="A626" i="3"/>
  <c r="A456" i="3"/>
  <c r="G163" i="3"/>
  <c r="H163" i="3"/>
  <c r="I163" i="3"/>
  <c r="F163" i="3"/>
  <c r="A88" i="3"/>
  <c r="A976" i="3"/>
  <c r="A925" i="3"/>
  <c r="I860" i="3"/>
  <c r="H860" i="3"/>
  <c r="G860" i="3"/>
  <c r="F860" i="3"/>
  <c r="G757" i="3"/>
  <c r="H757" i="3"/>
  <c r="I757" i="3"/>
  <c r="F757" i="3"/>
  <c r="G527" i="3"/>
  <c r="F527" i="3"/>
  <c r="I527" i="3"/>
  <c r="H527" i="3"/>
  <c r="H441" i="3"/>
  <c r="I441" i="3"/>
  <c r="G441" i="3"/>
  <c r="F441" i="3"/>
  <c r="F347" i="3"/>
  <c r="H347" i="3"/>
  <c r="I347" i="3"/>
  <c r="G347" i="3"/>
  <c r="I87" i="3"/>
  <c r="G87" i="3"/>
  <c r="F87" i="3"/>
  <c r="H87" i="3"/>
  <c r="H431" i="3"/>
  <c r="I431" i="3"/>
  <c r="G431" i="3"/>
  <c r="F431" i="3"/>
  <c r="H411" i="3"/>
  <c r="I411" i="3"/>
  <c r="G411" i="3"/>
  <c r="F411" i="3"/>
  <c r="H391" i="3"/>
  <c r="I391" i="3"/>
  <c r="G391" i="3"/>
  <c r="F391" i="3"/>
  <c r="H351" i="3"/>
  <c r="I351" i="3"/>
  <c r="G351" i="3"/>
  <c r="F351" i="3"/>
  <c r="H331" i="3"/>
  <c r="I331" i="3"/>
  <c r="G331" i="3"/>
  <c r="F331" i="3"/>
  <c r="H311" i="3"/>
  <c r="I311" i="3"/>
  <c r="F311" i="3"/>
  <c r="G311" i="3"/>
  <c r="H151" i="3"/>
  <c r="I151" i="3"/>
  <c r="G151" i="3"/>
  <c r="F151" i="3"/>
  <c r="H131" i="3"/>
  <c r="I131" i="3"/>
  <c r="G131" i="3"/>
  <c r="F131" i="3"/>
  <c r="H111" i="3"/>
  <c r="I111" i="3"/>
  <c r="F111" i="3"/>
  <c r="G111" i="3"/>
  <c r="I21" i="3"/>
  <c r="G21" i="3"/>
  <c r="F21" i="3"/>
  <c r="A807" i="3"/>
  <c r="A526" i="3"/>
  <c r="G143" i="3"/>
  <c r="H143" i="3"/>
  <c r="F143" i="3"/>
  <c r="I143" i="3"/>
  <c r="A955" i="4"/>
  <c r="C955" i="3"/>
  <c r="E955" i="3" s="1"/>
  <c r="A955" i="3"/>
  <c r="A915" i="4"/>
  <c r="A915" i="3"/>
  <c r="C915" i="3"/>
  <c r="E915" i="3" s="1"/>
  <c r="A855" i="4"/>
  <c r="C855" i="3"/>
  <c r="E855" i="3" s="1"/>
  <c r="A855" i="3"/>
  <c r="A795" i="4"/>
  <c r="C795" i="3"/>
  <c r="E795" i="3" s="1"/>
  <c r="A745" i="4"/>
  <c r="C745" i="3"/>
  <c r="E745" i="3" s="1"/>
  <c r="A675" i="4"/>
  <c r="C675" i="3"/>
  <c r="E675" i="3" s="1"/>
  <c r="A675" i="3"/>
  <c r="A625" i="4"/>
  <c r="C625" i="3"/>
  <c r="E625" i="3" s="1"/>
  <c r="A625" i="3"/>
  <c r="A575" i="4"/>
  <c r="C575" i="3"/>
  <c r="E575" i="3" s="1"/>
  <c r="A575" i="3"/>
  <c r="A515" i="4"/>
  <c r="C515" i="3"/>
  <c r="E515" i="3" s="1"/>
  <c r="A515" i="3"/>
  <c r="A445" i="4"/>
  <c r="C445" i="3"/>
  <c r="E445" i="3" s="1"/>
  <c r="A445" i="3"/>
  <c r="A405" i="4"/>
  <c r="C405" i="3"/>
  <c r="E405" i="3" s="1"/>
  <c r="A405" i="3"/>
  <c r="A345" i="4"/>
  <c r="C345" i="3"/>
  <c r="E345" i="3" s="1"/>
  <c r="A315" i="4"/>
  <c r="A315" i="3"/>
  <c r="C315" i="3"/>
  <c r="E315" i="3" s="1"/>
  <c r="A275" i="4"/>
  <c r="C275" i="3"/>
  <c r="E275" i="3" s="1"/>
  <c r="A235" i="4"/>
  <c r="A235" i="3"/>
  <c r="C235" i="3"/>
  <c r="E235" i="3" s="1"/>
  <c r="A185" i="4"/>
  <c r="C185" i="3"/>
  <c r="E185" i="3" s="1"/>
  <c r="A185" i="3"/>
  <c r="A145" i="4"/>
  <c r="C145" i="3"/>
  <c r="E145" i="3" s="1"/>
  <c r="A145" i="3"/>
  <c r="A105" i="4"/>
  <c r="C105" i="3"/>
  <c r="E105" i="3" s="1"/>
  <c r="A105" i="3"/>
  <c r="A65" i="4"/>
  <c r="C65" i="3"/>
  <c r="E65" i="3" s="1"/>
  <c r="A65" i="3"/>
  <c r="A15" i="4"/>
  <c r="A15" i="3"/>
  <c r="C15" i="3"/>
  <c r="E15" i="3" s="1"/>
  <c r="A994" i="4"/>
  <c r="C994" i="3"/>
  <c r="E994" i="3" s="1"/>
  <c r="A974" i="4"/>
  <c r="A974" i="3"/>
  <c r="C974" i="3"/>
  <c r="E974" i="3" s="1"/>
  <c r="A964" i="4"/>
  <c r="C964" i="3"/>
  <c r="E964" i="3" s="1"/>
  <c r="A964" i="3"/>
  <c r="A954" i="4"/>
  <c r="C954" i="3"/>
  <c r="E954" i="3" s="1"/>
  <c r="A954" i="3"/>
  <c r="A934" i="4"/>
  <c r="C934" i="3"/>
  <c r="E934" i="3" s="1"/>
  <c r="A934" i="3"/>
  <c r="A874" i="4"/>
  <c r="C874" i="3"/>
  <c r="E874" i="3" s="1"/>
  <c r="A874" i="3"/>
  <c r="A694" i="4"/>
  <c r="C694" i="3"/>
  <c r="E694" i="3" s="1"/>
  <c r="A684" i="4"/>
  <c r="C684" i="3"/>
  <c r="E684" i="3" s="1"/>
  <c r="A684" i="3"/>
  <c r="A664" i="4"/>
  <c r="C664" i="3"/>
  <c r="E664" i="3" s="1"/>
  <c r="A664" i="3"/>
  <c r="A634" i="4"/>
  <c r="C634" i="3"/>
  <c r="E634" i="3" s="1"/>
  <c r="A634" i="3"/>
  <c r="A614" i="4"/>
  <c r="C614" i="3"/>
  <c r="E614" i="3" s="1"/>
  <c r="A614" i="3"/>
  <c r="A604" i="4"/>
  <c r="A604" i="3"/>
  <c r="C604" i="3"/>
  <c r="E604" i="3" s="1"/>
  <c r="A594" i="4"/>
  <c r="C594" i="3"/>
  <c r="E594" i="3" s="1"/>
  <c r="A574" i="4"/>
  <c r="C574" i="3"/>
  <c r="E574" i="3" s="1"/>
  <c r="A574" i="3"/>
  <c r="A534" i="4"/>
  <c r="C534" i="3"/>
  <c r="E534" i="3" s="1"/>
  <c r="A534" i="3"/>
  <c r="A524" i="4"/>
  <c r="C524" i="3"/>
  <c r="E524" i="3" s="1"/>
  <c r="A524" i="3"/>
  <c r="A504" i="4"/>
  <c r="C504" i="3"/>
  <c r="E504" i="3" s="1"/>
  <c r="A504" i="3"/>
  <c r="A494" i="4"/>
  <c r="C494" i="3"/>
  <c r="E494" i="3" s="1"/>
  <c r="A474" i="4"/>
  <c r="C474" i="3"/>
  <c r="E474" i="3" s="1"/>
  <c r="A474" i="3"/>
  <c r="A444" i="4"/>
  <c r="C444" i="3"/>
  <c r="E444" i="3" s="1"/>
  <c r="A444" i="3"/>
  <c r="A424" i="4"/>
  <c r="A424" i="3"/>
  <c r="C424" i="3"/>
  <c r="E424" i="3" s="1"/>
  <c r="A404" i="4"/>
  <c r="A404" i="3"/>
  <c r="C404" i="3"/>
  <c r="E404" i="3" s="1"/>
  <c r="A384" i="4"/>
  <c r="A384" i="3"/>
  <c r="C384" i="3"/>
  <c r="E384" i="3" s="1"/>
  <c r="A354" i="4"/>
  <c r="C354" i="3"/>
  <c r="E354" i="3" s="1"/>
  <c r="A354" i="3"/>
  <c r="A304" i="4"/>
  <c r="A304" i="3"/>
  <c r="C304" i="3"/>
  <c r="E304" i="3" s="1"/>
  <c r="A284" i="4"/>
  <c r="A284" i="3"/>
  <c r="C284" i="3"/>
  <c r="E284" i="3" s="1"/>
  <c r="A274" i="4"/>
  <c r="C274" i="3"/>
  <c r="E274" i="3" s="1"/>
  <c r="A264" i="4"/>
  <c r="C264" i="3"/>
  <c r="E264" i="3" s="1"/>
  <c r="A264" i="3"/>
  <c r="A254" i="4"/>
  <c r="C254" i="3"/>
  <c r="E254" i="3" s="1"/>
  <c r="A234" i="4"/>
  <c r="C234" i="3"/>
  <c r="E234" i="3" s="1"/>
  <c r="A194" i="4"/>
  <c r="A194" i="3"/>
  <c r="C194" i="3"/>
  <c r="E194" i="3" s="1"/>
  <c r="A154" i="4"/>
  <c r="C154" i="3"/>
  <c r="E154" i="3" s="1"/>
  <c r="A154" i="3"/>
  <c r="A134" i="4"/>
  <c r="C134" i="3"/>
  <c r="E134" i="3" s="1"/>
  <c r="A134" i="3"/>
  <c r="A114" i="4"/>
  <c r="C114" i="3"/>
  <c r="E114" i="3" s="1"/>
  <c r="A114" i="3"/>
  <c r="A64" i="4"/>
  <c r="E64" i="3"/>
  <c r="A64" i="3"/>
  <c r="A44" i="4"/>
  <c r="C44" i="3"/>
  <c r="E44" i="3" s="1"/>
  <c r="A44" i="3"/>
  <c r="A24" i="4"/>
  <c r="C24" i="3"/>
  <c r="E24" i="3" s="1"/>
  <c r="A24" i="3"/>
  <c r="A4" i="4"/>
  <c r="C4" i="3"/>
  <c r="E4" i="3" s="1"/>
  <c r="A4" i="3"/>
  <c r="A993" i="4"/>
  <c r="A993" i="3"/>
  <c r="C993" i="3"/>
  <c r="E993" i="3" s="1"/>
  <c r="A983" i="4"/>
  <c r="C983" i="3"/>
  <c r="E983" i="3" s="1"/>
  <c r="A983" i="3"/>
  <c r="A973" i="4"/>
  <c r="A973" i="3"/>
  <c r="C973" i="3"/>
  <c r="E973" i="3" s="1"/>
  <c r="A963" i="4"/>
  <c r="C963" i="3"/>
  <c r="E963" i="3" s="1"/>
  <c r="A963" i="3"/>
  <c r="A953" i="4"/>
  <c r="A953" i="3"/>
  <c r="C953" i="3"/>
  <c r="E953" i="3" s="1"/>
  <c r="G463" i="3"/>
  <c r="H463" i="3"/>
  <c r="I463" i="3"/>
  <c r="F463" i="3"/>
  <c r="G453" i="3"/>
  <c r="H453" i="3"/>
  <c r="I453" i="3"/>
  <c r="F453" i="3"/>
  <c r="G443" i="3"/>
  <c r="H443" i="3"/>
  <c r="I443" i="3"/>
  <c r="F443" i="3"/>
  <c r="G433" i="3"/>
  <c r="H433" i="3"/>
  <c r="I433" i="3"/>
  <c r="F433" i="3"/>
  <c r="G423" i="3"/>
  <c r="H423" i="3"/>
  <c r="I423" i="3"/>
  <c r="F423" i="3"/>
  <c r="G363" i="3"/>
  <c r="H363" i="3"/>
  <c r="I363" i="3"/>
  <c r="F363" i="3"/>
  <c r="G343" i="3"/>
  <c r="H343" i="3"/>
  <c r="I343" i="3"/>
  <c r="F343" i="3"/>
  <c r="I610" i="3"/>
  <c r="H610" i="3"/>
  <c r="F610" i="3"/>
  <c r="G610" i="3"/>
  <c r="A1000" i="4"/>
  <c r="C1000" i="3"/>
  <c r="E1000" i="3" s="1"/>
  <c r="A1000" i="3"/>
  <c r="A990" i="4"/>
  <c r="C990" i="3"/>
  <c r="E990" i="3" s="1"/>
  <c r="A980" i="4"/>
  <c r="C980" i="3"/>
  <c r="E980" i="3" s="1"/>
  <c r="A980" i="3"/>
  <c r="A970" i="4"/>
  <c r="C970" i="3"/>
  <c r="E970" i="3" s="1"/>
  <c r="A970" i="3"/>
  <c r="C960" i="3"/>
  <c r="E960" i="3" s="1"/>
  <c r="A960" i="4"/>
  <c r="A950" i="4"/>
  <c r="C950" i="3"/>
  <c r="E950" i="3" s="1"/>
  <c r="A950" i="3"/>
  <c r="A940" i="4"/>
  <c r="C940" i="3"/>
  <c r="E940" i="3" s="1"/>
  <c r="A930" i="4"/>
  <c r="C930" i="3"/>
  <c r="E930" i="3" s="1"/>
  <c r="A930" i="3"/>
  <c r="A920" i="4"/>
  <c r="C920" i="3"/>
  <c r="E920" i="3" s="1"/>
  <c r="A920" i="3"/>
  <c r="C910" i="3"/>
  <c r="E910" i="3" s="1"/>
  <c r="A910" i="4"/>
  <c r="A900" i="4"/>
  <c r="C900" i="3"/>
  <c r="E900" i="3" s="1"/>
  <c r="A900" i="3"/>
  <c r="A890" i="4"/>
  <c r="C890" i="3"/>
  <c r="E890" i="3" s="1"/>
  <c r="C880" i="3"/>
  <c r="E880" i="3" s="1"/>
  <c r="A880" i="4"/>
  <c r="A880" i="3"/>
  <c r="A870" i="4"/>
  <c r="C870" i="3"/>
  <c r="E870" i="3" s="1"/>
  <c r="A870" i="3"/>
  <c r="A860" i="4"/>
  <c r="C860" i="3"/>
  <c r="E860" i="3" s="1"/>
  <c r="C850" i="3"/>
  <c r="E850" i="3" s="1"/>
  <c r="A850" i="4"/>
  <c r="A850" i="3"/>
  <c r="C840" i="3"/>
  <c r="E840" i="3" s="1"/>
  <c r="A840" i="4"/>
  <c r="A830" i="4"/>
  <c r="C830" i="3"/>
  <c r="E830" i="3" s="1"/>
  <c r="A830" i="3"/>
  <c r="C820" i="3"/>
  <c r="E820" i="3" s="1"/>
  <c r="A820" i="4"/>
  <c r="A820" i="3"/>
  <c r="A810" i="4"/>
  <c r="C810" i="3"/>
  <c r="E810" i="3" s="1"/>
  <c r="A800" i="4"/>
  <c r="C800" i="3"/>
  <c r="E800" i="3" s="1"/>
  <c r="A800" i="3"/>
  <c r="A790" i="4"/>
  <c r="C790" i="3"/>
  <c r="E790" i="3" s="1"/>
  <c r="A780" i="4"/>
  <c r="C780" i="3"/>
  <c r="E780" i="3" s="1"/>
  <c r="A780" i="3"/>
  <c r="A770" i="4"/>
  <c r="C770" i="3"/>
  <c r="E770" i="3" s="1"/>
  <c r="A770" i="3"/>
  <c r="A760" i="4"/>
  <c r="C760" i="3"/>
  <c r="E760" i="3" s="1"/>
  <c r="A750" i="4"/>
  <c r="C750" i="3"/>
  <c r="E750" i="3" s="1"/>
  <c r="A750" i="3"/>
  <c r="A740" i="4"/>
  <c r="C740" i="3"/>
  <c r="E740" i="3" s="1"/>
  <c r="A730" i="4"/>
  <c r="C730" i="3"/>
  <c r="E730" i="3" s="1"/>
  <c r="A730" i="3"/>
  <c r="A720" i="4"/>
  <c r="C720" i="3"/>
  <c r="E720" i="3" s="1"/>
  <c r="A720" i="3"/>
  <c r="C710" i="3"/>
  <c r="E710" i="3" s="1"/>
  <c r="A710" i="4"/>
  <c r="A700" i="4"/>
  <c r="C700" i="3"/>
  <c r="E700" i="3" s="1"/>
  <c r="A700" i="3"/>
  <c r="A690" i="4"/>
  <c r="C690" i="3"/>
  <c r="E690" i="3" s="1"/>
  <c r="A690" i="3"/>
  <c r="C680" i="3"/>
  <c r="E680" i="3" s="1"/>
  <c r="A680" i="4"/>
  <c r="A680" i="3"/>
  <c r="A670" i="4"/>
  <c r="C670" i="3"/>
  <c r="E670" i="3" s="1"/>
  <c r="A670" i="3"/>
  <c r="A660" i="4"/>
  <c r="C660" i="3"/>
  <c r="E660" i="3" s="1"/>
  <c r="A650" i="4"/>
  <c r="C650" i="3"/>
  <c r="E650" i="3" s="1"/>
  <c r="A650" i="3"/>
  <c r="C640" i="3"/>
  <c r="E640" i="3" s="1"/>
  <c r="A640" i="4"/>
  <c r="A640" i="3"/>
  <c r="A630" i="4"/>
  <c r="C630" i="3"/>
  <c r="E630" i="3" s="1"/>
  <c r="A630" i="3"/>
  <c r="C620" i="3"/>
  <c r="E620" i="3" s="1"/>
  <c r="A620" i="4"/>
  <c r="A620" i="3"/>
  <c r="A610" i="4"/>
  <c r="C610" i="3"/>
  <c r="E610" i="3" s="1"/>
  <c r="A600" i="4"/>
  <c r="C600" i="3"/>
  <c r="E600" i="3" s="1"/>
  <c r="A600" i="3"/>
  <c r="A590" i="4"/>
  <c r="C590" i="3"/>
  <c r="E590" i="3" s="1"/>
  <c r="A590" i="3"/>
  <c r="A580" i="4"/>
  <c r="C580" i="3"/>
  <c r="E580" i="3" s="1"/>
  <c r="A580" i="3"/>
  <c r="A570" i="4"/>
  <c r="C570" i="3"/>
  <c r="E570" i="3" s="1"/>
  <c r="A570" i="3"/>
  <c r="A560" i="4"/>
  <c r="C560" i="3"/>
  <c r="E560" i="3" s="1"/>
  <c r="A550" i="4"/>
  <c r="C550" i="3"/>
  <c r="E550" i="3" s="1"/>
  <c r="A550" i="3"/>
  <c r="A540" i="4"/>
  <c r="C540" i="3"/>
  <c r="E540" i="3" s="1"/>
  <c r="A540" i="3"/>
  <c r="A530" i="4"/>
  <c r="C530" i="3"/>
  <c r="E530" i="3" s="1"/>
  <c r="A530" i="3"/>
  <c r="A520" i="4"/>
  <c r="C520" i="3"/>
  <c r="E520" i="3" s="1"/>
  <c r="A520" i="3"/>
  <c r="C510" i="3"/>
  <c r="E510" i="3" s="1"/>
  <c r="A510" i="4"/>
  <c r="A500" i="4"/>
  <c r="C500" i="3"/>
  <c r="E500" i="3" s="1"/>
  <c r="A500" i="3"/>
  <c r="A490" i="4"/>
  <c r="C490" i="3"/>
  <c r="E490" i="3" s="1"/>
  <c r="A490" i="3"/>
  <c r="A480" i="4"/>
  <c r="A480" i="3"/>
  <c r="C480" i="3"/>
  <c r="E480" i="3" s="1"/>
  <c r="A470" i="4"/>
  <c r="A470" i="3"/>
  <c r="C470" i="3"/>
  <c r="E470" i="3" s="1"/>
  <c r="A460" i="4"/>
  <c r="A460" i="3"/>
  <c r="C460" i="3"/>
  <c r="E460" i="3" s="1"/>
  <c r="A450" i="3"/>
  <c r="A450" i="4"/>
  <c r="C450" i="3"/>
  <c r="E450" i="3" s="1"/>
  <c r="A440" i="4"/>
  <c r="C440" i="3"/>
  <c r="E440" i="3" s="1"/>
  <c r="A430" i="4"/>
  <c r="A430" i="3"/>
  <c r="C430" i="3"/>
  <c r="E430" i="3" s="1"/>
  <c r="A420" i="4"/>
  <c r="C420" i="3"/>
  <c r="E420" i="3" s="1"/>
  <c r="C410" i="3"/>
  <c r="E410" i="3" s="1"/>
  <c r="A410" i="4"/>
  <c r="A410" i="3"/>
  <c r="A400" i="4"/>
  <c r="C400" i="3"/>
  <c r="E400" i="3" s="1"/>
  <c r="A390" i="4"/>
  <c r="C390" i="3"/>
  <c r="E390" i="3" s="1"/>
  <c r="A390" i="3"/>
  <c r="A380" i="4"/>
  <c r="C380" i="3"/>
  <c r="E380" i="3" s="1"/>
  <c r="A380" i="3"/>
  <c r="A370" i="4"/>
  <c r="C370" i="3"/>
  <c r="E370" i="3" s="1"/>
  <c r="A370" i="3"/>
  <c r="A360" i="4"/>
  <c r="A360" i="3"/>
  <c r="C360" i="3"/>
  <c r="E360" i="3" s="1"/>
  <c r="A350" i="4"/>
  <c r="C350" i="3"/>
  <c r="E350" i="3" s="1"/>
  <c r="A350" i="3"/>
  <c r="A340" i="4"/>
  <c r="A340" i="3"/>
  <c r="C340" i="3"/>
  <c r="E340" i="3" s="1"/>
  <c r="A330" i="4"/>
  <c r="C330" i="3"/>
  <c r="E330" i="3" s="1"/>
  <c r="A320" i="4"/>
  <c r="C320" i="3"/>
  <c r="E320" i="3" s="1"/>
  <c r="A320" i="3"/>
  <c r="A310" i="4"/>
  <c r="C310" i="3"/>
  <c r="E310" i="3" s="1"/>
  <c r="A300" i="4"/>
  <c r="C300" i="3"/>
  <c r="E300" i="3" s="1"/>
  <c r="A300" i="3"/>
  <c r="A290" i="4"/>
  <c r="C290" i="3"/>
  <c r="E290" i="3" s="1"/>
  <c r="A290" i="3"/>
  <c r="A280" i="4"/>
  <c r="C280" i="3"/>
  <c r="E280" i="3" s="1"/>
  <c r="A280" i="3"/>
  <c r="A270" i="4"/>
  <c r="A270" i="3"/>
  <c r="C270" i="3"/>
  <c r="E270" i="3" s="1"/>
  <c r="A260" i="4"/>
  <c r="C260" i="3"/>
  <c r="E260" i="3" s="1"/>
  <c r="A260" i="3"/>
  <c r="A250" i="4"/>
  <c r="A250" i="3"/>
  <c r="C250" i="3"/>
  <c r="E250" i="3" s="1"/>
  <c r="A240" i="4"/>
  <c r="C240" i="3"/>
  <c r="E240" i="3" s="1"/>
  <c r="A240" i="3"/>
  <c r="A230" i="4"/>
  <c r="A230" i="3"/>
  <c r="C230" i="3"/>
  <c r="E230" i="3" s="1"/>
  <c r="A220" i="4"/>
  <c r="C220" i="3"/>
  <c r="E220" i="3" s="1"/>
  <c r="A220" i="3"/>
  <c r="A210" i="4"/>
  <c r="C210" i="3"/>
  <c r="E210" i="3" s="1"/>
  <c r="A210" i="3"/>
  <c r="A200" i="4"/>
  <c r="C200" i="3"/>
  <c r="E200" i="3" s="1"/>
  <c r="A200" i="3"/>
  <c r="A190" i="4"/>
  <c r="C190" i="3"/>
  <c r="E190" i="3" s="1"/>
  <c r="A190" i="3"/>
  <c r="A180" i="4"/>
  <c r="C180" i="3"/>
  <c r="E180" i="3" s="1"/>
  <c r="A170" i="4"/>
  <c r="A170" i="3"/>
  <c r="C170" i="3"/>
  <c r="E170" i="3" s="1"/>
  <c r="A160" i="4"/>
  <c r="A160" i="3"/>
  <c r="C160" i="3"/>
  <c r="E160" i="3" s="1"/>
  <c r="A150" i="4"/>
  <c r="C150" i="3"/>
  <c r="E150" i="3" s="1"/>
  <c r="A150" i="3"/>
  <c r="A140" i="4"/>
  <c r="C140" i="3"/>
  <c r="E140" i="3" s="1"/>
  <c r="A140" i="3"/>
  <c r="A960" i="3"/>
  <c r="A857" i="3"/>
  <c r="A795" i="3"/>
  <c r="A677" i="3"/>
  <c r="A595" i="3"/>
  <c r="A510" i="3"/>
  <c r="H421" i="3"/>
  <c r="I421" i="3"/>
  <c r="G421" i="3"/>
  <c r="F421" i="3"/>
  <c r="A67" i="3"/>
  <c r="A999" i="4"/>
  <c r="C999" i="3"/>
  <c r="E999" i="3" s="1"/>
  <c r="A999" i="3"/>
  <c r="A989" i="4"/>
  <c r="C989" i="3"/>
  <c r="E989" i="3" s="1"/>
  <c r="A989" i="3"/>
  <c r="A979" i="4"/>
  <c r="C979" i="3"/>
  <c r="E979" i="3" s="1"/>
  <c r="A979" i="3"/>
  <c r="A969" i="4"/>
  <c r="C969" i="3"/>
  <c r="E969" i="3" s="1"/>
  <c r="A969" i="3"/>
  <c r="A959" i="4"/>
  <c r="C959" i="3"/>
  <c r="E959" i="3" s="1"/>
  <c r="A959" i="3"/>
  <c r="A949" i="4"/>
  <c r="C949" i="3"/>
  <c r="E949" i="3" s="1"/>
  <c r="A949" i="3"/>
  <c r="A939" i="4"/>
  <c r="C939" i="3"/>
  <c r="E939" i="3" s="1"/>
  <c r="A939" i="3"/>
  <c r="A929" i="4"/>
  <c r="C929" i="3"/>
  <c r="E929" i="3" s="1"/>
  <c r="A929" i="3"/>
  <c r="A919" i="4"/>
  <c r="C919" i="3"/>
  <c r="E919" i="3" s="1"/>
  <c r="A919" i="3"/>
  <c r="A909" i="4"/>
  <c r="C909" i="3"/>
  <c r="E909" i="3" s="1"/>
  <c r="A909" i="3"/>
  <c r="A899" i="4"/>
  <c r="C899" i="3"/>
  <c r="E899" i="3" s="1"/>
  <c r="A899" i="3"/>
  <c r="A889" i="4"/>
  <c r="C889" i="3"/>
  <c r="E889" i="3" s="1"/>
  <c r="A889" i="3"/>
  <c r="A879" i="4"/>
  <c r="C879" i="3"/>
  <c r="E879" i="3" s="1"/>
  <c r="A879" i="3"/>
  <c r="A869" i="4"/>
  <c r="A869" i="3"/>
  <c r="C869" i="3"/>
  <c r="E869" i="3" s="1"/>
  <c r="A859" i="4"/>
  <c r="A859" i="3"/>
  <c r="C859" i="3"/>
  <c r="E859" i="3" s="1"/>
  <c r="A849" i="4"/>
  <c r="A849" i="3"/>
  <c r="C849" i="3"/>
  <c r="E849" i="3" s="1"/>
  <c r="A839" i="4"/>
  <c r="A839" i="3"/>
  <c r="C839" i="3"/>
  <c r="E839" i="3" s="1"/>
  <c r="A829" i="4"/>
  <c r="A829" i="3"/>
  <c r="C829" i="3"/>
  <c r="E829" i="3" s="1"/>
  <c r="A819" i="4"/>
  <c r="A819" i="3"/>
  <c r="C819" i="3"/>
  <c r="E819" i="3" s="1"/>
  <c r="A809" i="4"/>
  <c r="C809" i="3"/>
  <c r="E809" i="3" s="1"/>
  <c r="A809" i="3"/>
  <c r="A799" i="4"/>
  <c r="C799" i="3"/>
  <c r="E799" i="3" s="1"/>
  <c r="A799" i="3"/>
  <c r="A789" i="4"/>
  <c r="C789" i="3"/>
  <c r="E789" i="3" s="1"/>
  <c r="A789" i="3"/>
  <c r="A779" i="4"/>
  <c r="C779" i="3"/>
  <c r="E779" i="3" s="1"/>
  <c r="A779" i="3"/>
  <c r="A769" i="4"/>
  <c r="A769" i="3"/>
  <c r="C769" i="3"/>
  <c r="E769" i="3" s="1"/>
  <c r="A759" i="4"/>
  <c r="C759" i="3"/>
  <c r="E759" i="3" s="1"/>
  <c r="A759" i="3"/>
  <c r="A749" i="4"/>
  <c r="A749" i="3"/>
  <c r="C749" i="3"/>
  <c r="E749" i="3" s="1"/>
  <c r="C739" i="3"/>
  <c r="E739" i="3" s="1"/>
  <c r="A739" i="4"/>
  <c r="A739" i="3"/>
  <c r="A729" i="4"/>
  <c r="A729" i="3"/>
  <c r="C729" i="3"/>
  <c r="E729" i="3" s="1"/>
  <c r="A719" i="4"/>
  <c r="C719" i="3"/>
  <c r="E719" i="3" s="1"/>
  <c r="A719" i="3"/>
  <c r="A709" i="4"/>
  <c r="C709" i="3"/>
  <c r="E709" i="3" s="1"/>
  <c r="A709" i="3"/>
  <c r="A699" i="4"/>
  <c r="C699" i="3"/>
  <c r="E699" i="3" s="1"/>
  <c r="A699" i="3"/>
  <c r="A689" i="4"/>
  <c r="C689" i="3"/>
  <c r="E689" i="3" s="1"/>
  <c r="A689" i="3"/>
  <c r="A679" i="4"/>
  <c r="C679" i="3"/>
  <c r="E679" i="3" s="1"/>
  <c r="A679" i="3"/>
  <c r="A669" i="4"/>
  <c r="C669" i="3"/>
  <c r="E669" i="3" s="1"/>
  <c r="A669" i="3"/>
  <c r="A659" i="4"/>
  <c r="A659" i="3"/>
  <c r="C659" i="3"/>
  <c r="E659" i="3" s="1"/>
  <c r="A649" i="4"/>
  <c r="C649" i="3"/>
  <c r="E649" i="3" s="1"/>
  <c r="A649" i="3"/>
  <c r="A639" i="4"/>
  <c r="A639" i="3"/>
  <c r="C639" i="3"/>
  <c r="E639" i="3" s="1"/>
  <c r="A629" i="4"/>
  <c r="C629" i="3"/>
  <c r="E629" i="3" s="1"/>
  <c r="A629" i="3"/>
  <c r="A619" i="4"/>
  <c r="A619" i="3"/>
  <c r="C619" i="3"/>
  <c r="E619" i="3" s="1"/>
  <c r="A609" i="4"/>
  <c r="C609" i="3"/>
  <c r="E609" i="3" s="1"/>
  <c r="A609" i="3"/>
  <c r="A599" i="4"/>
  <c r="C599" i="3"/>
  <c r="E599" i="3" s="1"/>
  <c r="A599" i="3"/>
  <c r="A589" i="4"/>
  <c r="C589" i="3"/>
  <c r="E589" i="3" s="1"/>
  <c r="A589" i="3"/>
  <c r="A579" i="4"/>
  <c r="C579" i="3"/>
  <c r="E579" i="3" s="1"/>
  <c r="A579" i="3"/>
  <c r="A569" i="4"/>
  <c r="A569" i="3"/>
  <c r="C569" i="3"/>
  <c r="E569" i="3" s="1"/>
  <c r="A559" i="4"/>
  <c r="C559" i="3"/>
  <c r="E559" i="3" s="1"/>
  <c r="A559" i="3"/>
  <c r="A549" i="4"/>
  <c r="A549" i="3"/>
  <c r="C549" i="3"/>
  <c r="E549" i="3" s="1"/>
  <c r="A539" i="4"/>
  <c r="C539" i="3"/>
  <c r="E539" i="3" s="1"/>
  <c r="A539" i="3"/>
  <c r="A529" i="4"/>
  <c r="A529" i="3"/>
  <c r="C529" i="3"/>
  <c r="E529" i="3" s="1"/>
  <c r="A519" i="4"/>
  <c r="C519" i="3"/>
  <c r="E519" i="3" s="1"/>
  <c r="A519" i="3"/>
  <c r="A509" i="4"/>
  <c r="C509" i="3"/>
  <c r="E509" i="3" s="1"/>
  <c r="A509" i="3"/>
  <c r="A499" i="4"/>
  <c r="C499" i="3"/>
  <c r="E499" i="3" s="1"/>
  <c r="A499" i="3"/>
  <c r="A489" i="4"/>
  <c r="C489" i="3"/>
  <c r="E489" i="3" s="1"/>
  <c r="A489" i="3"/>
  <c r="C479" i="3"/>
  <c r="E479" i="3" s="1"/>
  <c r="A479" i="4"/>
  <c r="A479" i="3"/>
  <c r="A469" i="4"/>
  <c r="C469" i="3"/>
  <c r="E469" i="3" s="1"/>
  <c r="A469" i="3"/>
  <c r="A459" i="4"/>
  <c r="C459" i="3"/>
  <c r="E459" i="3" s="1"/>
  <c r="A459" i="3"/>
  <c r="C449" i="3"/>
  <c r="E449" i="3" s="1"/>
  <c r="A449" i="3"/>
  <c r="A449" i="4"/>
  <c r="C439" i="3"/>
  <c r="E439" i="3" s="1"/>
  <c r="A439" i="4"/>
  <c r="A439" i="3"/>
  <c r="A429" i="4"/>
  <c r="C429" i="3"/>
  <c r="E429" i="3" s="1"/>
  <c r="A429" i="3"/>
  <c r="C419" i="3"/>
  <c r="E419" i="3" s="1"/>
  <c r="A419" i="4"/>
  <c r="A419" i="3"/>
  <c r="A409" i="4"/>
  <c r="C409" i="3"/>
  <c r="E409" i="3" s="1"/>
  <c r="A409" i="3"/>
  <c r="A399" i="4"/>
  <c r="C399" i="3"/>
  <c r="E399" i="3" s="1"/>
  <c r="A399" i="3"/>
  <c r="C389" i="3"/>
  <c r="E389" i="3" s="1"/>
  <c r="A389" i="4"/>
  <c r="A389" i="3"/>
  <c r="A379" i="4"/>
  <c r="C379" i="3"/>
  <c r="E379" i="3" s="1"/>
  <c r="A379" i="3"/>
  <c r="A369" i="4"/>
  <c r="C369" i="3"/>
  <c r="E369" i="3" s="1"/>
  <c r="A369" i="3"/>
  <c r="A359" i="4"/>
  <c r="C359" i="3"/>
  <c r="E359" i="3" s="1"/>
  <c r="A359" i="3"/>
  <c r="A349" i="4"/>
  <c r="C349" i="3"/>
  <c r="E349" i="3" s="1"/>
  <c r="A349" i="3"/>
  <c r="C339" i="3"/>
  <c r="E339" i="3" s="1"/>
  <c r="A339" i="4"/>
  <c r="A339" i="3"/>
  <c r="A329" i="4"/>
  <c r="C329" i="3"/>
  <c r="E329" i="3" s="1"/>
  <c r="A319" i="4"/>
  <c r="C319" i="3"/>
  <c r="E319" i="3" s="1"/>
  <c r="A319" i="3"/>
  <c r="A309" i="4"/>
  <c r="C309" i="3"/>
  <c r="E309" i="3" s="1"/>
  <c r="C299" i="3"/>
  <c r="E299" i="3" s="1"/>
  <c r="A299" i="4"/>
  <c r="A299" i="3"/>
  <c r="A289" i="4"/>
  <c r="C289" i="3"/>
  <c r="E289" i="3" s="1"/>
  <c r="A279" i="4"/>
  <c r="C279" i="3"/>
  <c r="E279" i="3" s="1"/>
  <c r="A279" i="3"/>
  <c r="A269" i="4"/>
  <c r="C269" i="3"/>
  <c r="E269" i="3" s="1"/>
  <c r="A269" i="3"/>
  <c r="A259" i="4"/>
  <c r="C259" i="3"/>
  <c r="E259" i="3" s="1"/>
  <c r="A259" i="3"/>
  <c r="A249" i="4"/>
  <c r="C249" i="3"/>
  <c r="E249" i="3" s="1"/>
  <c r="A249" i="3"/>
  <c r="C239" i="3"/>
  <c r="E239" i="3" s="1"/>
  <c r="A239" i="3"/>
  <c r="A239" i="4"/>
  <c r="A229" i="4"/>
  <c r="C229" i="3"/>
  <c r="E229" i="3" s="1"/>
  <c r="A229" i="3"/>
  <c r="A219" i="4"/>
  <c r="C219" i="3"/>
  <c r="E219" i="3" s="1"/>
  <c r="A209" i="4"/>
  <c r="C209" i="3"/>
  <c r="E209" i="3" s="1"/>
  <c r="A209" i="3"/>
  <c r="A199" i="4"/>
  <c r="C199" i="3"/>
  <c r="E199" i="3" s="1"/>
  <c r="A189" i="4"/>
  <c r="C189" i="3"/>
  <c r="E189" i="3" s="1"/>
  <c r="A189" i="3"/>
  <c r="A179" i="4"/>
  <c r="C179" i="3"/>
  <c r="E179" i="3" s="1"/>
  <c r="A179" i="3"/>
  <c r="A169" i="4"/>
  <c r="C169" i="3"/>
  <c r="E169" i="3" s="1"/>
  <c r="A169" i="3"/>
  <c r="A159" i="4"/>
  <c r="C159" i="3"/>
  <c r="E159" i="3" s="1"/>
  <c r="A159" i="3"/>
  <c r="A149" i="4"/>
  <c r="C149" i="3"/>
  <c r="E149" i="3" s="1"/>
  <c r="A149" i="3"/>
  <c r="A139" i="4"/>
  <c r="C139" i="3"/>
  <c r="E139" i="3" s="1"/>
  <c r="A139" i="3"/>
  <c r="A129" i="4"/>
  <c r="C129" i="3"/>
  <c r="E129" i="3" s="1"/>
  <c r="A129" i="3"/>
  <c r="A119" i="4"/>
  <c r="C119" i="3"/>
  <c r="E119" i="3" s="1"/>
  <c r="A119" i="3"/>
  <c r="A109" i="4"/>
  <c r="C109" i="3"/>
  <c r="E109" i="3" s="1"/>
  <c r="A109" i="3"/>
  <c r="C99" i="3"/>
  <c r="E99" i="3" s="1"/>
  <c r="A99" i="4"/>
  <c r="A99" i="3"/>
  <c r="A89" i="4"/>
  <c r="C89" i="3"/>
  <c r="E89" i="3" s="1"/>
  <c r="A89" i="3"/>
  <c r="A79" i="4"/>
  <c r="C79" i="3"/>
  <c r="E79" i="3" s="1"/>
  <c r="A79" i="3"/>
  <c r="A69" i="4"/>
  <c r="C69" i="3"/>
  <c r="E69" i="3" s="1"/>
  <c r="A59" i="4"/>
  <c r="C59" i="3"/>
  <c r="E59" i="3" s="1"/>
  <c r="A59" i="3"/>
  <c r="A49" i="4"/>
  <c r="C49" i="3"/>
  <c r="E49" i="3" s="1"/>
  <c r="A49" i="3"/>
  <c r="A39" i="4"/>
  <c r="C39" i="3"/>
  <c r="E39" i="3" s="1"/>
  <c r="A39" i="3"/>
  <c r="A29" i="4"/>
  <c r="C29" i="3"/>
  <c r="E29" i="3" s="1"/>
  <c r="A29" i="3"/>
  <c r="A19" i="4"/>
  <c r="C19" i="3"/>
  <c r="E19" i="3" s="1"/>
  <c r="A19" i="3"/>
  <c r="A9" i="4"/>
  <c r="C9" i="3"/>
  <c r="E9" i="3" s="1"/>
  <c r="A9" i="3"/>
  <c r="A907" i="3"/>
  <c r="A845" i="3"/>
  <c r="A740" i="3"/>
  <c r="A676" i="3"/>
  <c r="A594" i="3"/>
  <c r="A420" i="3"/>
  <c r="A330" i="3"/>
  <c r="A254" i="3"/>
  <c r="A199" i="3"/>
  <c r="A125" i="3"/>
  <c r="G53" i="3"/>
  <c r="I53" i="3"/>
  <c r="F53" i="3"/>
  <c r="A975" i="4"/>
  <c r="C975" i="3"/>
  <c r="E975" i="3" s="1"/>
  <c r="A935" i="4"/>
  <c r="C935" i="3"/>
  <c r="E935" i="3" s="1"/>
  <c r="A935" i="3"/>
  <c r="A875" i="4"/>
  <c r="C875" i="3"/>
  <c r="E875" i="3" s="1"/>
  <c r="A815" i="4"/>
  <c r="C815" i="3"/>
  <c r="E815" i="3" s="1"/>
  <c r="A815" i="3"/>
  <c r="A755" i="4"/>
  <c r="C755" i="3"/>
  <c r="E755" i="3" s="1"/>
  <c r="A755" i="3"/>
  <c r="A695" i="4"/>
  <c r="C695" i="3"/>
  <c r="E695" i="3" s="1"/>
  <c r="A645" i="4"/>
  <c r="C645" i="3"/>
  <c r="E645" i="3" s="1"/>
  <c r="A585" i="4"/>
  <c r="C585" i="3"/>
  <c r="E585" i="3" s="1"/>
  <c r="A585" i="3"/>
  <c r="A535" i="4"/>
  <c r="C535" i="3"/>
  <c r="E535" i="3" s="1"/>
  <c r="A535" i="3"/>
  <c r="A465" i="4"/>
  <c r="C465" i="3"/>
  <c r="E465" i="3" s="1"/>
  <c r="A465" i="3"/>
  <c r="A415" i="4"/>
  <c r="A415" i="3"/>
  <c r="C415" i="3"/>
  <c r="E415" i="3" s="1"/>
  <c r="A365" i="4"/>
  <c r="C365" i="3"/>
  <c r="E365" i="3" s="1"/>
  <c r="A325" i="4"/>
  <c r="C325" i="3"/>
  <c r="E325" i="3" s="1"/>
  <c r="A325" i="3"/>
  <c r="A295" i="4"/>
  <c r="C295" i="3"/>
  <c r="E295" i="3" s="1"/>
  <c r="A295" i="3"/>
  <c r="A255" i="4"/>
  <c r="C255" i="3"/>
  <c r="E255" i="3" s="1"/>
  <c r="A225" i="4"/>
  <c r="C225" i="3"/>
  <c r="E225" i="3" s="1"/>
  <c r="A225" i="3"/>
  <c r="A195" i="4"/>
  <c r="A195" i="3"/>
  <c r="C195" i="3"/>
  <c r="E195" i="3" s="1"/>
  <c r="A175" i="4"/>
  <c r="C175" i="3"/>
  <c r="E175" i="3" s="1"/>
  <c r="A175" i="3"/>
  <c r="A135" i="4"/>
  <c r="C135" i="3"/>
  <c r="E135" i="3" s="1"/>
  <c r="A135" i="3"/>
  <c r="A85" i="4"/>
  <c r="C85" i="3"/>
  <c r="E85" i="3" s="1"/>
  <c r="A85" i="3"/>
  <c r="A55" i="4"/>
  <c r="A55" i="3"/>
  <c r="C55" i="3"/>
  <c r="E55" i="3" s="1"/>
  <c r="A25" i="4"/>
  <c r="C25" i="3"/>
  <c r="E25" i="3" s="1"/>
  <c r="A25" i="3"/>
  <c r="A984" i="4"/>
  <c r="C984" i="3"/>
  <c r="E984" i="3" s="1"/>
  <c r="A984" i="3"/>
  <c r="A944" i="4"/>
  <c r="C944" i="3"/>
  <c r="E944" i="3" s="1"/>
  <c r="A924" i="4"/>
  <c r="C924" i="3"/>
  <c r="E924" i="3" s="1"/>
  <c r="A924" i="3"/>
  <c r="A904" i="4"/>
  <c r="C904" i="3"/>
  <c r="E904" i="3" s="1"/>
  <c r="A904" i="3"/>
  <c r="A894" i="4"/>
  <c r="C894" i="3"/>
  <c r="E894" i="3" s="1"/>
  <c r="A884" i="4"/>
  <c r="C884" i="3"/>
  <c r="E884" i="3" s="1"/>
  <c r="A884" i="3"/>
  <c r="A864" i="4"/>
  <c r="C864" i="3"/>
  <c r="E864" i="3" s="1"/>
  <c r="A864" i="3"/>
  <c r="A854" i="4"/>
  <c r="C854" i="3"/>
  <c r="E854" i="3" s="1"/>
  <c r="A854" i="3"/>
  <c r="A844" i="4"/>
  <c r="C844" i="3"/>
  <c r="E844" i="3" s="1"/>
  <c r="A834" i="4"/>
  <c r="C834" i="3"/>
  <c r="E834" i="3" s="1"/>
  <c r="A834" i="3"/>
  <c r="A824" i="4"/>
  <c r="C824" i="3"/>
  <c r="E824" i="3" s="1"/>
  <c r="A824" i="3"/>
  <c r="A814" i="4"/>
  <c r="C814" i="3"/>
  <c r="E814" i="3" s="1"/>
  <c r="A814" i="3"/>
  <c r="A804" i="4"/>
  <c r="A804" i="3"/>
  <c r="C804" i="3"/>
  <c r="E804" i="3" s="1"/>
  <c r="A794" i="4"/>
  <c r="C794" i="3"/>
  <c r="E794" i="3" s="1"/>
  <c r="A784" i="4"/>
  <c r="A784" i="3"/>
  <c r="C784" i="3"/>
  <c r="E784" i="3" s="1"/>
  <c r="A774" i="4"/>
  <c r="C774" i="3"/>
  <c r="E774" i="3" s="1"/>
  <c r="A774" i="3"/>
  <c r="A764" i="4"/>
  <c r="C764" i="3"/>
  <c r="E764" i="3" s="1"/>
  <c r="A764" i="3"/>
  <c r="A754" i="4"/>
  <c r="C754" i="3"/>
  <c r="E754" i="3" s="1"/>
  <c r="A754" i="3"/>
  <c r="A744" i="4"/>
  <c r="C744" i="3"/>
  <c r="E744" i="3" s="1"/>
  <c r="A734" i="4"/>
  <c r="C734" i="3"/>
  <c r="E734" i="3" s="1"/>
  <c r="A734" i="3"/>
  <c r="A724" i="4"/>
  <c r="C724" i="3"/>
  <c r="E724" i="3" s="1"/>
  <c r="A724" i="3"/>
  <c r="A714" i="4"/>
  <c r="C714" i="3"/>
  <c r="E714" i="3" s="1"/>
  <c r="A714" i="3"/>
  <c r="A704" i="4"/>
  <c r="C704" i="3"/>
  <c r="E704" i="3" s="1"/>
  <c r="A704" i="3"/>
  <c r="A674" i="4"/>
  <c r="C674" i="3"/>
  <c r="E674" i="3" s="1"/>
  <c r="A674" i="3"/>
  <c r="A654" i="4"/>
  <c r="C654" i="3"/>
  <c r="E654" i="3" s="1"/>
  <c r="A654" i="3"/>
  <c r="A644" i="4"/>
  <c r="C644" i="3"/>
  <c r="E644" i="3" s="1"/>
  <c r="A624" i="4"/>
  <c r="C624" i="3"/>
  <c r="E624" i="3" s="1"/>
  <c r="A624" i="3"/>
  <c r="A584" i="4"/>
  <c r="C584" i="3"/>
  <c r="E584" i="3" s="1"/>
  <c r="A584" i="3"/>
  <c r="A564" i="4"/>
  <c r="C564" i="3"/>
  <c r="E564" i="3" s="1"/>
  <c r="A564" i="3"/>
  <c r="A554" i="4"/>
  <c r="C554" i="3"/>
  <c r="E554" i="3" s="1"/>
  <c r="A554" i="3"/>
  <c r="A544" i="4"/>
  <c r="C544" i="3"/>
  <c r="E544" i="3" s="1"/>
  <c r="A514" i="4"/>
  <c r="C514" i="3"/>
  <c r="E514" i="3" s="1"/>
  <c r="A514" i="3"/>
  <c r="A484" i="4"/>
  <c r="C484" i="3"/>
  <c r="E484" i="3" s="1"/>
  <c r="A484" i="3"/>
  <c r="A464" i="4"/>
  <c r="C464" i="3"/>
  <c r="E464" i="3" s="1"/>
  <c r="A464" i="3"/>
  <c r="A454" i="4"/>
  <c r="C454" i="3"/>
  <c r="E454" i="3" s="1"/>
  <c r="A454" i="3"/>
  <c r="A434" i="4"/>
  <c r="C434" i="3"/>
  <c r="E434" i="3" s="1"/>
  <c r="A434" i="3"/>
  <c r="A414" i="4"/>
  <c r="C414" i="3"/>
  <c r="E414" i="3" s="1"/>
  <c r="A414" i="3"/>
  <c r="A394" i="4"/>
  <c r="A394" i="3"/>
  <c r="C394" i="3"/>
  <c r="E394" i="3" s="1"/>
  <c r="A374" i="4"/>
  <c r="A374" i="3"/>
  <c r="C374" i="3"/>
  <c r="E374" i="3" s="1"/>
  <c r="A364" i="4"/>
  <c r="C364" i="3"/>
  <c r="E364" i="3" s="1"/>
  <c r="A364" i="3"/>
  <c r="A344" i="4"/>
  <c r="C344" i="3"/>
  <c r="E344" i="3" s="1"/>
  <c r="A344" i="3"/>
  <c r="A334" i="4"/>
  <c r="C334" i="3"/>
  <c r="E334" i="3" s="1"/>
  <c r="A334" i="3"/>
  <c r="A324" i="4"/>
  <c r="A324" i="3"/>
  <c r="C324" i="3"/>
  <c r="E324" i="3" s="1"/>
  <c r="A314" i="4"/>
  <c r="C314" i="3"/>
  <c r="E314" i="3" s="1"/>
  <c r="A314" i="3"/>
  <c r="A294" i="4"/>
  <c r="C294" i="3"/>
  <c r="E294" i="3" s="1"/>
  <c r="A294" i="3"/>
  <c r="A244" i="4"/>
  <c r="C244" i="3"/>
  <c r="E244" i="3" s="1"/>
  <c r="A244" i="3"/>
  <c r="A224" i="4"/>
  <c r="C224" i="3"/>
  <c r="E224" i="3" s="1"/>
  <c r="A224" i="3"/>
  <c r="A214" i="4"/>
  <c r="C214" i="3"/>
  <c r="E214" i="3" s="1"/>
  <c r="A214" i="3"/>
  <c r="A204" i="4"/>
  <c r="A204" i="3"/>
  <c r="C204" i="3"/>
  <c r="E204" i="3" s="1"/>
  <c r="A184" i="4"/>
  <c r="C184" i="3"/>
  <c r="E184" i="3" s="1"/>
  <c r="A184" i="3"/>
  <c r="A174" i="4"/>
  <c r="C174" i="3"/>
  <c r="E174" i="3" s="1"/>
  <c r="A174" i="3"/>
  <c r="A164" i="4"/>
  <c r="C164" i="3"/>
  <c r="E164" i="3" s="1"/>
  <c r="A144" i="4"/>
  <c r="C144" i="3"/>
  <c r="E144" i="3" s="1"/>
  <c r="A124" i="4"/>
  <c r="A124" i="3"/>
  <c r="C124" i="3"/>
  <c r="E124" i="3" s="1"/>
  <c r="A104" i="4"/>
  <c r="A104" i="3"/>
  <c r="C104" i="3"/>
  <c r="E104" i="3" s="1"/>
  <c r="A94" i="4"/>
  <c r="A94" i="3"/>
  <c r="C94" i="3"/>
  <c r="E94" i="3" s="1"/>
  <c r="A74" i="4"/>
  <c r="C74" i="3"/>
  <c r="E74" i="3" s="1"/>
  <c r="A74" i="3"/>
  <c r="A54" i="4"/>
  <c r="C54" i="3"/>
  <c r="E54" i="3" s="1"/>
  <c r="A54" i="3"/>
  <c r="A34" i="4"/>
  <c r="C34" i="3"/>
  <c r="E34" i="3" s="1"/>
  <c r="A34" i="3"/>
  <c r="A14" i="4"/>
  <c r="C14" i="3"/>
  <c r="E14" i="3" s="1"/>
  <c r="A998" i="4"/>
  <c r="C998" i="3"/>
  <c r="E998" i="3" s="1"/>
  <c r="A998" i="3"/>
  <c r="A988" i="4"/>
  <c r="C988" i="3"/>
  <c r="E988" i="3" s="1"/>
  <c r="A988" i="3"/>
  <c r="A978" i="4"/>
  <c r="C978" i="3"/>
  <c r="E978" i="3" s="1"/>
  <c r="A978" i="3"/>
  <c r="A968" i="4"/>
  <c r="C968" i="3"/>
  <c r="E968" i="3" s="1"/>
  <c r="A968" i="3"/>
  <c r="A958" i="4"/>
  <c r="C958" i="3"/>
  <c r="E958" i="3" s="1"/>
  <c r="A948" i="4"/>
  <c r="C948" i="3"/>
  <c r="E948" i="3" s="1"/>
  <c r="A948" i="3"/>
  <c r="A938" i="4"/>
  <c r="A938" i="3"/>
  <c r="C938" i="3"/>
  <c r="E938" i="3" s="1"/>
  <c r="A928" i="4"/>
  <c r="C928" i="3"/>
  <c r="E928" i="3" s="1"/>
  <c r="A928" i="3"/>
  <c r="A918" i="4"/>
  <c r="C918" i="3"/>
  <c r="E918" i="3" s="1"/>
  <c r="A918" i="3"/>
  <c r="A908" i="4"/>
  <c r="C908" i="3"/>
  <c r="E908" i="3" s="1"/>
  <c r="A898" i="4"/>
  <c r="C898" i="3"/>
  <c r="E898" i="3" s="1"/>
  <c r="A898" i="3"/>
  <c r="A888" i="4"/>
  <c r="C888" i="3"/>
  <c r="E888" i="3" s="1"/>
  <c r="A888" i="3"/>
  <c r="A878" i="4"/>
  <c r="C878" i="3"/>
  <c r="E878" i="3" s="1"/>
  <c r="A878" i="3"/>
  <c r="A868" i="4"/>
  <c r="C868" i="3"/>
  <c r="E868" i="3" s="1"/>
  <c r="A868" i="3"/>
  <c r="A858" i="4"/>
  <c r="C858" i="3"/>
  <c r="E858" i="3" s="1"/>
  <c r="A848" i="4"/>
  <c r="C848" i="3"/>
  <c r="E848" i="3" s="1"/>
  <c r="A848" i="3"/>
  <c r="A838" i="4"/>
  <c r="C838" i="3"/>
  <c r="E838" i="3" s="1"/>
  <c r="A838" i="3"/>
  <c r="A828" i="4"/>
  <c r="C828" i="3"/>
  <c r="E828" i="3" s="1"/>
  <c r="A828" i="3"/>
  <c r="A818" i="4"/>
  <c r="C818" i="3"/>
  <c r="E818" i="3" s="1"/>
  <c r="A818" i="3"/>
  <c r="A808" i="4"/>
  <c r="C808" i="3"/>
  <c r="E808" i="3" s="1"/>
  <c r="A798" i="4"/>
  <c r="C798" i="3"/>
  <c r="E798" i="3" s="1"/>
  <c r="A798" i="3"/>
  <c r="A788" i="4"/>
  <c r="C788" i="3"/>
  <c r="E788" i="3" s="1"/>
  <c r="A788" i="3"/>
  <c r="A778" i="4"/>
  <c r="C778" i="3"/>
  <c r="E778" i="3" s="1"/>
  <c r="A778" i="3"/>
  <c r="A768" i="4"/>
  <c r="C768" i="3"/>
  <c r="E768" i="3" s="1"/>
  <c r="A768" i="3"/>
  <c r="A758" i="4"/>
  <c r="C758" i="3"/>
  <c r="E758" i="3" s="1"/>
  <c r="A748" i="4"/>
  <c r="A748" i="3"/>
  <c r="C748" i="3"/>
  <c r="E748" i="3" s="1"/>
  <c r="A738" i="4"/>
  <c r="C738" i="3"/>
  <c r="E738" i="3" s="1"/>
  <c r="A738" i="3"/>
  <c r="A728" i="4"/>
  <c r="C728" i="3"/>
  <c r="E728" i="3" s="1"/>
  <c r="A728" i="3"/>
  <c r="A718" i="4"/>
  <c r="A718" i="3"/>
  <c r="C718" i="3"/>
  <c r="E718" i="3" s="1"/>
  <c r="A708" i="4"/>
  <c r="C708" i="3"/>
  <c r="E708" i="3" s="1"/>
  <c r="C698" i="3"/>
  <c r="E698" i="3" s="1"/>
  <c r="A698" i="4"/>
  <c r="A698" i="3"/>
  <c r="A688" i="4"/>
  <c r="C688" i="3"/>
  <c r="E688" i="3" s="1"/>
  <c r="A688" i="3"/>
  <c r="A678" i="4"/>
  <c r="C678" i="3"/>
  <c r="E678" i="3" s="1"/>
  <c r="A678" i="3"/>
  <c r="A668" i="4"/>
  <c r="C668" i="3"/>
  <c r="E668" i="3" s="1"/>
  <c r="A668" i="3"/>
  <c r="A658" i="4"/>
  <c r="C658" i="3"/>
  <c r="E658" i="3" s="1"/>
  <c r="A648" i="4"/>
  <c r="C648" i="3"/>
  <c r="E648" i="3" s="1"/>
  <c r="A648" i="3"/>
  <c r="A638" i="4"/>
  <c r="C638" i="3"/>
  <c r="E638" i="3" s="1"/>
  <c r="A638" i="3"/>
  <c r="A628" i="4"/>
  <c r="C628" i="3"/>
  <c r="E628" i="3" s="1"/>
  <c r="A628" i="3"/>
  <c r="A618" i="4"/>
  <c r="C618" i="3"/>
  <c r="E618" i="3" s="1"/>
  <c r="A618" i="3"/>
  <c r="A608" i="4"/>
  <c r="C608" i="3"/>
  <c r="E608" i="3" s="1"/>
  <c r="A598" i="4"/>
  <c r="C598" i="3"/>
  <c r="E598" i="3" s="1"/>
  <c r="A598" i="3"/>
  <c r="A588" i="4"/>
  <c r="C588" i="3"/>
  <c r="E588" i="3" s="1"/>
  <c r="A588" i="3"/>
  <c r="A578" i="4"/>
  <c r="C578" i="3"/>
  <c r="E578" i="3" s="1"/>
  <c r="A578" i="3"/>
  <c r="C568" i="3"/>
  <c r="E568" i="3" s="1"/>
  <c r="A568" i="4"/>
  <c r="A568" i="3"/>
  <c r="A558" i="4"/>
  <c r="C558" i="3"/>
  <c r="E558" i="3" s="1"/>
  <c r="A548" i="4"/>
  <c r="C548" i="3"/>
  <c r="E548" i="3" s="1"/>
  <c r="A548" i="3"/>
  <c r="A538" i="4"/>
  <c r="C538" i="3"/>
  <c r="E538" i="3" s="1"/>
  <c r="A538" i="3"/>
  <c r="A528" i="4"/>
  <c r="C528" i="3"/>
  <c r="E528" i="3" s="1"/>
  <c r="A528" i="3"/>
  <c r="A518" i="4"/>
  <c r="C518" i="3"/>
  <c r="E518" i="3" s="1"/>
  <c r="A518" i="3"/>
  <c r="A508" i="4"/>
  <c r="C508" i="3"/>
  <c r="E508" i="3" s="1"/>
  <c r="A498" i="4"/>
  <c r="C498" i="3"/>
  <c r="E498" i="3" s="1"/>
  <c r="A498" i="3"/>
  <c r="A488" i="4"/>
  <c r="C488" i="3"/>
  <c r="E488" i="3" s="1"/>
  <c r="A488" i="3"/>
  <c r="A478" i="4"/>
  <c r="C478" i="3"/>
  <c r="E478" i="3" s="1"/>
  <c r="A478" i="3"/>
  <c r="A468" i="4"/>
  <c r="C468" i="3"/>
  <c r="E468" i="3" s="1"/>
  <c r="A468" i="3"/>
  <c r="A458" i="4"/>
  <c r="C458" i="3"/>
  <c r="E458" i="3" s="1"/>
  <c r="A448" i="4"/>
  <c r="A448" i="3"/>
  <c r="C448" i="3"/>
  <c r="E448" i="3" s="1"/>
  <c r="A438" i="4"/>
  <c r="A438" i="3"/>
  <c r="C438" i="3"/>
  <c r="E438" i="3" s="1"/>
  <c r="A428" i="4"/>
  <c r="A428" i="3"/>
  <c r="C428" i="3"/>
  <c r="E428" i="3" s="1"/>
  <c r="A418" i="4"/>
  <c r="C418" i="3"/>
  <c r="E418" i="3" s="1"/>
  <c r="A418" i="3"/>
  <c r="A408" i="4"/>
  <c r="C408" i="3"/>
  <c r="E408" i="3" s="1"/>
  <c r="A408" i="3"/>
  <c r="A398" i="4"/>
  <c r="C398" i="3"/>
  <c r="E398" i="3" s="1"/>
  <c r="A398" i="3"/>
  <c r="C388" i="3"/>
  <c r="E388" i="3" s="1"/>
  <c r="A388" i="4"/>
  <c r="A388" i="3"/>
  <c r="A378" i="4"/>
  <c r="C378" i="3"/>
  <c r="E378" i="3" s="1"/>
  <c r="A378" i="3"/>
  <c r="A368" i="4"/>
  <c r="A368" i="3"/>
  <c r="C368" i="3"/>
  <c r="E368" i="3" s="1"/>
  <c r="A358" i="4"/>
  <c r="A358" i="3"/>
  <c r="C358" i="3"/>
  <c r="E358" i="3" s="1"/>
  <c r="A348" i="4"/>
  <c r="A348" i="3"/>
  <c r="C348" i="3"/>
  <c r="E348" i="3" s="1"/>
  <c r="A338" i="4"/>
  <c r="A338" i="3"/>
  <c r="C338" i="3"/>
  <c r="E338" i="3" s="1"/>
  <c r="A328" i="4"/>
  <c r="A328" i="3"/>
  <c r="C328" i="3"/>
  <c r="E328" i="3" s="1"/>
  <c r="A318" i="4"/>
  <c r="A318" i="3"/>
  <c r="C318" i="3"/>
  <c r="E318" i="3" s="1"/>
  <c r="A308" i="4"/>
  <c r="C308" i="3"/>
  <c r="E308" i="3" s="1"/>
  <c r="A308" i="3"/>
  <c r="A298" i="4"/>
  <c r="C298" i="3"/>
  <c r="E298" i="3" s="1"/>
  <c r="A298" i="3"/>
  <c r="A288" i="4"/>
  <c r="C288" i="3"/>
  <c r="E288" i="3" s="1"/>
  <c r="A288" i="3"/>
  <c r="A278" i="4"/>
  <c r="C278" i="3"/>
  <c r="E278" i="3" s="1"/>
  <c r="A278" i="3"/>
  <c r="A268" i="4"/>
  <c r="A268" i="3"/>
  <c r="C268" i="3"/>
  <c r="E268" i="3" s="1"/>
  <c r="A258" i="4"/>
  <c r="C258" i="3"/>
  <c r="E258" i="3" s="1"/>
  <c r="A258" i="3"/>
  <c r="A248" i="4"/>
  <c r="A248" i="3"/>
  <c r="C248" i="3"/>
  <c r="E248" i="3" s="1"/>
  <c r="A218" i="4"/>
  <c r="C218" i="3"/>
  <c r="E218" i="3" s="1"/>
  <c r="A188" i="4"/>
  <c r="C188" i="3"/>
  <c r="E188" i="3" s="1"/>
  <c r="A188" i="3"/>
  <c r="A138" i="4"/>
  <c r="A138" i="3"/>
  <c r="C138" i="3"/>
  <c r="E138" i="3" s="1"/>
  <c r="A68" i="4"/>
  <c r="C68" i="3"/>
  <c r="E68" i="3" s="1"/>
  <c r="A68" i="3"/>
  <c r="A48" i="4"/>
  <c r="C48" i="3"/>
  <c r="E48" i="3" s="1"/>
  <c r="A48" i="3"/>
  <c r="A8" i="4"/>
  <c r="C8" i="3"/>
  <c r="E8" i="3" s="1"/>
  <c r="A8" i="3"/>
  <c r="A957" i="3"/>
  <c r="A895" i="3"/>
  <c r="A844" i="3"/>
  <c r="A790" i="3"/>
  <c r="A727" i="3"/>
  <c r="A660" i="3"/>
  <c r="A577" i="3"/>
  <c r="A494" i="3"/>
  <c r="G403" i="3"/>
  <c r="H403" i="3"/>
  <c r="F403" i="3"/>
  <c r="I403" i="3"/>
  <c r="A329" i="3"/>
  <c r="A198" i="3"/>
  <c r="G123" i="3"/>
  <c r="H123" i="3"/>
  <c r="I123" i="3"/>
  <c r="F123" i="3"/>
  <c r="I51" i="3"/>
  <c r="G51" i="3"/>
  <c r="F51" i="3"/>
  <c r="A130" i="4"/>
  <c r="C130" i="3"/>
  <c r="E130" i="3" s="1"/>
  <c r="A120" i="4"/>
  <c r="C120" i="3"/>
  <c r="E120" i="3" s="1"/>
  <c r="A110" i="4"/>
  <c r="C110" i="3"/>
  <c r="E110" i="3" s="1"/>
  <c r="A100" i="4"/>
  <c r="C100" i="3"/>
  <c r="E100" i="3" s="1"/>
  <c r="A90" i="4"/>
  <c r="C90" i="3"/>
  <c r="E90" i="3" s="1"/>
  <c r="A90" i="3"/>
  <c r="C80" i="3"/>
  <c r="E80" i="3" s="1"/>
  <c r="A80" i="4"/>
  <c r="A70" i="4"/>
  <c r="C70" i="3"/>
  <c r="E70" i="3" s="1"/>
  <c r="A70" i="3"/>
  <c r="A60" i="4"/>
  <c r="C60" i="3"/>
  <c r="E60" i="3" s="1"/>
  <c r="A60" i="3"/>
  <c r="A50" i="4"/>
  <c r="C50" i="3"/>
  <c r="E50" i="3" s="1"/>
  <c r="A50" i="3"/>
  <c r="C40" i="3"/>
  <c r="E40" i="3" s="1"/>
  <c r="A40" i="4"/>
  <c r="A30" i="4"/>
  <c r="C30" i="3"/>
  <c r="E30" i="3" s="1"/>
  <c r="A20" i="4"/>
  <c r="C20" i="3"/>
  <c r="E20" i="3" s="1"/>
  <c r="A10" i="4"/>
  <c r="C10" i="3"/>
  <c r="E10" i="3" s="1"/>
  <c r="C63" i="3"/>
  <c r="E63" i="3" s="1"/>
  <c r="C493" i="3"/>
  <c r="E493" i="3" s="1"/>
  <c r="C103" i="3"/>
  <c r="E103" i="3" s="1"/>
  <c r="G253" i="3"/>
  <c r="H253" i="3"/>
  <c r="I253" i="3"/>
  <c r="F253" i="3"/>
  <c r="G233" i="3"/>
  <c r="H233" i="3"/>
  <c r="I233" i="3"/>
  <c r="F233" i="3"/>
  <c r="H141" i="3"/>
  <c r="I141" i="3"/>
  <c r="G141" i="3"/>
  <c r="F141" i="3"/>
  <c r="H121" i="3"/>
  <c r="I121" i="3"/>
  <c r="G121" i="3"/>
  <c r="F121" i="3"/>
  <c r="G103" i="3"/>
  <c r="H103" i="3"/>
  <c r="I103" i="3"/>
  <c r="F103" i="3"/>
  <c r="A30" i="3"/>
  <c r="A10" i="3"/>
  <c r="C341" i="3"/>
  <c r="E341" i="3" s="1"/>
  <c r="A473" i="3"/>
  <c r="H251" i="3"/>
  <c r="I251" i="3"/>
  <c r="G251" i="3"/>
  <c r="F251" i="3"/>
  <c r="H231" i="3"/>
  <c r="I231" i="3"/>
  <c r="F231" i="3"/>
  <c r="G231" i="3"/>
  <c r="H211" i="3"/>
  <c r="I211" i="3"/>
  <c r="F211" i="3"/>
  <c r="G211" i="3"/>
  <c r="A120" i="3"/>
  <c r="A100" i="3"/>
  <c r="H341" i="3"/>
  <c r="I341" i="3"/>
  <c r="G341" i="3"/>
  <c r="F341" i="3"/>
  <c r="H321" i="3"/>
  <c r="I321" i="3"/>
  <c r="G321" i="3"/>
  <c r="F321" i="3"/>
  <c r="A303" i="3"/>
  <c r="H191" i="3"/>
  <c r="I191" i="3"/>
  <c r="F191" i="3"/>
  <c r="G191" i="3"/>
  <c r="A80" i="3"/>
  <c r="C303" i="3"/>
  <c r="E303" i="3" s="1"/>
  <c r="C263" i="3"/>
  <c r="E263" i="3" s="1"/>
  <c r="A451" i="3"/>
  <c r="A63" i="3"/>
  <c r="A943" i="4"/>
  <c r="C943" i="3"/>
  <c r="E943" i="3" s="1"/>
  <c r="A943" i="3"/>
  <c r="A933" i="4"/>
  <c r="C933" i="3"/>
  <c r="E933" i="3" s="1"/>
  <c r="A933" i="3"/>
  <c r="A923" i="4"/>
  <c r="C923" i="3"/>
  <c r="E923" i="3" s="1"/>
  <c r="A923" i="3"/>
  <c r="A913" i="4"/>
  <c r="C913" i="3"/>
  <c r="E913" i="3" s="1"/>
  <c r="A913" i="3"/>
  <c r="A903" i="4"/>
  <c r="A903" i="3"/>
  <c r="A893" i="4"/>
  <c r="C893" i="3"/>
  <c r="E893" i="3" s="1"/>
  <c r="A893" i="3"/>
  <c r="A883" i="4"/>
  <c r="A883" i="3"/>
  <c r="A873" i="4"/>
  <c r="C873" i="3"/>
  <c r="E873" i="3" s="1"/>
  <c r="A873" i="3"/>
  <c r="A863" i="4"/>
  <c r="A863" i="3"/>
  <c r="A853" i="4"/>
  <c r="C853" i="3"/>
  <c r="E853" i="3" s="1"/>
  <c r="A853" i="3"/>
  <c r="A843" i="4"/>
  <c r="C843" i="3"/>
  <c r="E843" i="3" s="1"/>
  <c r="A843" i="3"/>
  <c r="A833" i="4"/>
  <c r="C833" i="3"/>
  <c r="E833" i="3" s="1"/>
  <c r="A833" i="3"/>
  <c r="A823" i="4"/>
  <c r="C823" i="3"/>
  <c r="E823" i="3" s="1"/>
  <c r="A823" i="3"/>
  <c r="A813" i="4"/>
  <c r="C813" i="3"/>
  <c r="E813" i="3" s="1"/>
  <c r="A813" i="3"/>
  <c r="A803" i="4"/>
  <c r="A803" i="3"/>
  <c r="C803" i="3"/>
  <c r="E803" i="3" s="1"/>
  <c r="A793" i="4"/>
  <c r="A793" i="3"/>
  <c r="C793" i="3"/>
  <c r="E793" i="3" s="1"/>
  <c r="A783" i="4"/>
  <c r="A783" i="3"/>
  <c r="C783" i="3"/>
  <c r="E783" i="3" s="1"/>
  <c r="A773" i="4"/>
  <c r="A773" i="3"/>
  <c r="C773" i="3"/>
  <c r="E773" i="3" s="1"/>
  <c r="A763" i="4"/>
  <c r="A763" i="3"/>
  <c r="C763" i="3"/>
  <c r="E763" i="3" s="1"/>
  <c r="A753" i="4"/>
  <c r="A753" i="3"/>
  <c r="C753" i="3"/>
  <c r="E753" i="3" s="1"/>
  <c r="A743" i="4"/>
  <c r="C743" i="3"/>
  <c r="E743" i="3" s="1"/>
  <c r="A743" i="3"/>
  <c r="A733" i="4"/>
  <c r="C733" i="3"/>
  <c r="E733" i="3" s="1"/>
  <c r="A733" i="3"/>
  <c r="A723" i="4"/>
  <c r="C723" i="3"/>
  <c r="E723" i="3" s="1"/>
  <c r="A723" i="3"/>
  <c r="A713" i="4"/>
  <c r="C713" i="3"/>
  <c r="E713" i="3" s="1"/>
  <c r="A713" i="3"/>
  <c r="A703" i="4"/>
  <c r="A703" i="3"/>
  <c r="A693" i="4"/>
  <c r="A693" i="3"/>
  <c r="A683" i="4"/>
  <c r="A683" i="3"/>
  <c r="A673" i="4"/>
  <c r="A673" i="3"/>
  <c r="A663" i="4"/>
  <c r="A663" i="3"/>
  <c r="A653" i="4"/>
  <c r="A653" i="3"/>
  <c r="A643" i="4"/>
  <c r="C643" i="3"/>
  <c r="E643" i="3" s="1"/>
  <c r="A643" i="3"/>
  <c r="A633" i="4"/>
  <c r="C633" i="3"/>
  <c r="E633" i="3" s="1"/>
  <c r="A633" i="3"/>
  <c r="A623" i="4"/>
  <c r="C623" i="3"/>
  <c r="E623" i="3" s="1"/>
  <c r="A623" i="3"/>
  <c r="A613" i="4"/>
  <c r="C613" i="3"/>
  <c r="E613" i="3" s="1"/>
  <c r="A613" i="3"/>
  <c r="A603" i="4"/>
  <c r="A603" i="3"/>
  <c r="A593" i="4"/>
  <c r="C593" i="3"/>
  <c r="E593" i="3" s="1"/>
  <c r="A593" i="3"/>
  <c r="A583" i="4"/>
  <c r="A583" i="3"/>
  <c r="A573" i="4"/>
  <c r="C573" i="3"/>
  <c r="E573" i="3" s="1"/>
  <c r="A573" i="3"/>
  <c r="A563" i="3"/>
  <c r="A563" i="4"/>
  <c r="A553" i="4"/>
  <c r="C553" i="3"/>
  <c r="E553" i="3" s="1"/>
  <c r="A553" i="3"/>
  <c r="A543" i="4"/>
  <c r="C543" i="3"/>
  <c r="E543" i="3" s="1"/>
  <c r="A543" i="3"/>
  <c r="A533" i="4"/>
  <c r="C533" i="3"/>
  <c r="E533" i="3" s="1"/>
  <c r="A533" i="3"/>
  <c r="A523" i="4"/>
  <c r="C523" i="3"/>
  <c r="E523" i="3" s="1"/>
  <c r="A523" i="3"/>
  <c r="A513" i="4"/>
  <c r="C513" i="3"/>
  <c r="E513" i="3" s="1"/>
  <c r="A513" i="3"/>
  <c r="A503" i="4"/>
  <c r="C503" i="3"/>
  <c r="E503" i="3" s="1"/>
  <c r="A503" i="3"/>
  <c r="F493" i="4"/>
  <c r="E493" i="4"/>
  <c r="D493" i="4"/>
  <c r="C493" i="4"/>
  <c r="A483" i="4"/>
  <c r="C483" i="3"/>
  <c r="E483" i="3" s="1"/>
  <c r="F473" i="4"/>
  <c r="E473" i="4"/>
  <c r="D473" i="4"/>
  <c r="C473" i="4"/>
  <c r="A463" i="4"/>
  <c r="C463" i="3"/>
  <c r="E463" i="3" s="1"/>
  <c r="A453" i="4"/>
  <c r="C453" i="3"/>
  <c r="E453" i="3" s="1"/>
  <c r="A443" i="4"/>
  <c r="C443" i="3"/>
  <c r="E443" i="3" s="1"/>
  <c r="A433" i="4"/>
  <c r="C433" i="3"/>
  <c r="E433" i="3" s="1"/>
  <c r="A423" i="4"/>
  <c r="C423" i="3"/>
  <c r="E423" i="3" s="1"/>
  <c r="A413" i="4"/>
  <c r="C413" i="3"/>
  <c r="E413" i="3" s="1"/>
  <c r="A413" i="3"/>
  <c r="A403" i="4"/>
  <c r="C403" i="3"/>
  <c r="E403" i="3" s="1"/>
  <c r="A393" i="4"/>
  <c r="A393" i="3"/>
  <c r="C393" i="3"/>
  <c r="E393" i="3" s="1"/>
  <c r="A383" i="4"/>
  <c r="A383" i="3"/>
  <c r="C383" i="3"/>
  <c r="E383" i="3" s="1"/>
  <c r="A373" i="4"/>
  <c r="A373" i="3"/>
  <c r="C373" i="3"/>
  <c r="E373" i="3" s="1"/>
  <c r="A363" i="4"/>
  <c r="C363" i="3"/>
  <c r="E363" i="3" s="1"/>
  <c r="A353" i="4"/>
  <c r="C353" i="3"/>
  <c r="E353" i="3" s="1"/>
  <c r="A343" i="4"/>
  <c r="C343" i="3"/>
  <c r="E343" i="3" s="1"/>
  <c r="A333" i="4"/>
  <c r="C333" i="3"/>
  <c r="E333" i="3" s="1"/>
  <c r="A323" i="4"/>
  <c r="C323" i="3"/>
  <c r="E323" i="3" s="1"/>
  <c r="A313" i="4"/>
  <c r="A313" i="3"/>
  <c r="F303" i="4"/>
  <c r="E303" i="4"/>
  <c r="D303" i="4"/>
  <c r="C303" i="4"/>
  <c r="A293" i="4"/>
  <c r="A293" i="3"/>
  <c r="A283" i="4"/>
  <c r="A283" i="3"/>
  <c r="A273" i="4"/>
  <c r="A273" i="3"/>
  <c r="F263" i="4"/>
  <c r="E263" i="4"/>
  <c r="D263" i="4"/>
  <c r="C263" i="4"/>
  <c r="A253" i="4"/>
  <c r="C253" i="3"/>
  <c r="E253" i="3" s="1"/>
  <c r="A243" i="4"/>
  <c r="C243" i="3"/>
  <c r="E243" i="3" s="1"/>
  <c r="A233" i="4"/>
  <c r="C233" i="3"/>
  <c r="E233" i="3" s="1"/>
  <c r="A223" i="4"/>
  <c r="C223" i="3"/>
  <c r="E223" i="3" s="1"/>
  <c r="A213" i="4"/>
  <c r="A213" i="3"/>
  <c r="A203" i="4"/>
  <c r="C203" i="3"/>
  <c r="E203" i="3" s="1"/>
  <c r="A193" i="4"/>
  <c r="A193" i="3"/>
  <c r="A183" i="4"/>
  <c r="C183" i="3"/>
  <c r="E183" i="3" s="1"/>
  <c r="A183" i="3"/>
  <c r="A173" i="4"/>
  <c r="A173" i="3"/>
  <c r="A163" i="4"/>
  <c r="C163" i="3"/>
  <c r="E163" i="3" s="1"/>
  <c r="A153" i="4"/>
  <c r="C153" i="3"/>
  <c r="E153" i="3" s="1"/>
  <c r="C143" i="3"/>
  <c r="E143" i="3" s="1"/>
  <c r="A143" i="4"/>
  <c r="A133" i="4"/>
  <c r="C133" i="3"/>
  <c r="E133" i="3" s="1"/>
  <c r="A123" i="4"/>
  <c r="C123" i="3"/>
  <c r="E123" i="3" s="1"/>
  <c r="A113" i="4"/>
  <c r="C113" i="3"/>
  <c r="E113" i="3" s="1"/>
  <c r="A113" i="3"/>
  <c r="F103" i="4"/>
  <c r="E103" i="4"/>
  <c r="C103" i="4"/>
  <c r="D103" i="4"/>
  <c r="A93" i="4"/>
  <c r="A93" i="3"/>
  <c r="C93" i="3"/>
  <c r="E93" i="3" s="1"/>
  <c r="A83" i="4"/>
  <c r="C83" i="3"/>
  <c r="E83" i="3" s="1"/>
  <c r="A83" i="3"/>
  <c r="A73" i="4"/>
  <c r="C73" i="3"/>
  <c r="E73" i="3" s="1"/>
  <c r="A73" i="3"/>
  <c r="A53" i="4"/>
  <c r="C53" i="3"/>
  <c r="E53" i="3" s="1"/>
  <c r="C43" i="3"/>
  <c r="E43" i="3" s="1"/>
  <c r="A43" i="4"/>
  <c r="A33" i="4"/>
  <c r="C33" i="3"/>
  <c r="E33" i="3" s="1"/>
  <c r="A23" i="4"/>
  <c r="C23" i="3"/>
  <c r="E23" i="3" s="1"/>
  <c r="A13" i="4"/>
  <c r="A13" i="3"/>
  <c r="A3" i="4"/>
  <c r="C3" i="3"/>
  <c r="E3" i="3" s="1"/>
  <c r="A153" i="3"/>
  <c r="A133" i="3"/>
  <c r="A41" i="3"/>
  <c r="A3" i="3"/>
  <c r="C883" i="3"/>
  <c r="E883" i="3" s="1"/>
  <c r="C473" i="3"/>
  <c r="E473" i="3" s="1"/>
  <c r="C291" i="3"/>
  <c r="E291" i="3" s="1"/>
  <c r="C251" i="3"/>
  <c r="E251" i="3" s="1"/>
  <c r="C31" i="3"/>
  <c r="E31" i="3" s="1"/>
  <c r="A992" i="4"/>
  <c r="A992" i="3"/>
  <c r="A982" i="4"/>
  <c r="C982" i="3"/>
  <c r="E982" i="3" s="1"/>
  <c r="A982" i="3"/>
  <c r="A972" i="4"/>
  <c r="A972" i="3"/>
  <c r="C962" i="3"/>
  <c r="E962" i="3" s="1"/>
  <c r="A962" i="3"/>
  <c r="A962" i="4"/>
  <c r="A952" i="4"/>
  <c r="A952" i="3"/>
  <c r="A942" i="4"/>
  <c r="C942" i="3"/>
  <c r="E942" i="3" s="1"/>
  <c r="A942" i="3"/>
  <c r="A932" i="4"/>
  <c r="C932" i="3"/>
  <c r="E932" i="3" s="1"/>
  <c r="A932" i="3"/>
  <c r="A922" i="4"/>
  <c r="C922" i="3"/>
  <c r="E922" i="3" s="1"/>
  <c r="A922" i="3"/>
  <c r="A912" i="4"/>
  <c r="C912" i="3"/>
  <c r="E912" i="3" s="1"/>
  <c r="A912" i="3"/>
  <c r="A902" i="4"/>
  <c r="C902" i="3"/>
  <c r="E902" i="3" s="1"/>
  <c r="A902" i="3"/>
  <c r="A892" i="4"/>
  <c r="C892" i="3"/>
  <c r="E892" i="3" s="1"/>
  <c r="A892" i="3"/>
  <c r="A882" i="4"/>
  <c r="A882" i="3"/>
  <c r="A872" i="4"/>
  <c r="C872" i="3"/>
  <c r="E872" i="3" s="1"/>
  <c r="A872" i="3"/>
  <c r="A862" i="4"/>
  <c r="A862" i="3"/>
  <c r="A852" i="4"/>
  <c r="C852" i="3"/>
  <c r="E852" i="3" s="1"/>
  <c r="A852" i="3"/>
  <c r="A842" i="4"/>
  <c r="A842" i="3"/>
  <c r="A832" i="4"/>
  <c r="C832" i="3"/>
  <c r="E832" i="3" s="1"/>
  <c r="A832" i="3"/>
  <c r="A822" i="4"/>
  <c r="C822" i="3"/>
  <c r="E822" i="3" s="1"/>
  <c r="A822" i="3"/>
  <c r="A812" i="4"/>
  <c r="C812" i="3"/>
  <c r="E812" i="3" s="1"/>
  <c r="A812" i="3"/>
  <c r="A802" i="4"/>
  <c r="C802" i="3"/>
  <c r="E802" i="3" s="1"/>
  <c r="A802" i="3"/>
  <c r="A792" i="4"/>
  <c r="A792" i="3"/>
  <c r="A782" i="4"/>
  <c r="A782" i="3"/>
  <c r="C782" i="3"/>
  <c r="E782" i="3" s="1"/>
  <c r="A772" i="4"/>
  <c r="A772" i="3"/>
  <c r="A762" i="4"/>
  <c r="A762" i="3"/>
  <c r="C762" i="3"/>
  <c r="E762" i="3" s="1"/>
  <c r="A752" i="4"/>
  <c r="A752" i="3"/>
  <c r="A742" i="4"/>
  <c r="A742" i="3"/>
  <c r="C742" i="3"/>
  <c r="E742" i="3" s="1"/>
  <c r="A732" i="4"/>
  <c r="C732" i="3"/>
  <c r="E732" i="3" s="1"/>
  <c r="A732" i="3"/>
  <c r="A722" i="4"/>
  <c r="C722" i="3"/>
  <c r="E722" i="3" s="1"/>
  <c r="A722" i="3"/>
  <c r="A712" i="4"/>
  <c r="C712" i="3"/>
  <c r="E712" i="3" s="1"/>
  <c r="A712" i="3"/>
  <c r="A702" i="4"/>
  <c r="C702" i="3"/>
  <c r="E702" i="3" s="1"/>
  <c r="A702" i="3"/>
  <c r="A692" i="4"/>
  <c r="A692" i="3"/>
  <c r="C692" i="3"/>
  <c r="E692" i="3" s="1"/>
  <c r="A682" i="4"/>
  <c r="A682" i="3"/>
  <c r="C682" i="3"/>
  <c r="E682" i="3" s="1"/>
  <c r="A672" i="4"/>
  <c r="A672" i="3"/>
  <c r="C672" i="3"/>
  <c r="E672" i="3" s="1"/>
  <c r="A662" i="4"/>
  <c r="A662" i="3"/>
  <c r="C662" i="3"/>
  <c r="E662" i="3" s="1"/>
  <c r="A652" i="4"/>
  <c r="A652" i="3"/>
  <c r="C652" i="3"/>
  <c r="E652" i="3" s="1"/>
  <c r="A642" i="4"/>
  <c r="A642" i="3"/>
  <c r="C642" i="3"/>
  <c r="E642" i="3" s="1"/>
  <c r="A632" i="4"/>
  <c r="C632" i="3"/>
  <c r="E632" i="3" s="1"/>
  <c r="A632" i="3"/>
  <c r="C622" i="3"/>
  <c r="E622" i="3" s="1"/>
  <c r="A622" i="4"/>
  <c r="A622" i="3"/>
  <c r="A612" i="4"/>
  <c r="C612" i="3"/>
  <c r="E612" i="3" s="1"/>
  <c r="A612" i="3"/>
  <c r="A602" i="4"/>
  <c r="C602" i="3"/>
  <c r="E602" i="3" s="1"/>
  <c r="A602" i="3"/>
  <c r="A592" i="4"/>
  <c r="A592" i="3"/>
  <c r="A582" i="4"/>
  <c r="A582" i="3"/>
  <c r="A572" i="4"/>
  <c r="A572" i="3"/>
  <c r="A562" i="4"/>
  <c r="A562" i="3"/>
  <c r="A552" i="4"/>
  <c r="A552" i="3"/>
  <c r="A542" i="4"/>
  <c r="A542" i="3"/>
  <c r="A532" i="4"/>
  <c r="C532" i="3"/>
  <c r="E532" i="3" s="1"/>
  <c r="A532" i="3"/>
  <c r="A522" i="4"/>
  <c r="C522" i="3"/>
  <c r="E522" i="3" s="1"/>
  <c r="A522" i="3"/>
  <c r="A512" i="4"/>
  <c r="C512" i="3"/>
  <c r="E512" i="3" s="1"/>
  <c r="A512" i="3"/>
  <c r="A492" i="4"/>
  <c r="A492" i="3"/>
  <c r="A482" i="4"/>
  <c r="C482" i="3"/>
  <c r="E482" i="3" s="1"/>
  <c r="A482" i="3"/>
  <c r="A472" i="4"/>
  <c r="A472" i="3"/>
  <c r="A462" i="4"/>
  <c r="A462" i="3"/>
  <c r="C462" i="3"/>
  <c r="E462" i="3" s="1"/>
  <c r="A452" i="4"/>
  <c r="A452" i="3"/>
  <c r="A442" i="4"/>
  <c r="A442" i="3"/>
  <c r="C442" i="3"/>
  <c r="E442" i="3" s="1"/>
  <c r="A432" i="4"/>
  <c r="C432" i="3"/>
  <c r="E432" i="3" s="1"/>
  <c r="A432" i="3"/>
  <c r="A422" i="4"/>
  <c r="A422" i="3"/>
  <c r="C422" i="3"/>
  <c r="E422" i="3" s="1"/>
  <c r="A412" i="4"/>
  <c r="A412" i="3"/>
  <c r="C412" i="3"/>
  <c r="E412" i="3" s="1"/>
  <c r="A402" i="4"/>
  <c r="A402" i="3"/>
  <c r="A392" i="4"/>
  <c r="A392" i="3"/>
  <c r="C392" i="3"/>
  <c r="E392" i="3" s="1"/>
  <c r="A382" i="4"/>
  <c r="A382" i="3"/>
  <c r="A372" i="4"/>
  <c r="A372" i="3"/>
  <c r="C372" i="3"/>
  <c r="E372" i="3" s="1"/>
  <c r="A362" i="4"/>
  <c r="A362" i="3"/>
  <c r="A352" i="4"/>
  <c r="A352" i="3"/>
  <c r="C352" i="3"/>
  <c r="E352" i="3" s="1"/>
  <c r="A342" i="4"/>
  <c r="A342" i="3"/>
  <c r="C342" i="3"/>
  <c r="E342" i="3" s="1"/>
  <c r="A332" i="4"/>
  <c r="C332" i="3"/>
  <c r="E332" i="3" s="1"/>
  <c r="A332" i="3"/>
  <c r="A322" i="4"/>
  <c r="A322" i="3"/>
  <c r="C322" i="3"/>
  <c r="E322" i="3" s="1"/>
  <c r="A312" i="4"/>
  <c r="A312" i="3"/>
  <c r="C312" i="3"/>
  <c r="E312" i="3" s="1"/>
  <c r="A302" i="4"/>
  <c r="A302" i="3"/>
  <c r="C302" i="3"/>
  <c r="E302" i="3" s="1"/>
  <c r="A292" i="4"/>
  <c r="A292" i="3"/>
  <c r="C292" i="3"/>
  <c r="E292" i="3" s="1"/>
  <c r="A282" i="4"/>
  <c r="A282" i="3"/>
  <c r="C282" i="3"/>
  <c r="E282" i="3" s="1"/>
  <c r="A272" i="4"/>
  <c r="A272" i="3"/>
  <c r="C272" i="3"/>
  <c r="E272" i="3" s="1"/>
  <c r="A262" i="4"/>
  <c r="A262" i="3"/>
  <c r="C262" i="3"/>
  <c r="E262" i="3" s="1"/>
  <c r="A252" i="4"/>
  <c r="A252" i="3"/>
  <c r="C252" i="3"/>
  <c r="E252" i="3" s="1"/>
  <c r="A242" i="4"/>
  <c r="A242" i="3"/>
  <c r="C242" i="3"/>
  <c r="E242" i="3" s="1"/>
  <c r="A232" i="4"/>
  <c r="C232" i="3"/>
  <c r="E232" i="3" s="1"/>
  <c r="A232" i="3"/>
  <c r="A222" i="4"/>
  <c r="A222" i="3"/>
  <c r="C222" i="3"/>
  <c r="E222" i="3" s="1"/>
  <c r="A212" i="4"/>
  <c r="A212" i="3"/>
  <c r="C212" i="3"/>
  <c r="E212" i="3" s="1"/>
  <c r="A202" i="4"/>
  <c r="A202" i="3"/>
  <c r="A192" i="4"/>
  <c r="A192" i="3"/>
  <c r="A182" i="4"/>
  <c r="A182" i="3"/>
  <c r="C182" i="3"/>
  <c r="E182" i="3" s="1"/>
  <c r="A172" i="4"/>
  <c r="A172" i="3"/>
  <c r="A162" i="4"/>
  <c r="A162" i="3"/>
  <c r="C162" i="3"/>
  <c r="E162" i="3" s="1"/>
  <c r="A152" i="4"/>
  <c r="A152" i="3"/>
  <c r="A142" i="3"/>
  <c r="A142" i="4"/>
  <c r="C142" i="3"/>
  <c r="E142" i="3" s="1"/>
  <c r="A132" i="4"/>
  <c r="C132" i="3"/>
  <c r="E132" i="3" s="1"/>
  <c r="A132" i="3"/>
  <c r="A122" i="4"/>
  <c r="A122" i="3"/>
  <c r="C122" i="3"/>
  <c r="E122" i="3" s="1"/>
  <c r="A112" i="4"/>
  <c r="A112" i="3"/>
  <c r="C112" i="3"/>
  <c r="E112" i="3" s="1"/>
  <c r="A102" i="4"/>
  <c r="A102" i="3"/>
  <c r="A92" i="4"/>
  <c r="A92" i="3"/>
  <c r="C92" i="3"/>
  <c r="E92" i="3" s="1"/>
  <c r="A82" i="4"/>
  <c r="A82" i="3"/>
  <c r="C82" i="3"/>
  <c r="E82" i="3" s="1"/>
  <c r="A72" i="4"/>
  <c r="C72" i="3"/>
  <c r="E72" i="3" s="1"/>
  <c r="A72" i="3"/>
  <c r="A62" i="4"/>
  <c r="A62" i="3"/>
  <c r="C62" i="3"/>
  <c r="E62" i="3" s="1"/>
  <c r="A52" i="4"/>
  <c r="A52" i="3"/>
  <c r="C52" i="3"/>
  <c r="E52" i="3" s="1"/>
  <c r="A42" i="3"/>
  <c r="A42" i="4"/>
  <c r="C42" i="3"/>
  <c r="E42" i="3" s="1"/>
  <c r="A32" i="4"/>
  <c r="A32" i="3"/>
  <c r="C32" i="3"/>
  <c r="E32" i="3" s="1"/>
  <c r="A22" i="4"/>
  <c r="A22" i="3"/>
  <c r="C22" i="3"/>
  <c r="E22" i="3" s="1"/>
  <c r="A12" i="4"/>
  <c r="A12" i="3"/>
  <c r="A483" i="3"/>
  <c r="A263" i="3"/>
  <c r="A243" i="3"/>
  <c r="A223" i="3"/>
  <c r="A40" i="3"/>
  <c r="A20" i="3"/>
  <c r="C882" i="3"/>
  <c r="E882" i="3" s="1"/>
  <c r="C842" i="3"/>
  <c r="E842" i="3" s="1"/>
  <c r="C472" i="3"/>
  <c r="E472" i="3" s="1"/>
  <c r="C173" i="3"/>
  <c r="E173" i="3" s="1"/>
  <c r="A2" i="4"/>
  <c r="C2" i="3"/>
  <c r="E2" i="3" s="1"/>
  <c r="A2" i="3"/>
  <c r="A991" i="4"/>
  <c r="C991" i="3"/>
  <c r="E991" i="3" s="1"/>
  <c r="A991" i="3"/>
  <c r="A981" i="4"/>
  <c r="A981" i="3"/>
  <c r="A971" i="4"/>
  <c r="A971" i="3"/>
  <c r="A961" i="4"/>
  <c r="A961" i="3"/>
  <c r="A951" i="4"/>
  <c r="A951" i="3"/>
  <c r="A941" i="4"/>
  <c r="A941" i="3"/>
  <c r="A931" i="4"/>
  <c r="A931" i="3"/>
  <c r="A921" i="4"/>
  <c r="C921" i="3"/>
  <c r="E921" i="3" s="1"/>
  <c r="A921" i="3"/>
  <c r="A911" i="4"/>
  <c r="C911" i="3"/>
  <c r="E911" i="3" s="1"/>
  <c r="A911" i="3"/>
  <c r="A901" i="4"/>
  <c r="C901" i="3"/>
  <c r="E901" i="3" s="1"/>
  <c r="A901" i="3"/>
  <c r="A891" i="4"/>
  <c r="C891" i="3"/>
  <c r="E891" i="3" s="1"/>
  <c r="A891" i="3"/>
  <c r="A881" i="4"/>
  <c r="A881" i="3"/>
  <c r="A871" i="4"/>
  <c r="C871" i="3"/>
  <c r="E871" i="3" s="1"/>
  <c r="A871" i="3"/>
  <c r="A861" i="4"/>
  <c r="A861" i="3"/>
  <c r="A851" i="4"/>
  <c r="C851" i="3"/>
  <c r="E851" i="3" s="1"/>
  <c r="A851" i="3"/>
  <c r="A841" i="4"/>
  <c r="A841" i="3"/>
  <c r="A831" i="4"/>
  <c r="C831" i="3"/>
  <c r="E831" i="3" s="1"/>
  <c r="A831" i="3"/>
  <c r="A821" i="4"/>
  <c r="C821" i="3"/>
  <c r="E821" i="3" s="1"/>
  <c r="A821" i="3"/>
  <c r="C811" i="3"/>
  <c r="E811" i="3" s="1"/>
  <c r="A811" i="4"/>
  <c r="A811" i="3"/>
  <c r="A801" i="4"/>
  <c r="C801" i="3"/>
  <c r="E801" i="3" s="1"/>
  <c r="A801" i="3"/>
  <c r="A791" i="4"/>
  <c r="C791" i="3"/>
  <c r="E791" i="3" s="1"/>
  <c r="A791" i="3"/>
  <c r="A781" i="4"/>
  <c r="A781" i="3"/>
  <c r="C781" i="3"/>
  <c r="E781" i="3" s="1"/>
  <c r="A771" i="4"/>
  <c r="A771" i="3"/>
  <c r="A761" i="4"/>
  <c r="A761" i="3"/>
  <c r="C761" i="3"/>
  <c r="E761" i="3" s="1"/>
  <c r="A751" i="4"/>
  <c r="A751" i="3"/>
  <c r="A741" i="4"/>
  <c r="A741" i="3"/>
  <c r="C741" i="3"/>
  <c r="E741" i="3" s="1"/>
  <c r="A731" i="4"/>
  <c r="A731" i="3"/>
  <c r="A721" i="4"/>
  <c r="C721" i="3"/>
  <c r="E721" i="3" s="1"/>
  <c r="A721" i="3"/>
  <c r="A711" i="4"/>
  <c r="C711" i="3"/>
  <c r="E711" i="3" s="1"/>
  <c r="A711" i="3"/>
  <c r="A701" i="4"/>
  <c r="C701" i="3"/>
  <c r="E701" i="3" s="1"/>
  <c r="A701" i="3"/>
  <c r="A691" i="4"/>
  <c r="C691" i="3"/>
  <c r="E691" i="3" s="1"/>
  <c r="A691" i="3"/>
  <c r="A681" i="3"/>
  <c r="A681" i="4"/>
  <c r="A671" i="4"/>
  <c r="A671" i="3"/>
  <c r="C671" i="3"/>
  <c r="E671" i="3" s="1"/>
  <c r="A661" i="4"/>
  <c r="A661" i="3"/>
  <c r="A651" i="4"/>
  <c r="A651" i="3"/>
  <c r="C651" i="3"/>
  <c r="E651" i="3" s="1"/>
  <c r="A641" i="4"/>
  <c r="A641" i="3"/>
  <c r="A631" i="4"/>
  <c r="A631" i="3"/>
  <c r="C631" i="3"/>
  <c r="E631" i="3" s="1"/>
  <c r="C621" i="3"/>
  <c r="E621" i="3" s="1"/>
  <c r="A621" i="3"/>
  <c r="A621" i="4"/>
  <c r="A611" i="4"/>
  <c r="C611" i="3"/>
  <c r="E611" i="3" s="1"/>
  <c r="A611" i="3"/>
  <c r="A601" i="4"/>
  <c r="C601" i="3"/>
  <c r="E601" i="3" s="1"/>
  <c r="A601" i="3"/>
  <c r="A591" i="4"/>
  <c r="C591" i="3"/>
  <c r="E591" i="3" s="1"/>
  <c r="A591" i="3"/>
  <c r="A581" i="4"/>
  <c r="A581" i="3"/>
  <c r="C581" i="3"/>
  <c r="E581" i="3" s="1"/>
  <c r="A571" i="4"/>
  <c r="A571" i="3"/>
  <c r="C571" i="3"/>
  <c r="E571" i="3" s="1"/>
  <c r="A561" i="4"/>
  <c r="A561" i="3"/>
  <c r="C561" i="3"/>
  <c r="E561" i="3" s="1"/>
  <c r="A551" i="4"/>
  <c r="A551" i="3"/>
  <c r="C551" i="3"/>
  <c r="E551" i="3" s="1"/>
  <c r="A541" i="4"/>
  <c r="A541" i="3"/>
  <c r="C541" i="3"/>
  <c r="E541" i="3" s="1"/>
  <c r="A531" i="4"/>
  <c r="A531" i="3"/>
  <c r="C531" i="3"/>
  <c r="E531" i="3" s="1"/>
  <c r="A521" i="4"/>
  <c r="C521" i="3"/>
  <c r="E521" i="3" s="1"/>
  <c r="A521" i="3"/>
  <c r="A511" i="4"/>
  <c r="C511" i="3"/>
  <c r="E511" i="3" s="1"/>
  <c r="A511" i="3"/>
  <c r="A501" i="4"/>
  <c r="C501" i="3"/>
  <c r="E501" i="3" s="1"/>
  <c r="A501" i="3"/>
  <c r="A491" i="4"/>
  <c r="A491" i="3"/>
  <c r="A481" i="4"/>
  <c r="C481" i="3"/>
  <c r="E481" i="3" s="1"/>
  <c r="A481" i="3"/>
  <c r="A471" i="4"/>
  <c r="A471" i="3"/>
  <c r="A461" i="4"/>
  <c r="C461" i="3"/>
  <c r="E461" i="3" s="1"/>
  <c r="A461" i="3"/>
  <c r="F451" i="4"/>
  <c r="E451" i="4"/>
  <c r="C451" i="4"/>
  <c r="D451" i="4"/>
  <c r="A441" i="4"/>
  <c r="C441" i="3"/>
  <c r="E441" i="3" s="1"/>
  <c r="A431" i="4"/>
  <c r="C431" i="3"/>
  <c r="E431" i="3" s="1"/>
  <c r="A421" i="4"/>
  <c r="C421" i="3"/>
  <c r="E421" i="3" s="1"/>
  <c r="A411" i="4"/>
  <c r="C411" i="3"/>
  <c r="E411" i="3" s="1"/>
  <c r="A401" i="4"/>
  <c r="C401" i="3"/>
  <c r="E401" i="3" s="1"/>
  <c r="A401" i="3"/>
  <c r="A391" i="4"/>
  <c r="C391" i="3"/>
  <c r="E391" i="3" s="1"/>
  <c r="A381" i="4"/>
  <c r="A381" i="3"/>
  <c r="A371" i="4"/>
  <c r="C371" i="3"/>
  <c r="E371" i="3" s="1"/>
  <c r="A371" i="3"/>
  <c r="A361" i="4"/>
  <c r="A361" i="3"/>
  <c r="A351" i="4"/>
  <c r="C351" i="3"/>
  <c r="E351" i="3" s="1"/>
  <c r="F341" i="4"/>
  <c r="D341" i="4"/>
  <c r="C341" i="4"/>
  <c r="E341" i="4"/>
  <c r="A331" i="4"/>
  <c r="C331" i="3"/>
  <c r="E331" i="3" s="1"/>
  <c r="A321" i="4"/>
  <c r="C321" i="3"/>
  <c r="E321" i="3" s="1"/>
  <c r="C311" i="3"/>
  <c r="E311" i="3" s="1"/>
  <c r="A311" i="4"/>
  <c r="A301" i="4"/>
  <c r="C301" i="3"/>
  <c r="E301" i="3" s="1"/>
  <c r="A301" i="3"/>
  <c r="F291" i="4"/>
  <c r="E291" i="4"/>
  <c r="D291" i="4"/>
  <c r="C291" i="4"/>
  <c r="A281" i="4"/>
  <c r="A281" i="3"/>
  <c r="C281" i="3"/>
  <c r="E281" i="3" s="1"/>
  <c r="A271" i="4"/>
  <c r="A271" i="3"/>
  <c r="A261" i="4"/>
  <c r="C261" i="3"/>
  <c r="E261" i="3" s="1"/>
  <c r="A261" i="3"/>
  <c r="F251" i="4"/>
  <c r="D251" i="4"/>
  <c r="E251" i="4"/>
  <c r="C251" i="4"/>
  <c r="A241" i="4"/>
  <c r="C241" i="3"/>
  <c r="E241" i="3" s="1"/>
  <c r="A231" i="4"/>
  <c r="C231" i="3"/>
  <c r="E231" i="3" s="1"/>
  <c r="A221" i="4"/>
  <c r="C221" i="3"/>
  <c r="E221" i="3" s="1"/>
  <c r="A211" i="4"/>
  <c r="C211" i="3"/>
  <c r="E211" i="3" s="1"/>
  <c r="A201" i="4"/>
  <c r="C201" i="3"/>
  <c r="E201" i="3" s="1"/>
  <c r="A201" i="3"/>
  <c r="A191" i="4"/>
  <c r="C191" i="3"/>
  <c r="E191" i="3" s="1"/>
  <c r="A181" i="4"/>
  <c r="A181" i="3"/>
  <c r="C181" i="3"/>
  <c r="E181" i="3" s="1"/>
  <c r="A171" i="4"/>
  <c r="A171" i="3"/>
  <c r="C171" i="3"/>
  <c r="E171" i="3" s="1"/>
  <c r="A161" i="4"/>
  <c r="A161" i="3"/>
  <c r="C161" i="3"/>
  <c r="E161" i="3" s="1"/>
  <c r="A151" i="4"/>
  <c r="C151" i="3"/>
  <c r="E151" i="3" s="1"/>
  <c r="A141" i="4"/>
  <c r="C141" i="3"/>
  <c r="E141" i="3" s="1"/>
  <c r="A131" i="4"/>
  <c r="C131" i="3"/>
  <c r="E131" i="3" s="1"/>
  <c r="A121" i="4"/>
  <c r="C121" i="3"/>
  <c r="E121" i="3" s="1"/>
  <c r="A111" i="4"/>
  <c r="C111" i="3"/>
  <c r="E111" i="3" s="1"/>
  <c r="A101" i="4"/>
  <c r="A101" i="3"/>
  <c r="A91" i="4"/>
  <c r="C91" i="3"/>
  <c r="E91" i="3" s="1"/>
  <c r="A81" i="4"/>
  <c r="A81" i="3"/>
  <c r="A71" i="4"/>
  <c r="C71" i="3"/>
  <c r="E71" i="3" s="1"/>
  <c r="A71" i="3"/>
  <c r="A61" i="4"/>
  <c r="C61" i="3"/>
  <c r="E61" i="3" s="1"/>
  <c r="A61" i="3"/>
  <c r="A51" i="4"/>
  <c r="C51" i="3"/>
  <c r="E51" i="3" s="1"/>
  <c r="A21" i="4"/>
  <c r="C21" i="3"/>
  <c r="E21" i="3" s="1"/>
  <c r="A353" i="3"/>
  <c r="A333" i="3"/>
  <c r="A241" i="3"/>
  <c r="A221" i="3"/>
  <c r="A203" i="3"/>
  <c r="A130" i="3"/>
  <c r="A110" i="3"/>
  <c r="A91" i="3"/>
  <c r="C992" i="3"/>
  <c r="E992" i="3" s="1"/>
  <c r="C952" i="3"/>
  <c r="E952" i="3" s="1"/>
  <c r="C881" i="3"/>
  <c r="E881" i="3" s="1"/>
  <c r="C841" i="3"/>
  <c r="E841" i="3" s="1"/>
  <c r="C583" i="3"/>
  <c r="E583" i="3" s="1"/>
  <c r="C471" i="3"/>
  <c r="E471" i="3" s="1"/>
  <c r="C213" i="3"/>
  <c r="E213" i="3" s="1"/>
  <c r="C172" i="3"/>
  <c r="E172" i="3" s="1"/>
  <c r="C13" i="3"/>
  <c r="E13" i="3" s="1"/>
  <c r="H51" i="3" l="1"/>
  <c r="H53" i="3"/>
  <c r="H31" i="3"/>
  <c r="C31" i="4" s="1"/>
  <c r="E31" i="4" s="1"/>
  <c r="H21" i="3"/>
  <c r="C21" i="4" s="1"/>
  <c r="D21" i="4" s="1"/>
  <c r="H43" i="3"/>
  <c r="C43" i="4" s="1"/>
  <c r="D43" i="4" s="1"/>
  <c r="H23" i="3"/>
  <c r="H33" i="3"/>
  <c r="H69" i="3"/>
  <c r="C69" i="4" s="1"/>
  <c r="I493" i="3"/>
  <c r="H11" i="3"/>
  <c r="C11" i="4" s="1"/>
  <c r="D11" i="4" s="1"/>
  <c r="H361" i="3"/>
  <c r="I361" i="3"/>
  <c r="G361" i="3"/>
  <c r="F361" i="3"/>
  <c r="I521" i="3"/>
  <c r="H521" i="3"/>
  <c r="G521" i="3"/>
  <c r="F521" i="3"/>
  <c r="I841" i="3"/>
  <c r="H841" i="3"/>
  <c r="F841" i="3"/>
  <c r="G841" i="3"/>
  <c r="F352" i="4"/>
  <c r="E352" i="4"/>
  <c r="D352" i="4"/>
  <c r="C352" i="4"/>
  <c r="H522" i="3"/>
  <c r="I522" i="3"/>
  <c r="G522" i="3"/>
  <c r="F522" i="3"/>
  <c r="H562" i="3"/>
  <c r="I562" i="3"/>
  <c r="G562" i="3"/>
  <c r="F562" i="3"/>
  <c r="H672" i="3"/>
  <c r="I672" i="3"/>
  <c r="G672" i="3"/>
  <c r="F672" i="3"/>
  <c r="F343" i="4"/>
  <c r="D343" i="4"/>
  <c r="C343" i="4"/>
  <c r="E343" i="4"/>
  <c r="F423" i="4"/>
  <c r="E423" i="4"/>
  <c r="D423" i="4"/>
  <c r="C423" i="4"/>
  <c r="E533" i="4"/>
  <c r="F533" i="4"/>
  <c r="D533" i="4"/>
  <c r="C533" i="4"/>
  <c r="F643" i="4"/>
  <c r="E643" i="4"/>
  <c r="D643" i="4"/>
  <c r="C643" i="4"/>
  <c r="F693" i="4"/>
  <c r="E693" i="4"/>
  <c r="D693" i="4"/>
  <c r="C693" i="4"/>
  <c r="F763" i="4"/>
  <c r="E763" i="4"/>
  <c r="D763" i="4"/>
  <c r="C763" i="4"/>
  <c r="H873" i="3"/>
  <c r="I873" i="3"/>
  <c r="G873" i="3"/>
  <c r="F873" i="3"/>
  <c r="H913" i="3"/>
  <c r="I913" i="3"/>
  <c r="F913" i="3"/>
  <c r="G913" i="3"/>
  <c r="H100" i="3"/>
  <c r="G100" i="3"/>
  <c r="F100" i="3"/>
  <c r="I100" i="3"/>
  <c r="H90" i="3"/>
  <c r="I90" i="3"/>
  <c r="F90" i="3"/>
  <c r="G90" i="3"/>
  <c r="E130" i="4"/>
  <c r="F130" i="4"/>
  <c r="C130" i="4"/>
  <c r="D130" i="4"/>
  <c r="I329" i="3"/>
  <c r="H329" i="3"/>
  <c r="G329" i="3"/>
  <c r="F329" i="3"/>
  <c r="H844" i="3"/>
  <c r="I844" i="3"/>
  <c r="G844" i="3"/>
  <c r="F844" i="3"/>
  <c r="F308" i="4"/>
  <c r="D308" i="4"/>
  <c r="C308" i="4"/>
  <c r="E308" i="4"/>
  <c r="F408" i="4"/>
  <c r="E408" i="4"/>
  <c r="C408" i="4"/>
  <c r="D408" i="4"/>
  <c r="F478" i="4"/>
  <c r="E478" i="4"/>
  <c r="C478" i="4"/>
  <c r="D478" i="4"/>
  <c r="F548" i="4"/>
  <c r="D548" i="4"/>
  <c r="E548" i="4"/>
  <c r="C548" i="4"/>
  <c r="F628" i="3"/>
  <c r="I628" i="3"/>
  <c r="G628" i="3"/>
  <c r="H628" i="3"/>
  <c r="F658" i="4"/>
  <c r="E658" i="4"/>
  <c r="C658" i="4"/>
  <c r="D658" i="4"/>
  <c r="F698" i="3"/>
  <c r="H698" i="3"/>
  <c r="G698" i="3"/>
  <c r="I698" i="3"/>
  <c r="F728" i="4"/>
  <c r="D728" i="4"/>
  <c r="E728" i="4"/>
  <c r="C728" i="4"/>
  <c r="F798" i="4"/>
  <c r="E798" i="4"/>
  <c r="D798" i="4"/>
  <c r="C798" i="4"/>
  <c r="F878" i="3"/>
  <c r="I878" i="3"/>
  <c r="G878" i="3"/>
  <c r="H878" i="3"/>
  <c r="F908" i="4"/>
  <c r="C908" i="4"/>
  <c r="E908" i="4"/>
  <c r="D908" i="4"/>
  <c r="F948" i="3"/>
  <c r="G948" i="3"/>
  <c r="I948" i="3"/>
  <c r="H948" i="3"/>
  <c r="F978" i="4"/>
  <c r="E978" i="4"/>
  <c r="D978" i="4"/>
  <c r="C978" i="4"/>
  <c r="F94" i="4"/>
  <c r="E94" i="4"/>
  <c r="D94" i="4"/>
  <c r="C94" i="4"/>
  <c r="F164" i="4"/>
  <c r="E164" i="4"/>
  <c r="C164" i="4"/>
  <c r="D164" i="4"/>
  <c r="G214" i="3"/>
  <c r="H214" i="3"/>
  <c r="I214" i="3"/>
  <c r="F214" i="3"/>
  <c r="F334" i="4"/>
  <c r="E334" i="4"/>
  <c r="D334" i="4"/>
  <c r="C334" i="4"/>
  <c r="E514" i="4"/>
  <c r="F514" i="4"/>
  <c r="D514" i="4"/>
  <c r="C514" i="4"/>
  <c r="H674" i="3"/>
  <c r="I674" i="3"/>
  <c r="G674" i="3"/>
  <c r="F674" i="3"/>
  <c r="H764" i="3"/>
  <c r="I764" i="3"/>
  <c r="F764" i="3"/>
  <c r="G764" i="3"/>
  <c r="F794" i="4"/>
  <c r="E794" i="4"/>
  <c r="D794" i="4"/>
  <c r="C794" i="4"/>
  <c r="H834" i="3"/>
  <c r="I834" i="3"/>
  <c r="G834" i="3"/>
  <c r="F834" i="3"/>
  <c r="F864" i="4"/>
  <c r="E864" i="4"/>
  <c r="D864" i="4"/>
  <c r="C864" i="4"/>
  <c r="I295" i="3"/>
  <c r="H295" i="3"/>
  <c r="F295" i="3"/>
  <c r="G295" i="3"/>
  <c r="F415" i="4"/>
  <c r="E415" i="4"/>
  <c r="D415" i="4"/>
  <c r="C415" i="4"/>
  <c r="G907" i="3"/>
  <c r="H907" i="3"/>
  <c r="I907" i="3"/>
  <c r="F907" i="3"/>
  <c r="I39" i="3"/>
  <c r="F39" i="3"/>
  <c r="G39" i="3"/>
  <c r="I109" i="3"/>
  <c r="H109" i="3"/>
  <c r="G109" i="3"/>
  <c r="F109" i="3"/>
  <c r="E169" i="4"/>
  <c r="F169" i="4"/>
  <c r="D169" i="4"/>
  <c r="C169" i="4"/>
  <c r="I249" i="3"/>
  <c r="H249" i="3"/>
  <c r="G249" i="3"/>
  <c r="F249" i="3"/>
  <c r="I359" i="3"/>
  <c r="H359" i="3"/>
  <c r="F359" i="3"/>
  <c r="G359" i="3"/>
  <c r="F389" i="4"/>
  <c r="E389" i="4"/>
  <c r="C389" i="4"/>
  <c r="D389" i="4"/>
  <c r="I459" i="3"/>
  <c r="H459" i="3"/>
  <c r="G459" i="3"/>
  <c r="F459" i="3"/>
  <c r="F519" i="4"/>
  <c r="E519" i="4"/>
  <c r="C519" i="4"/>
  <c r="D519" i="4"/>
  <c r="I559" i="3"/>
  <c r="F559" i="3"/>
  <c r="G559" i="3"/>
  <c r="H559" i="3"/>
  <c r="F619" i="4"/>
  <c r="D619" i="4"/>
  <c r="E619" i="4"/>
  <c r="C619" i="4"/>
  <c r="F719" i="4"/>
  <c r="D719" i="4"/>
  <c r="E719" i="4"/>
  <c r="C719" i="4"/>
  <c r="I759" i="3"/>
  <c r="F759" i="3"/>
  <c r="G759" i="3"/>
  <c r="H759" i="3"/>
  <c r="F819" i="4"/>
  <c r="D819" i="4"/>
  <c r="C819" i="4"/>
  <c r="E819" i="4"/>
  <c r="F919" i="4"/>
  <c r="D919" i="4"/>
  <c r="C919" i="4"/>
  <c r="E919" i="4"/>
  <c r="I959" i="3"/>
  <c r="H959" i="3"/>
  <c r="G959" i="3"/>
  <c r="F959" i="3"/>
  <c r="I510" i="3"/>
  <c r="H510" i="3"/>
  <c r="F510" i="3"/>
  <c r="G510" i="3"/>
  <c r="I190" i="3"/>
  <c r="H190" i="3"/>
  <c r="F190" i="3"/>
  <c r="G190" i="3"/>
  <c r="E250" i="4"/>
  <c r="F250" i="4"/>
  <c r="C250" i="4"/>
  <c r="D250" i="4"/>
  <c r="I290" i="3"/>
  <c r="H290" i="3"/>
  <c r="G290" i="3"/>
  <c r="F290" i="3"/>
  <c r="E320" i="4"/>
  <c r="F320" i="4"/>
  <c r="D320" i="4"/>
  <c r="C320" i="4"/>
  <c r="I360" i="3"/>
  <c r="H360" i="3"/>
  <c r="F360" i="3"/>
  <c r="G360" i="3"/>
  <c r="E390" i="4"/>
  <c r="F390" i="4"/>
  <c r="D390" i="4"/>
  <c r="C390" i="4"/>
  <c r="F430" i="4"/>
  <c r="E430" i="4"/>
  <c r="C430" i="4"/>
  <c r="D430" i="4"/>
  <c r="I470" i="3"/>
  <c r="H470" i="3"/>
  <c r="G470" i="3"/>
  <c r="F470" i="3"/>
  <c r="F500" i="4"/>
  <c r="E500" i="4"/>
  <c r="C500" i="4"/>
  <c r="D500" i="4"/>
  <c r="I580" i="3"/>
  <c r="H580" i="3"/>
  <c r="F580" i="3"/>
  <c r="G580" i="3"/>
  <c r="F610" i="4"/>
  <c r="D610" i="4"/>
  <c r="C610" i="4"/>
  <c r="E610" i="4"/>
  <c r="I650" i="3"/>
  <c r="F650" i="3"/>
  <c r="G650" i="3"/>
  <c r="H650" i="3"/>
  <c r="I800" i="3"/>
  <c r="H800" i="3"/>
  <c r="G800" i="3"/>
  <c r="F800" i="3"/>
  <c r="F830" i="4"/>
  <c r="D830" i="4"/>
  <c r="E830" i="4"/>
  <c r="C830" i="4"/>
  <c r="F870" i="4"/>
  <c r="D870" i="4"/>
  <c r="E870" i="4"/>
  <c r="C870" i="4"/>
  <c r="H963" i="3"/>
  <c r="I963" i="3"/>
  <c r="F963" i="3"/>
  <c r="G963" i="3"/>
  <c r="H993" i="3"/>
  <c r="F993" i="3"/>
  <c r="I993" i="3"/>
  <c r="G993" i="3"/>
  <c r="G154" i="3"/>
  <c r="I154" i="3"/>
  <c r="F154" i="3"/>
  <c r="H154" i="3"/>
  <c r="H264" i="3"/>
  <c r="G264" i="3"/>
  <c r="I264" i="3"/>
  <c r="F264" i="3"/>
  <c r="F304" i="4"/>
  <c r="E304" i="4"/>
  <c r="D304" i="4"/>
  <c r="C304" i="4"/>
  <c r="F494" i="4"/>
  <c r="E494" i="4"/>
  <c r="D494" i="4"/>
  <c r="C494" i="4"/>
  <c r="H574" i="3"/>
  <c r="I574" i="3"/>
  <c r="F574" i="3"/>
  <c r="G574" i="3"/>
  <c r="E614" i="4"/>
  <c r="F614" i="4"/>
  <c r="D614" i="4"/>
  <c r="C614" i="4"/>
  <c r="F954" i="4"/>
  <c r="E954" i="4"/>
  <c r="D954" i="4"/>
  <c r="C954" i="4"/>
  <c r="I15" i="3"/>
  <c r="G15" i="3"/>
  <c r="F15" i="3"/>
  <c r="F145" i="4"/>
  <c r="D145" i="4"/>
  <c r="E145" i="4"/>
  <c r="C145" i="4"/>
  <c r="H315" i="3"/>
  <c r="I315" i="3"/>
  <c r="G315" i="3"/>
  <c r="F315" i="3"/>
  <c r="H515" i="3"/>
  <c r="I515" i="3"/>
  <c r="G515" i="3"/>
  <c r="F515" i="3"/>
  <c r="H915" i="3"/>
  <c r="I915" i="3"/>
  <c r="G915" i="3"/>
  <c r="F915" i="3"/>
  <c r="G807" i="3"/>
  <c r="I807" i="3"/>
  <c r="H807" i="3"/>
  <c r="F807" i="3"/>
  <c r="I977" i="3"/>
  <c r="G977" i="3"/>
  <c r="H977" i="3"/>
  <c r="F977" i="3"/>
  <c r="F545" i="4"/>
  <c r="E545" i="4"/>
  <c r="C545" i="4"/>
  <c r="D545" i="4"/>
  <c r="F905" i="4"/>
  <c r="E905" i="4"/>
  <c r="D905" i="4"/>
  <c r="C905" i="4"/>
  <c r="I395" i="3"/>
  <c r="H395" i="3"/>
  <c r="G395" i="3"/>
  <c r="F395" i="3"/>
  <c r="G525" i="3"/>
  <c r="I525" i="3"/>
  <c r="H525" i="3"/>
  <c r="F525" i="3"/>
  <c r="I26" i="3"/>
  <c r="F26" i="3"/>
  <c r="G26" i="3"/>
  <c r="I96" i="3"/>
  <c r="H96" i="3"/>
  <c r="F96" i="3"/>
  <c r="G96" i="3"/>
  <c r="F156" i="4"/>
  <c r="E156" i="4"/>
  <c r="D156" i="4"/>
  <c r="C156" i="4"/>
  <c r="H196" i="3"/>
  <c r="I196" i="3"/>
  <c r="F196" i="3"/>
  <c r="G196" i="3"/>
  <c r="F226" i="3"/>
  <c r="H226" i="3"/>
  <c r="G226" i="3"/>
  <c r="I226" i="3"/>
  <c r="G266" i="3"/>
  <c r="H266" i="3"/>
  <c r="F266" i="3"/>
  <c r="I266" i="3"/>
  <c r="F326" i="4"/>
  <c r="E326" i="4"/>
  <c r="D326" i="4"/>
  <c r="C326" i="4"/>
  <c r="G406" i="3"/>
  <c r="H406" i="3"/>
  <c r="I406" i="3"/>
  <c r="F406" i="3"/>
  <c r="F506" i="4"/>
  <c r="E506" i="4"/>
  <c r="C506" i="4"/>
  <c r="D506" i="4"/>
  <c r="G586" i="3"/>
  <c r="H586" i="3"/>
  <c r="I586" i="3"/>
  <c r="F586" i="3"/>
  <c r="G656" i="3"/>
  <c r="H656" i="3"/>
  <c r="I656" i="3"/>
  <c r="F656" i="3"/>
  <c r="F686" i="4"/>
  <c r="E686" i="4"/>
  <c r="D686" i="4"/>
  <c r="C686" i="4"/>
  <c r="F756" i="4"/>
  <c r="E756" i="4"/>
  <c r="D756" i="4"/>
  <c r="C756" i="4"/>
  <c r="G836" i="3"/>
  <c r="H836" i="3"/>
  <c r="I836" i="3"/>
  <c r="F836" i="3"/>
  <c r="G906" i="3"/>
  <c r="I906" i="3"/>
  <c r="H906" i="3"/>
  <c r="F906" i="3"/>
  <c r="F936" i="4"/>
  <c r="E936" i="4"/>
  <c r="C936" i="4"/>
  <c r="D936" i="4"/>
  <c r="F84" i="4"/>
  <c r="E84" i="4"/>
  <c r="D84" i="4"/>
  <c r="C84" i="4"/>
  <c r="I95" i="3"/>
  <c r="H95" i="3"/>
  <c r="F95" i="3"/>
  <c r="G95" i="3"/>
  <c r="F205" i="4"/>
  <c r="D205" i="4"/>
  <c r="C205" i="4"/>
  <c r="E205" i="4"/>
  <c r="G355" i="3"/>
  <c r="I355" i="3"/>
  <c r="H355" i="3"/>
  <c r="F355" i="3"/>
  <c r="F455" i="4"/>
  <c r="E455" i="4"/>
  <c r="D455" i="4"/>
  <c r="C455" i="4"/>
  <c r="H665" i="3"/>
  <c r="I665" i="3"/>
  <c r="G665" i="3"/>
  <c r="F665" i="3"/>
  <c r="F895" i="4"/>
  <c r="E895" i="4"/>
  <c r="D895" i="4"/>
  <c r="C895" i="4"/>
  <c r="F137" i="4"/>
  <c r="E137" i="4"/>
  <c r="D137" i="4"/>
  <c r="C137" i="4"/>
  <c r="F177" i="3"/>
  <c r="H177" i="3"/>
  <c r="G177" i="3"/>
  <c r="I177" i="3"/>
  <c r="F207" i="3"/>
  <c r="I207" i="3"/>
  <c r="H207" i="3"/>
  <c r="G207" i="3"/>
  <c r="F237" i="4"/>
  <c r="E237" i="4"/>
  <c r="D237" i="4"/>
  <c r="C237" i="4"/>
  <c r="F277" i="3"/>
  <c r="H277" i="3"/>
  <c r="G277" i="3"/>
  <c r="I277" i="3"/>
  <c r="F337" i="4"/>
  <c r="E337" i="4"/>
  <c r="D337" i="4"/>
  <c r="C337" i="4"/>
  <c r="F407" i="4"/>
  <c r="E407" i="4"/>
  <c r="C407" i="4"/>
  <c r="D407" i="4"/>
  <c r="F447" i="3"/>
  <c r="H447" i="3"/>
  <c r="I447" i="3"/>
  <c r="G447" i="3"/>
  <c r="F507" i="4"/>
  <c r="E507" i="4"/>
  <c r="C507" i="4"/>
  <c r="D507" i="4"/>
  <c r="G587" i="3"/>
  <c r="H587" i="3"/>
  <c r="I587" i="3"/>
  <c r="F587" i="3"/>
  <c r="G617" i="3"/>
  <c r="H617" i="3"/>
  <c r="F617" i="3"/>
  <c r="I617" i="3"/>
  <c r="G657" i="3"/>
  <c r="H657" i="3"/>
  <c r="I657" i="3"/>
  <c r="F657" i="3"/>
  <c r="F687" i="4"/>
  <c r="E687" i="4"/>
  <c r="D687" i="4"/>
  <c r="C687" i="4"/>
  <c r="F727" i="4"/>
  <c r="E727" i="4"/>
  <c r="D727" i="4"/>
  <c r="C727" i="4"/>
  <c r="G887" i="3"/>
  <c r="H887" i="3"/>
  <c r="F887" i="3"/>
  <c r="I887" i="3"/>
  <c r="F917" i="4"/>
  <c r="E917" i="4"/>
  <c r="D917" i="4"/>
  <c r="C917" i="4"/>
  <c r="F957" i="4"/>
  <c r="E957" i="4"/>
  <c r="D957" i="4"/>
  <c r="C957" i="4"/>
  <c r="F178" i="4"/>
  <c r="E178" i="4"/>
  <c r="D178" i="4"/>
  <c r="C178" i="4"/>
  <c r="H171" i="3"/>
  <c r="I171" i="3"/>
  <c r="G171" i="3"/>
  <c r="F171" i="3"/>
  <c r="F481" i="4"/>
  <c r="D481" i="4"/>
  <c r="E481" i="4"/>
  <c r="C481" i="4"/>
  <c r="G483" i="3"/>
  <c r="H483" i="3"/>
  <c r="I483" i="3"/>
  <c r="F483" i="3"/>
  <c r="E72" i="4"/>
  <c r="F72" i="4"/>
  <c r="D72" i="4"/>
  <c r="C72" i="4"/>
  <c r="H112" i="3"/>
  <c r="G112" i="3"/>
  <c r="I112" i="3"/>
  <c r="F112" i="3"/>
  <c r="E322" i="4"/>
  <c r="D322" i="4"/>
  <c r="F322" i="4"/>
  <c r="C322" i="4"/>
  <c r="H362" i="3"/>
  <c r="I362" i="3"/>
  <c r="G362" i="3"/>
  <c r="F362" i="3"/>
  <c r="F562" i="4"/>
  <c r="E562" i="4"/>
  <c r="D562" i="4"/>
  <c r="C562" i="4"/>
  <c r="H612" i="3"/>
  <c r="I612" i="3"/>
  <c r="F612" i="3"/>
  <c r="G612" i="3"/>
  <c r="H642" i="3"/>
  <c r="I642" i="3"/>
  <c r="F642" i="3"/>
  <c r="G642" i="3"/>
  <c r="H822" i="3"/>
  <c r="I822" i="3"/>
  <c r="G822" i="3"/>
  <c r="F822" i="3"/>
  <c r="F892" i="4"/>
  <c r="D892" i="4"/>
  <c r="C892" i="4"/>
  <c r="E892" i="4"/>
  <c r="H932" i="3"/>
  <c r="I932" i="3"/>
  <c r="F932" i="3"/>
  <c r="G932" i="3"/>
  <c r="G93" i="3"/>
  <c r="H93" i="3"/>
  <c r="I93" i="3"/>
  <c r="F93" i="3"/>
  <c r="E123" i="4"/>
  <c r="F123" i="4"/>
  <c r="D123" i="4"/>
  <c r="C123" i="4"/>
  <c r="D173" i="4"/>
  <c r="E173" i="4"/>
  <c r="F173" i="4"/>
  <c r="C173" i="4"/>
  <c r="F503" i="4"/>
  <c r="E503" i="4"/>
  <c r="D503" i="4"/>
  <c r="C503" i="4"/>
  <c r="H543" i="3"/>
  <c r="I543" i="3"/>
  <c r="F543" i="3"/>
  <c r="G543" i="3"/>
  <c r="F573" i="4"/>
  <c r="E573" i="4"/>
  <c r="D573" i="4"/>
  <c r="C573" i="4"/>
  <c r="F613" i="4"/>
  <c r="E613" i="4"/>
  <c r="D613" i="4"/>
  <c r="C613" i="4"/>
  <c r="H653" i="3"/>
  <c r="F653" i="3"/>
  <c r="G653" i="3"/>
  <c r="I653" i="3"/>
  <c r="H703" i="3"/>
  <c r="F703" i="3"/>
  <c r="G703" i="3"/>
  <c r="I703" i="3"/>
  <c r="E733" i="4"/>
  <c r="F733" i="4"/>
  <c r="D733" i="4"/>
  <c r="C733" i="4"/>
  <c r="H803" i="3"/>
  <c r="F803" i="3"/>
  <c r="G803" i="3"/>
  <c r="I803" i="3"/>
  <c r="F833" i="4"/>
  <c r="E833" i="4"/>
  <c r="D833" i="4"/>
  <c r="C833" i="4"/>
  <c r="E943" i="4"/>
  <c r="F943" i="4"/>
  <c r="D943" i="4"/>
  <c r="C943" i="4"/>
  <c r="G303" i="3"/>
  <c r="H303" i="3"/>
  <c r="I303" i="3"/>
  <c r="F303" i="3"/>
  <c r="I120" i="3"/>
  <c r="H120" i="3"/>
  <c r="G120" i="3"/>
  <c r="F120" i="3"/>
  <c r="I895" i="3"/>
  <c r="G895" i="3"/>
  <c r="F895" i="3"/>
  <c r="H895" i="3"/>
  <c r="I248" i="3"/>
  <c r="F248" i="3"/>
  <c r="H248" i="3"/>
  <c r="G248" i="3"/>
  <c r="F278" i="4"/>
  <c r="E278" i="4"/>
  <c r="D278" i="4"/>
  <c r="C278" i="4"/>
  <c r="I348" i="3"/>
  <c r="F348" i="3"/>
  <c r="H348" i="3"/>
  <c r="G348" i="3"/>
  <c r="F378" i="4"/>
  <c r="E378" i="4"/>
  <c r="C378" i="4"/>
  <c r="D378" i="4"/>
  <c r="I418" i="3"/>
  <c r="F418" i="3"/>
  <c r="G418" i="3"/>
  <c r="H418" i="3"/>
  <c r="I448" i="3"/>
  <c r="F448" i="3"/>
  <c r="H448" i="3"/>
  <c r="G448" i="3"/>
  <c r="I488" i="3"/>
  <c r="F488" i="3"/>
  <c r="H488" i="3"/>
  <c r="G488" i="3"/>
  <c r="F518" i="4"/>
  <c r="E518" i="4"/>
  <c r="D518" i="4"/>
  <c r="C518" i="4"/>
  <c r="F588" i="4"/>
  <c r="E588" i="4"/>
  <c r="D588" i="4"/>
  <c r="C588" i="4"/>
  <c r="F668" i="3"/>
  <c r="G668" i="3"/>
  <c r="H668" i="3"/>
  <c r="I668" i="3"/>
  <c r="F698" i="4"/>
  <c r="E698" i="4"/>
  <c r="D698" i="4"/>
  <c r="C698" i="4"/>
  <c r="F738" i="3"/>
  <c r="G738" i="3"/>
  <c r="I738" i="3"/>
  <c r="H738" i="3"/>
  <c r="F768" i="4"/>
  <c r="E768" i="4"/>
  <c r="D768" i="4"/>
  <c r="C768" i="4"/>
  <c r="F838" i="4"/>
  <c r="C838" i="4"/>
  <c r="E838" i="4"/>
  <c r="D838" i="4"/>
  <c r="F918" i="3"/>
  <c r="G918" i="3"/>
  <c r="H918" i="3"/>
  <c r="I918" i="3"/>
  <c r="F988" i="3"/>
  <c r="H988" i="3"/>
  <c r="G988" i="3"/>
  <c r="I988" i="3"/>
  <c r="G174" i="3"/>
  <c r="I174" i="3"/>
  <c r="H174" i="3"/>
  <c r="F174" i="3"/>
  <c r="F294" i="4"/>
  <c r="E294" i="4"/>
  <c r="D294" i="4"/>
  <c r="C294" i="4"/>
  <c r="G344" i="3"/>
  <c r="H344" i="3"/>
  <c r="I344" i="3"/>
  <c r="F344" i="3"/>
  <c r="I394" i="3"/>
  <c r="G394" i="3"/>
  <c r="F394" i="3"/>
  <c r="H394" i="3"/>
  <c r="F454" i="4"/>
  <c r="E454" i="4"/>
  <c r="D454" i="4"/>
  <c r="C454" i="4"/>
  <c r="E584" i="4"/>
  <c r="F584" i="4"/>
  <c r="D584" i="4"/>
  <c r="C584" i="4"/>
  <c r="F724" i="4"/>
  <c r="E724" i="4"/>
  <c r="D724" i="4"/>
  <c r="C724" i="4"/>
  <c r="H884" i="3"/>
  <c r="I884" i="3"/>
  <c r="G884" i="3"/>
  <c r="F884" i="3"/>
  <c r="F924" i="4"/>
  <c r="E924" i="4"/>
  <c r="C924" i="4"/>
  <c r="D924" i="4"/>
  <c r="G55" i="3"/>
  <c r="F55" i="3"/>
  <c r="I55" i="3"/>
  <c r="F175" i="4"/>
  <c r="E175" i="4"/>
  <c r="D175" i="4"/>
  <c r="C175" i="4"/>
  <c r="H465" i="3"/>
  <c r="F465" i="3"/>
  <c r="G465" i="3"/>
  <c r="I465" i="3"/>
  <c r="F645" i="4"/>
  <c r="E645" i="4"/>
  <c r="D645" i="4"/>
  <c r="C645" i="4"/>
  <c r="F875" i="4"/>
  <c r="E875" i="4"/>
  <c r="D875" i="4"/>
  <c r="C875" i="4"/>
  <c r="I125" i="3"/>
  <c r="G125" i="3"/>
  <c r="F125" i="3"/>
  <c r="H125" i="3"/>
  <c r="I9" i="3"/>
  <c r="G9" i="3"/>
  <c r="F9" i="3"/>
  <c r="H79" i="3"/>
  <c r="I79" i="3"/>
  <c r="G79" i="3"/>
  <c r="F79" i="3"/>
  <c r="F139" i="4"/>
  <c r="E139" i="4"/>
  <c r="C139" i="4"/>
  <c r="D139" i="4"/>
  <c r="I179" i="3"/>
  <c r="H179" i="3"/>
  <c r="G179" i="3"/>
  <c r="F179" i="3"/>
  <c r="F209" i="4"/>
  <c r="E209" i="4"/>
  <c r="D209" i="4"/>
  <c r="C209" i="4"/>
  <c r="F279" i="4"/>
  <c r="E279" i="4"/>
  <c r="D279" i="4"/>
  <c r="C279" i="4"/>
  <c r="F319" i="4"/>
  <c r="E319" i="4"/>
  <c r="D319" i="4"/>
  <c r="C319" i="4"/>
  <c r="I429" i="3"/>
  <c r="H429" i="3"/>
  <c r="G429" i="3"/>
  <c r="F429" i="3"/>
  <c r="F489" i="4"/>
  <c r="E489" i="4"/>
  <c r="C489" i="4"/>
  <c r="D489" i="4"/>
  <c r="F589" i="4"/>
  <c r="E589" i="4"/>
  <c r="D589" i="4"/>
  <c r="C589" i="4"/>
  <c r="I629" i="3"/>
  <c r="H629" i="3"/>
  <c r="F629" i="3"/>
  <c r="G629" i="3"/>
  <c r="I659" i="3"/>
  <c r="F659" i="3"/>
  <c r="H659" i="3"/>
  <c r="G659" i="3"/>
  <c r="F689" i="4"/>
  <c r="E689" i="4"/>
  <c r="D689" i="4"/>
  <c r="C689" i="4"/>
  <c r="F789" i="4"/>
  <c r="E789" i="4"/>
  <c r="D789" i="4"/>
  <c r="C789" i="4"/>
  <c r="I859" i="3"/>
  <c r="F859" i="3"/>
  <c r="G859" i="3"/>
  <c r="H859" i="3"/>
  <c r="F889" i="4"/>
  <c r="E889" i="4"/>
  <c r="D889" i="4"/>
  <c r="C889" i="4"/>
  <c r="I929" i="3"/>
  <c r="H929" i="3"/>
  <c r="F929" i="3"/>
  <c r="G929" i="3"/>
  <c r="F989" i="4"/>
  <c r="E989" i="4"/>
  <c r="D989" i="4"/>
  <c r="C989" i="4"/>
  <c r="I595" i="3"/>
  <c r="G595" i="3"/>
  <c r="H595" i="3"/>
  <c r="F595" i="3"/>
  <c r="E150" i="4"/>
  <c r="F150" i="4"/>
  <c r="C150" i="4"/>
  <c r="D150" i="4"/>
  <c r="E220" i="4"/>
  <c r="F220" i="4"/>
  <c r="D220" i="4"/>
  <c r="C220" i="4"/>
  <c r="I260" i="3"/>
  <c r="H260" i="3"/>
  <c r="G260" i="3"/>
  <c r="F260" i="3"/>
  <c r="F360" i="4"/>
  <c r="E360" i="4"/>
  <c r="D360" i="4"/>
  <c r="C360" i="4"/>
  <c r="F470" i="4"/>
  <c r="D470" i="4"/>
  <c r="E470" i="4"/>
  <c r="C470" i="4"/>
  <c r="F510" i="4"/>
  <c r="C510" i="4"/>
  <c r="D510" i="4"/>
  <c r="E510" i="4"/>
  <c r="E540" i="4"/>
  <c r="D540" i="4"/>
  <c r="C540" i="4"/>
  <c r="F540" i="4"/>
  <c r="I620" i="3"/>
  <c r="G620" i="3"/>
  <c r="H620" i="3"/>
  <c r="F620" i="3"/>
  <c r="I690" i="3"/>
  <c r="G690" i="3"/>
  <c r="H690" i="3"/>
  <c r="F690" i="3"/>
  <c r="F720" i="4"/>
  <c r="E720" i="4"/>
  <c r="D720" i="4"/>
  <c r="C720" i="4"/>
  <c r="F760" i="4"/>
  <c r="D760" i="4"/>
  <c r="C760" i="4"/>
  <c r="E760" i="4"/>
  <c r="F840" i="4"/>
  <c r="D840" i="4"/>
  <c r="E840" i="4"/>
  <c r="C840" i="4"/>
  <c r="I880" i="3"/>
  <c r="H880" i="3"/>
  <c r="F880" i="3"/>
  <c r="G880" i="3"/>
  <c r="I920" i="3"/>
  <c r="G920" i="3"/>
  <c r="H920" i="3"/>
  <c r="F920" i="3"/>
  <c r="F950" i="4"/>
  <c r="C950" i="4"/>
  <c r="D950" i="4"/>
  <c r="E950" i="4"/>
  <c r="F990" i="4"/>
  <c r="E990" i="4"/>
  <c r="D990" i="4"/>
  <c r="C990" i="4"/>
  <c r="E993" i="4"/>
  <c r="F993" i="4"/>
  <c r="C993" i="4"/>
  <c r="D993" i="4"/>
  <c r="G64" i="3"/>
  <c r="I64" i="3"/>
  <c r="F64" i="3"/>
  <c r="G354" i="3"/>
  <c r="I354" i="3"/>
  <c r="H354" i="3"/>
  <c r="F354" i="3"/>
  <c r="H424" i="3"/>
  <c r="G424" i="3"/>
  <c r="I424" i="3"/>
  <c r="F424" i="3"/>
  <c r="H504" i="3"/>
  <c r="F504" i="3"/>
  <c r="G504" i="3"/>
  <c r="I504" i="3"/>
  <c r="H634" i="3"/>
  <c r="I634" i="3"/>
  <c r="G634" i="3"/>
  <c r="F634" i="3"/>
  <c r="F694" i="4"/>
  <c r="E694" i="4"/>
  <c r="D694" i="4"/>
  <c r="C694" i="4"/>
  <c r="I964" i="3"/>
  <c r="H964" i="3"/>
  <c r="G964" i="3"/>
  <c r="F964" i="3"/>
  <c r="F185" i="3"/>
  <c r="H185" i="3"/>
  <c r="I185" i="3"/>
  <c r="G185" i="3"/>
  <c r="F315" i="4"/>
  <c r="C315" i="4"/>
  <c r="D315" i="4"/>
  <c r="E315" i="4"/>
  <c r="F675" i="4"/>
  <c r="E675" i="4"/>
  <c r="D675" i="4"/>
  <c r="C675" i="4"/>
  <c r="E915" i="4"/>
  <c r="F915" i="4"/>
  <c r="D915" i="4"/>
  <c r="C915" i="4"/>
  <c r="F735" i="4"/>
  <c r="E735" i="4"/>
  <c r="D735" i="4"/>
  <c r="C735" i="4"/>
  <c r="I965" i="3"/>
  <c r="G965" i="3"/>
  <c r="H965" i="3"/>
  <c r="F965" i="3"/>
  <c r="F865" i="4"/>
  <c r="E865" i="4"/>
  <c r="D865" i="4"/>
  <c r="C865" i="4"/>
  <c r="I178" i="3"/>
  <c r="H178" i="3"/>
  <c r="F178" i="3"/>
  <c r="G178" i="3"/>
  <c r="I75" i="3"/>
  <c r="G75" i="3"/>
  <c r="H75" i="3"/>
  <c r="F75" i="3"/>
  <c r="H215" i="3"/>
  <c r="I215" i="3"/>
  <c r="G215" i="3"/>
  <c r="F215" i="3"/>
  <c r="F395" i="4"/>
  <c r="D395" i="4"/>
  <c r="E395" i="4"/>
  <c r="C395" i="4"/>
  <c r="F655" i="4"/>
  <c r="E655" i="4"/>
  <c r="D655" i="4"/>
  <c r="C655" i="4"/>
  <c r="H885" i="3"/>
  <c r="G885" i="3"/>
  <c r="I885" i="3"/>
  <c r="F885" i="3"/>
  <c r="I66" i="3"/>
  <c r="F66" i="3"/>
  <c r="G66" i="3"/>
  <c r="F126" i="4"/>
  <c r="E126" i="4"/>
  <c r="C126" i="4"/>
  <c r="D126" i="4"/>
  <c r="H166" i="3"/>
  <c r="F166" i="3"/>
  <c r="I166" i="3"/>
  <c r="G166" i="3"/>
  <c r="F226" i="4"/>
  <c r="E226" i="4"/>
  <c r="C226" i="4"/>
  <c r="D226" i="4"/>
  <c r="F296" i="4"/>
  <c r="D296" i="4"/>
  <c r="E296" i="4"/>
  <c r="C296" i="4"/>
  <c r="I336" i="3"/>
  <c r="H336" i="3"/>
  <c r="G336" i="3"/>
  <c r="F336" i="3"/>
  <c r="F366" i="4"/>
  <c r="E366" i="4"/>
  <c r="C366" i="4"/>
  <c r="D366" i="4"/>
  <c r="F436" i="4"/>
  <c r="D436" i="4"/>
  <c r="E436" i="4"/>
  <c r="C436" i="4"/>
  <c r="F476" i="4"/>
  <c r="E476" i="4"/>
  <c r="C476" i="4"/>
  <c r="D476" i="4"/>
  <c r="F546" i="4"/>
  <c r="E546" i="4"/>
  <c r="D546" i="4"/>
  <c r="C546" i="4"/>
  <c r="F616" i="4"/>
  <c r="E616" i="4"/>
  <c r="D616" i="4"/>
  <c r="C616" i="4"/>
  <c r="G696" i="3"/>
  <c r="I696" i="3"/>
  <c r="H696" i="3"/>
  <c r="F696" i="3"/>
  <c r="F726" i="4"/>
  <c r="E726" i="4"/>
  <c r="D726" i="4"/>
  <c r="C726" i="4"/>
  <c r="G766" i="3"/>
  <c r="H766" i="3"/>
  <c r="I766" i="3"/>
  <c r="F766" i="3"/>
  <c r="F796" i="4"/>
  <c r="D796" i="4"/>
  <c r="E796" i="4"/>
  <c r="C796" i="4"/>
  <c r="F866" i="4"/>
  <c r="E866" i="4"/>
  <c r="D866" i="4"/>
  <c r="C866" i="4"/>
  <c r="G946" i="3"/>
  <c r="I946" i="3"/>
  <c r="H946" i="3"/>
  <c r="F946" i="3"/>
  <c r="F976" i="4"/>
  <c r="E976" i="4"/>
  <c r="D976" i="4"/>
  <c r="C976" i="4"/>
  <c r="H914" i="3"/>
  <c r="I914" i="3"/>
  <c r="F914" i="3"/>
  <c r="G914" i="3"/>
  <c r="H245" i="3"/>
  <c r="I245" i="3"/>
  <c r="G245" i="3"/>
  <c r="F245" i="3"/>
  <c r="G495" i="3"/>
  <c r="I495" i="3"/>
  <c r="H495" i="3"/>
  <c r="F495" i="3"/>
  <c r="I777" i="3"/>
  <c r="G777" i="3"/>
  <c r="F777" i="3"/>
  <c r="H777" i="3"/>
  <c r="F107" i="4"/>
  <c r="E107" i="4"/>
  <c r="D107" i="4"/>
  <c r="C107" i="4"/>
  <c r="F147" i="3"/>
  <c r="H147" i="3"/>
  <c r="G147" i="3"/>
  <c r="I147" i="3"/>
  <c r="F207" i="4"/>
  <c r="E207" i="4"/>
  <c r="D207" i="4"/>
  <c r="C207" i="4"/>
  <c r="F307" i="4"/>
  <c r="E307" i="4"/>
  <c r="D307" i="4"/>
  <c r="C307" i="4"/>
  <c r="F377" i="4"/>
  <c r="E377" i="4"/>
  <c r="D377" i="4"/>
  <c r="C377" i="4"/>
  <c r="F477" i="4"/>
  <c r="E477" i="4"/>
  <c r="C477" i="4"/>
  <c r="D477" i="4"/>
  <c r="G517" i="3"/>
  <c r="H517" i="3"/>
  <c r="I517" i="3"/>
  <c r="F517" i="3"/>
  <c r="F547" i="4"/>
  <c r="E547" i="4"/>
  <c r="D547" i="4"/>
  <c r="C547" i="4"/>
  <c r="F617" i="4"/>
  <c r="E617" i="4"/>
  <c r="D617" i="4"/>
  <c r="C617" i="4"/>
  <c r="H697" i="3"/>
  <c r="G697" i="3"/>
  <c r="I697" i="3"/>
  <c r="F697" i="3"/>
  <c r="G737" i="3"/>
  <c r="I737" i="3"/>
  <c r="H737" i="3"/>
  <c r="F737" i="3"/>
  <c r="F767" i="4"/>
  <c r="E767" i="4"/>
  <c r="D767" i="4"/>
  <c r="C767" i="4"/>
  <c r="F807" i="4"/>
  <c r="E807" i="4"/>
  <c r="D807" i="4"/>
  <c r="C807" i="4"/>
  <c r="H847" i="3"/>
  <c r="G847" i="3"/>
  <c r="I847" i="3"/>
  <c r="F847" i="3"/>
  <c r="G967" i="3"/>
  <c r="H967" i="3"/>
  <c r="F967" i="3"/>
  <c r="I967" i="3"/>
  <c r="F997" i="4"/>
  <c r="D997" i="4"/>
  <c r="E997" i="4"/>
  <c r="C997" i="4"/>
  <c r="G58" i="3"/>
  <c r="F58" i="3"/>
  <c r="I58" i="3"/>
  <c r="F98" i="4"/>
  <c r="E98" i="4"/>
  <c r="D98" i="4"/>
  <c r="C98" i="4"/>
  <c r="I148" i="3"/>
  <c r="F148" i="3"/>
  <c r="H148" i="3"/>
  <c r="G148" i="3"/>
  <c r="F238" i="4"/>
  <c r="E238" i="4"/>
  <c r="D238" i="4"/>
  <c r="C238" i="4"/>
  <c r="F383" i="4"/>
  <c r="E383" i="4"/>
  <c r="D383" i="4"/>
  <c r="C383" i="4"/>
  <c r="H91" i="3"/>
  <c r="I91" i="3"/>
  <c r="F91" i="3"/>
  <c r="G91" i="3"/>
  <c r="H81" i="3"/>
  <c r="I81" i="3"/>
  <c r="G81" i="3"/>
  <c r="F81" i="3"/>
  <c r="D321" i="4"/>
  <c r="E321" i="4"/>
  <c r="F321" i="4"/>
  <c r="C321" i="4"/>
  <c r="F361" i="4"/>
  <c r="E361" i="4"/>
  <c r="D361" i="4"/>
  <c r="C361" i="4"/>
  <c r="F401" i="4"/>
  <c r="E401" i="4"/>
  <c r="C401" i="4"/>
  <c r="D401" i="4"/>
  <c r="F551" i="4"/>
  <c r="E551" i="4"/>
  <c r="D551" i="4"/>
  <c r="C551" i="4"/>
  <c r="I591" i="3"/>
  <c r="H591" i="3"/>
  <c r="F591" i="3"/>
  <c r="G591" i="3"/>
  <c r="I621" i="3"/>
  <c r="H621" i="3"/>
  <c r="G621" i="3"/>
  <c r="F621" i="3"/>
  <c r="I661" i="3"/>
  <c r="H661" i="3"/>
  <c r="G661" i="3"/>
  <c r="F661" i="3"/>
  <c r="I701" i="3"/>
  <c r="H701" i="3"/>
  <c r="G701" i="3"/>
  <c r="F701" i="3"/>
  <c r="F731" i="4"/>
  <c r="E731" i="4"/>
  <c r="D731" i="4"/>
  <c r="C731" i="4"/>
  <c r="F771" i="4"/>
  <c r="E771" i="4"/>
  <c r="D771" i="4"/>
  <c r="C771" i="4"/>
  <c r="I811" i="3"/>
  <c r="H811" i="3"/>
  <c r="F811" i="3"/>
  <c r="G811" i="3"/>
  <c r="F841" i="4"/>
  <c r="E841" i="4"/>
  <c r="D841" i="4"/>
  <c r="C841" i="4"/>
  <c r="F881" i="4"/>
  <c r="E881" i="4"/>
  <c r="D881" i="4"/>
  <c r="C881" i="4"/>
  <c r="I921" i="3"/>
  <c r="H921" i="3"/>
  <c r="G921" i="3"/>
  <c r="F921" i="3"/>
  <c r="F961" i="4"/>
  <c r="E961" i="4"/>
  <c r="C961" i="4"/>
  <c r="D961" i="4"/>
  <c r="H142" i="3"/>
  <c r="I142" i="3"/>
  <c r="G142" i="3"/>
  <c r="F142" i="3"/>
  <c r="D182" i="4"/>
  <c r="E182" i="4"/>
  <c r="F182" i="4"/>
  <c r="C182" i="4"/>
  <c r="E222" i="4"/>
  <c r="D222" i="4"/>
  <c r="F222" i="4"/>
  <c r="C222" i="4"/>
  <c r="H292" i="3"/>
  <c r="I292" i="3"/>
  <c r="G292" i="3"/>
  <c r="F292" i="3"/>
  <c r="H402" i="3"/>
  <c r="I402" i="3"/>
  <c r="G402" i="3"/>
  <c r="F402" i="3"/>
  <c r="F432" i="4"/>
  <c r="E432" i="4"/>
  <c r="D432" i="4"/>
  <c r="C432" i="4"/>
  <c r="F472" i="4"/>
  <c r="E472" i="4"/>
  <c r="D472" i="4"/>
  <c r="C472" i="4"/>
  <c r="F672" i="4"/>
  <c r="C672" i="4"/>
  <c r="D672" i="4"/>
  <c r="E672" i="4"/>
  <c r="H712" i="3"/>
  <c r="I712" i="3"/>
  <c r="G712" i="3"/>
  <c r="F712" i="3"/>
  <c r="H742" i="3"/>
  <c r="I742" i="3"/>
  <c r="F742" i="3"/>
  <c r="G742" i="3"/>
  <c r="H782" i="3"/>
  <c r="I782" i="3"/>
  <c r="F782" i="3"/>
  <c r="G782" i="3"/>
  <c r="F852" i="4"/>
  <c r="E852" i="4"/>
  <c r="D852" i="4"/>
  <c r="C852" i="4"/>
  <c r="H110" i="3"/>
  <c r="I110" i="3"/>
  <c r="G110" i="3"/>
  <c r="F110" i="3"/>
  <c r="E81" i="4"/>
  <c r="D81" i="4"/>
  <c r="F81" i="4"/>
  <c r="C81" i="4"/>
  <c r="E131" i="4"/>
  <c r="D131" i="4"/>
  <c r="F131" i="4"/>
  <c r="C131" i="4"/>
  <c r="F171" i="4"/>
  <c r="D171" i="4"/>
  <c r="E171" i="4"/>
  <c r="C171" i="4"/>
  <c r="F211" i="4"/>
  <c r="E211" i="4"/>
  <c r="D211" i="4"/>
  <c r="C211" i="4"/>
  <c r="H371" i="3"/>
  <c r="I371" i="3"/>
  <c r="G371" i="3"/>
  <c r="F371" i="3"/>
  <c r="H491" i="3"/>
  <c r="I491" i="3"/>
  <c r="F491" i="3"/>
  <c r="G491" i="3"/>
  <c r="F521" i="4"/>
  <c r="E521" i="4"/>
  <c r="C521" i="4"/>
  <c r="D521" i="4"/>
  <c r="F661" i="4"/>
  <c r="E661" i="4"/>
  <c r="D661" i="4"/>
  <c r="C661" i="4"/>
  <c r="F811" i="4"/>
  <c r="E811" i="4"/>
  <c r="D811" i="4"/>
  <c r="C811" i="4"/>
  <c r="I851" i="3"/>
  <c r="H851" i="3"/>
  <c r="G851" i="3"/>
  <c r="F851" i="3"/>
  <c r="I891" i="3"/>
  <c r="H891" i="3"/>
  <c r="F891" i="3"/>
  <c r="G891" i="3"/>
  <c r="I971" i="3"/>
  <c r="H971" i="3"/>
  <c r="G971" i="3"/>
  <c r="F971" i="3"/>
  <c r="G12" i="3"/>
  <c r="F12" i="3"/>
  <c r="I12" i="3"/>
  <c r="I42" i="3"/>
  <c r="G42" i="3"/>
  <c r="F42" i="3"/>
  <c r="F112" i="4"/>
  <c r="E112" i="4"/>
  <c r="D112" i="4"/>
  <c r="C112" i="4"/>
  <c r="H152" i="3"/>
  <c r="I152" i="3"/>
  <c r="G152" i="3"/>
  <c r="F152" i="3"/>
  <c r="H192" i="3"/>
  <c r="I192" i="3"/>
  <c r="G192" i="3"/>
  <c r="F192" i="3"/>
  <c r="H232" i="3"/>
  <c r="I232" i="3"/>
  <c r="G232" i="3"/>
  <c r="F232" i="3"/>
  <c r="H262" i="3"/>
  <c r="I262" i="3"/>
  <c r="G262" i="3"/>
  <c r="F262" i="3"/>
  <c r="F292" i="4"/>
  <c r="D292" i="4"/>
  <c r="E292" i="4"/>
  <c r="C292" i="4"/>
  <c r="H332" i="3"/>
  <c r="I332" i="3"/>
  <c r="G332" i="3"/>
  <c r="F332" i="3"/>
  <c r="F362" i="4"/>
  <c r="D362" i="4"/>
  <c r="E362" i="4"/>
  <c r="C362" i="4"/>
  <c r="F402" i="4"/>
  <c r="E402" i="4"/>
  <c r="D402" i="4"/>
  <c r="C402" i="4"/>
  <c r="H482" i="3"/>
  <c r="I482" i="3"/>
  <c r="G482" i="3"/>
  <c r="F482" i="3"/>
  <c r="F522" i="4"/>
  <c r="D522" i="4"/>
  <c r="C522" i="4"/>
  <c r="E522" i="4"/>
  <c r="H572" i="3"/>
  <c r="I572" i="3"/>
  <c r="G572" i="3"/>
  <c r="F572" i="3"/>
  <c r="F642" i="4"/>
  <c r="E642" i="4"/>
  <c r="D642" i="4"/>
  <c r="C642" i="4"/>
  <c r="F742" i="4"/>
  <c r="E742" i="4"/>
  <c r="D742" i="4"/>
  <c r="C742" i="4"/>
  <c r="F782" i="4"/>
  <c r="E782" i="4"/>
  <c r="D782" i="4"/>
  <c r="C782" i="4"/>
  <c r="H862" i="3"/>
  <c r="I862" i="3"/>
  <c r="G862" i="3"/>
  <c r="F862" i="3"/>
  <c r="H902" i="3"/>
  <c r="I902" i="3"/>
  <c r="G902" i="3"/>
  <c r="F902" i="3"/>
  <c r="H972" i="3"/>
  <c r="I972" i="3"/>
  <c r="F972" i="3"/>
  <c r="G972" i="3"/>
  <c r="F93" i="4"/>
  <c r="E93" i="4"/>
  <c r="D93" i="4"/>
  <c r="C93" i="4"/>
  <c r="G183" i="3"/>
  <c r="H183" i="3"/>
  <c r="F183" i="3"/>
  <c r="I183" i="3"/>
  <c r="E223" i="4"/>
  <c r="F223" i="4"/>
  <c r="D223" i="4"/>
  <c r="C223" i="4"/>
  <c r="F353" i="4"/>
  <c r="E353" i="4"/>
  <c r="C353" i="4"/>
  <c r="D353" i="4"/>
  <c r="G393" i="3"/>
  <c r="H393" i="3"/>
  <c r="I393" i="3"/>
  <c r="F393" i="3"/>
  <c r="F433" i="4"/>
  <c r="E433" i="4"/>
  <c r="C433" i="4"/>
  <c r="D433" i="4"/>
  <c r="H513" i="3"/>
  <c r="I513" i="3"/>
  <c r="F513" i="3"/>
  <c r="G513" i="3"/>
  <c r="H583" i="3"/>
  <c r="I583" i="3"/>
  <c r="G583" i="3"/>
  <c r="F583" i="3"/>
  <c r="H623" i="3"/>
  <c r="G623" i="3"/>
  <c r="F623" i="3"/>
  <c r="I623" i="3"/>
  <c r="E653" i="4"/>
  <c r="F653" i="4"/>
  <c r="D653" i="4"/>
  <c r="C653" i="4"/>
  <c r="E703" i="4"/>
  <c r="F703" i="4"/>
  <c r="D703" i="4"/>
  <c r="C703" i="4"/>
  <c r="H743" i="3"/>
  <c r="I743" i="3"/>
  <c r="F743" i="3"/>
  <c r="G743" i="3"/>
  <c r="H773" i="3"/>
  <c r="I773" i="3"/>
  <c r="G773" i="3"/>
  <c r="F773" i="3"/>
  <c r="E803" i="4"/>
  <c r="F803" i="4"/>
  <c r="D803" i="4"/>
  <c r="C803" i="4"/>
  <c r="H843" i="3"/>
  <c r="I843" i="3"/>
  <c r="F843" i="3"/>
  <c r="G843" i="3"/>
  <c r="E873" i="4"/>
  <c r="F873" i="4"/>
  <c r="D873" i="4"/>
  <c r="C873" i="4"/>
  <c r="E913" i="4"/>
  <c r="D913" i="4"/>
  <c r="C913" i="4"/>
  <c r="F913" i="4"/>
  <c r="G63" i="3"/>
  <c r="I63" i="3"/>
  <c r="F63" i="3"/>
  <c r="I60" i="3"/>
  <c r="G60" i="3"/>
  <c r="F60" i="3"/>
  <c r="E90" i="4"/>
  <c r="F90" i="4"/>
  <c r="C90" i="4"/>
  <c r="D90" i="4"/>
  <c r="H957" i="3"/>
  <c r="G957" i="3"/>
  <c r="F957" i="3"/>
  <c r="I957" i="3"/>
  <c r="F248" i="4"/>
  <c r="D248" i="4"/>
  <c r="E248" i="4"/>
  <c r="C248" i="4"/>
  <c r="I288" i="3"/>
  <c r="F288" i="3"/>
  <c r="H288" i="3"/>
  <c r="G288" i="3"/>
  <c r="I318" i="3"/>
  <c r="F318" i="3"/>
  <c r="G318" i="3"/>
  <c r="H318" i="3"/>
  <c r="F348" i="4"/>
  <c r="D348" i="4"/>
  <c r="E348" i="4"/>
  <c r="C348" i="4"/>
  <c r="I388" i="3"/>
  <c r="F388" i="3"/>
  <c r="G388" i="3"/>
  <c r="H388" i="3"/>
  <c r="F448" i="4"/>
  <c r="D448" i="4"/>
  <c r="E448" i="4"/>
  <c r="C448" i="4"/>
  <c r="F528" i="3"/>
  <c r="G528" i="3"/>
  <c r="I528" i="3"/>
  <c r="H528" i="3"/>
  <c r="F558" i="4"/>
  <c r="E558" i="4"/>
  <c r="D558" i="4"/>
  <c r="C558" i="4"/>
  <c r="F598" i="3"/>
  <c r="H598" i="3"/>
  <c r="G598" i="3"/>
  <c r="I598" i="3"/>
  <c r="F628" i="4"/>
  <c r="E628" i="4"/>
  <c r="D628" i="4"/>
  <c r="C628" i="4"/>
  <c r="F778" i="3"/>
  <c r="I778" i="3"/>
  <c r="G778" i="3"/>
  <c r="H778" i="3"/>
  <c r="F808" i="4"/>
  <c r="E808" i="4"/>
  <c r="D808" i="4"/>
  <c r="C808" i="4"/>
  <c r="F848" i="3"/>
  <c r="H848" i="3"/>
  <c r="G848" i="3"/>
  <c r="I848" i="3"/>
  <c r="E878" i="4"/>
  <c r="F878" i="4"/>
  <c r="D878" i="4"/>
  <c r="C878" i="4"/>
  <c r="E948" i="4"/>
  <c r="F948" i="4"/>
  <c r="C948" i="4"/>
  <c r="D948" i="4"/>
  <c r="G54" i="3"/>
  <c r="F54" i="3"/>
  <c r="I54" i="3"/>
  <c r="G104" i="3"/>
  <c r="I104" i="3"/>
  <c r="H104" i="3"/>
  <c r="F104" i="3"/>
  <c r="F214" i="4"/>
  <c r="E214" i="4"/>
  <c r="D214" i="4"/>
  <c r="C214" i="4"/>
  <c r="H314" i="3"/>
  <c r="I314" i="3"/>
  <c r="F314" i="3"/>
  <c r="G314" i="3"/>
  <c r="F394" i="4"/>
  <c r="D394" i="4"/>
  <c r="E394" i="4"/>
  <c r="C394" i="4"/>
  <c r="H464" i="3"/>
  <c r="G464" i="3"/>
  <c r="F464" i="3"/>
  <c r="I464" i="3"/>
  <c r="F544" i="4"/>
  <c r="E544" i="4"/>
  <c r="C544" i="4"/>
  <c r="D544" i="4"/>
  <c r="H624" i="3"/>
  <c r="F624" i="3"/>
  <c r="G624" i="3"/>
  <c r="I624" i="3"/>
  <c r="F674" i="4"/>
  <c r="C674" i="4"/>
  <c r="E674" i="4"/>
  <c r="D674" i="4"/>
  <c r="H734" i="3"/>
  <c r="I734" i="3"/>
  <c r="G734" i="3"/>
  <c r="F734" i="3"/>
  <c r="F764" i="4"/>
  <c r="D764" i="4"/>
  <c r="E764" i="4"/>
  <c r="C764" i="4"/>
  <c r="H804" i="3"/>
  <c r="F804" i="3"/>
  <c r="G804" i="3"/>
  <c r="I804" i="3"/>
  <c r="F834" i="4"/>
  <c r="E834" i="4"/>
  <c r="D834" i="4"/>
  <c r="C834" i="4"/>
  <c r="F295" i="4"/>
  <c r="E295" i="4"/>
  <c r="D295" i="4"/>
  <c r="C295" i="4"/>
  <c r="G935" i="3"/>
  <c r="H935" i="3"/>
  <c r="F935" i="3"/>
  <c r="I935" i="3"/>
  <c r="I199" i="3"/>
  <c r="G199" i="3"/>
  <c r="F199" i="3"/>
  <c r="H199" i="3"/>
  <c r="F109" i="4"/>
  <c r="E109" i="4"/>
  <c r="D109" i="4"/>
  <c r="C109" i="4"/>
  <c r="I149" i="3"/>
  <c r="G149" i="3"/>
  <c r="H149" i="3"/>
  <c r="F149" i="3"/>
  <c r="F249" i="4"/>
  <c r="E249" i="4"/>
  <c r="C249" i="4"/>
  <c r="D249" i="4"/>
  <c r="F359" i="4"/>
  <c r="E359" i="4"/>
  <c r="D359" i="4"/>
  <c r="C359" i="4"/>
  <c r="I399" i="3"/>
  <c r="F399" i="3"/>
  <c r="G399" i="3"/>
  <c r="H399" i="3"/>
  <c r="D459" i="4"/>
  <c r="F459" i="4"/>
  <c r="E459" i="4"/>
  <c r="C459" i="4"/>
  <c r="I499" i="3"/>
  <c r="H499" i="3"/>
  <c r="G499" i="3"/>
  <c r="F499" i="3"/>
  <c r="I529" i="3"/>
  <c r="H529" i="3"/>
  <c r="F529" i="3"/>
  <c r="G529" i="3"/>
  <c r="F559" i="4"/>
  <c r="D559" i="4"/>
  <c r="E559" i="4"/>
  <c r="C559" i="4"/>
  <c r="I599" i="3"/>
  <c r="F599" i="3"/>
  <c r="H599" i="3"/>
  <c r="G599" i="3"/>
  <c r="F659" i="4"/>
  <c r="D659" i="4"/>
  <c r="E659" i="4"/>
  <c r="C659" i="4"/>
  <c r="I699" i="3"/>
  <c r="F699" i="3"/>
  <c r="H699" i="3"/>
  <c r="G699" i="3"/>
  <c r="I729" i="3"/>
  <c r="H729" i="3"/>
  <c r="F729" i="3"/>
  <c r="G729" i="3"/>
  <c r="F759" i="4"/>
  <c r="D759" i="4"/>
  <c r="E759" i="4"/>
  <c r="C759" i="4"/>
  <c r="I799" i="3"/>
  <c r="F799" i="3"/>
  <c r="H799" i="3"/>
  <c r="G799" i="3"/>
  <c r="I829" i="3"/>
  <c r="H829" i="3"/>
  <c r="F829" i="3"/>
  <c r="G829" i="3"/>
  <c r="F859" i="4"/>
  <c r="D859" i="4"/>
  <c r="C859" i="4"/>
  <c r="E859" i="4"/>
  <c r="I899" i="3"/>
  <c r="F899" i="3"/>
  <c r="H899" i="3"/>
  <c r="G899" i="3"/>
  <c r="F959" i="4"/>
  <c r="D959" i="4"/>
  <c r="C959" i="4"/>
  <c r="E959" i="4"/>
  <c r="I999" i="3"/>
  <c r="H999" i="3"/>
  <c r="G999" i="3"/>
  <c r="F999" i="3"/>
  <c r="I677" i="3"/>
  <c r="G677" i="3"/>
  <c r="F677" i="3"/>
  <c r="H677" i="3"/>
  <c r="E190" i="4"/>
  <c r="F190" i="4"/>
  <c r="C190" i="4"/>
  <c r="D190" i="4"/>
  <c r="E290" i="4"/>
  <c r="F290" i="4"/>
  <c r="C290" i="4"/>
  <c r="D290" i="4"/>
  <c r="F330" i="4"/>
  <c r="E330" i="4"/>
  <c r="C330" i="4"/>
  <c r="D330" i="4"/>
  <c r="I370" i="3"/>
  <c r="H370" i="3"/>
  <c r="G370" i="3"/>
  <c r="F370" i="3"/>
  <c r="E400" i="4"/>
  <c r="F400" i="4"/>
  <c r="C400" i="4"/>
  <c r="D400" i="4"/>
  <c r="F440" i="4"/>
  <c r="E440" i="4"/>
  <c r="D440" i="4"/>
  <c r="C440" i="4"/>
  <c r="I550" i="3"/>
  <c r="H550" i="3"/>
  <c r="F550" i="3"/>
  <c r="G550" i="3"/>
  <c r="F580" i="4"/>
  <c r="E580" i="4"/>
  <c r="D580" i="4"/>
  <c r="C580" i="4"/>
  <c r="F620" i="4"/>
  <c r="E620" i="4"/>
  <c r="D620" i="4"/>
  <c r="C620" i="4"/>
  <c r="F650" i="4"/>
  <c r="D650" i="4"/>
  <c r="C650" i="4"/>
  <c r="E650" i="4"/>
  <c r="I730" i="3"/>
  <c r="H730" i="3"/>
  <c r="F730" i="3"/>
  <c r="G730" i="3"/>
  <c r="I770" i="3"/>
  <c r="G770" i="3"/>
  <c r="H770" i="3"/>
  <c r="F770" i="3"/>
  <c r="F800" i="4"/>
  <c r="E800" i="4"/>
  <c r="D800" i="4"/>
  <c r="C800" i="4"/>
  <c r="F880" i="4"/>
  <c r="D880" i="4"/>
  <c r="E880" i="4"/>
  <c r="C880" i="4"/>
  <c r="F960" i="4"/>
  <c r="E960" i="4"/>
  <c r="C960" i="4"/>
  <c r="D960" i="4"/>
  <c r="I1000" i="3"/>
  <c r="H1000" i="3"/>
  <c r="G1000" i="3"/>
  <c r="F1000" i="3"/>
  <c r="F963" i="4"/>
  <c r="E963" i="4"/>
  <c r="D963" i="4"/>
  <c r="C963" i="4"/>
  <c r="I4" i="3"/>
  <c r="G4" i="3"/>
  <c r="F4" i="3"/>
  <c r="F154" i="4"/>
  <c r="E154" i="4"/>
  <c r="C154" i="4"/>
  <c r="D154" i="4"/>
  <c r="F264" i="4"/>
  <c r="E264" i="4"/>
  <c r="D264" i="4"/>
  <c r="C264" i="4"/>
  <c r="F424" i="4"/>
  <c r="D424" i="4"/>
  <c r="E424" i="4"/>
  <c r="C424" i="4"/>
  <c r="E574" i="4"/>
  <c r="F574" i="4"/>
  <c r="C574" i="4"/>
  <c r="D574" i="4"/>
  <c r="H874" i="3"/>
  <c r="I874" i="3"/>
  <c r="F874" i="3"/>
  <c r="G874" i="3"/>
  <c r="I65" i="3"/>
  <c r="F65" i="3"/>
  <c r="G65" i="3"/>
  <c r="F515" i="4"/>
  <c r="E515" i="4"/>
  <c r="D515" i="4"/>
  <c r="C515" i="4"/>
  <c r="G955" i="3"/>
  <c r="H955" i="3"/>
  <c r="F955" i="3"/>
  <c r="I955" i="3"/>
  <c r="I456" i="3"/>
  <c r="G456" i="3"/>
  <c r="F456" i="3"/>
  <c r="H456" i="3"/>
  <c r="F595" i="4"/>
  <c r="E595" i="4"/>
  <c r="C595" i="4"/>
  <c r="D595" i="4"/>
  <c r="H765" i="3"/>
  <c r="I765" i="3"/>
  <c r="G765" i="3"/>
  <c r="F765" i="3"/>
  <c r="H385" i="3"/>
  <c r="G385" i="3"/>
  <c r="I385" i="3"/>
  <c r="F385" i="3"/>
  <c r="F215" i="4"/>
  <c r="D215" i="4"/>
  <c r="E215" i="4"/>
  <c r="C215" i="4"/>
  <c r="G425" i="3"/>
  <c r="F425" i="3"/>
  <c r="H425" i="3"/>
  <c r="I425" i="3"/>
  <c r="F525" i="4"/>
  <c r="D525" i="4"/>
  <c r="E525" i="4"/>
  <c r="C525" i="4"/>
  <c r="F885" i="4"/>
  <c r="E885" i="4"/>
  <c r="D885" i="4"/>
  <c r="C885" i="4"/>
  <c r="I236" i="3"/>
  <c r="F236" i="3"/>
  <c r="H236" i="3"/>
  <c r="G236" i="3"/>
  <c r="F96" i="4"/>
  <c r="D96" i="4"/>
  <c r="E96" i="4"/>
  <c r="C96" i="4"/>
  <c r="F136" i="3"/>
  <c r="H136" i="3"/>
  <c r="I136" i="3"/>
  <c r="G136" i="3"/>
  <c r="F196" i="4"/>
  <c r="E196" i="4"/>
  <c r="D196" i="4"/>
  <c r="C196" i="4"/>
  <c r="F266" i="4"/>
  <c r="E266" i="4"/>
  <c r="C266" i="4"/>
  <c r="D266" i="4"/>
  <c r="I376" i="3"/>
  <c r="H376" i="3"/>
  <c r="F376" i="3"/>
  <c r="G376" i="3"/>
  <c r="F406" i="4"/>
  <c r="E406" i="4"/>
  <c r="C406" i="4"/>
  <c r="D406" i="4"/>
  <c r="H446" i="3"/>
  <c r="G446" i="3"/>
  <c r="I446" i="3"/>
  <c r="F446" i="3"/>
  <c r="G486" i="3"/>
  <c r="I486" i="3"/>
  <c r="H486" i="3"/>
  <c r="F486" i="3"/>
  <c r="G516" i="3"/>
  <c r="H516" i="3"/>
  <c r="I516" i="3"/>
  <c r="F516" i="3"/>
  <c r="G556" i="3"/>
  <c r="I556" i="3"/>
  <c r="H556" i="3"/>
  <c r="F556" i="3"/>
  <c r="F586" i="4"/>
  <c r="E586" i="4"/>
  <c r="C586" i="4"/>
  <c r="D586" i="4"/>
  <c r="F656" i="4"/>
  <c r="E656" i="4"/>
  <c r="D656" i="4"/>
  <c r="C656" i="4"/>
  <c r="G736" i="3"/>
  <c r="I736" i="3"/>
  <c r="H736" i="3"/>
  <c r="F736" i="3"/>
  <c r="G806" i="3"/>
  <c r="I806" i="3"/>
  <c r="H806" i="3"/>
  <c r="F806" i="3"/>
  <c r="F836" i="4"/>
  <c r="C836" i="4"/>
  <c r="E836" i="4"/>
  <c r="D836" i="4"/>
  <c r="F906" i="4"/>
  <c r="E906" i="4"/>
  <c r="D906" i="4"/>
  <c r="C906" i="4"/>
  <c r="F95" i="4"/>
  <c r="D95" i="4"/>
  <c r="E95" i="4"/>
  <c r="C95" i="4"/>
  <c r="F355" i="4"/>
  <c r="E355" i="4"/>
  <c r="D355" i="4"/>
  <c r="C355" i="4"/>
  <c r="F665" i="4"/>
  <c r="E665" i="4"/>
  <c r="D665" i="4"/>
  <c r="C665" i="4"/>
  <c r="E945" i="4"/>
  <c r="F945" i="4"/>
  <c r="D945" i="4"/>
  <c r="C945" i="4"/>
  <c r="I7" i="3"/>
  <c r="F7" i="3"/>
  <c r="G7" i="3"/>
  <c r="I37" i="3"/>
  <c r="F37" i="3"/>
  <c r="G37" i="3"/>
  <c r="I77" i="3"/>
  <c r="F77" i="3"/>
  <c r="H77" i="3"/>
  <c r="G77" i="3"/>
  <c r="F177" i="4"/>
  <c r="E177" i="4"/>
  <c r="C177" i="4"/>
  <c r="D177" i="4"/>
  <c r="F247" i="3"/>
  <c r="H247" i="3"/>
  <c r="I247" i="3"/>
  <c r="G247" i="3"/>
  <c r="F277" i="4"/>
  <c r="E277" i="4"/>
  <c r="D277" i="4"/>
  <c r="C277" i="4"/>
  <c r="F347" i="4"/>
  <c r="D347" i="4"/>
  <c r="E347" i="4"/>
  <c r="C347" i="4"/>
  <c r="F387" i="3"/>
  <c r="I387" i="3"/>
  <c r="G387" i="3"/>
  <c r="H387" i="3"/>
  <c r="F417" i="3"/>
  <c r="G417" i="3"/>
  <c r="I417" i="3"/>
  <c r="H417" i="3"/>
  <c r="F447" i="4"/>
  <c r="D447" i="4"/>
  <c r="E447" i="4"/>
  <c r="C447" i="4"/>
  <c r="F487" i="3"/>
  <c r="I487" i="3"/>
  <c r="G487" i="3"/>
  <c r="H487" i="3"/>
  <c r="G557" i="3"/>
  <c r="I557" i="3"/>
  <c r="H557" i="3"/>
  <c r="F557" i="3"/>
  <c r="F587" i="4"/>
  <c r="E587" i="4"/>
  <c r="C587" i="4"/>
  <c r="D587" i="4"/>
  <c r="F657" i="4"/>
  <c r="E657" i="4"/>
  <c r="C657" i="4"/>
  <c r="D657" i="4"/>
  <c r="G817" i="3"/>
  <c r="H817" i="3"/>
  <c r="F817" i="3"/>
  <c r="I817" i="3"/>
  <c r="F847" i="4"/>
  <c r="E847" i="4"/>
  <c r="C847" i="4"/>
  <c r="D847" i="4"/>
  <c r="F887" i="4"/>
  <c r="E887" i="4"/>
  <c r="D887" i="4"/>
  <c r="C887" i="4"/>
  <c r="F927" i="4"/>
  <c r="E927" i="4"/>
  <c r="D927" i="4"/>
  <c r="C927" i="4"/>
  <c r="I18" i="3"/>
  <c r="F18" i="3"/>
  <c r="G18" i="3"/>
  <c r="F148" i="4"/>
  <c r="D148" i="4"/>
  <c r="E148" i="4"/>
  <c r="C148" i="4"/>
  <c r="F198" i="4"/>
  <c r="E198" i="4"/>
  <c r="D198" i="4"/>
  <c r="C198" i="4"/>
  <c r="F581" i="4"/>
  <c r="E581" i="4"/>
  <c r="D581" i="4"/>
  <c r="C581" i="4"/>
  <c r="H472" i="3"/>
  <c r="I472" i="3"/>
  <c r="G472" i="3"/>
  <c r="F472" i="3"/>
  <c r="E701" i="4"/>
  <c r="D701" i="4"/>
  <c r="F701" i="4"/>
  <c r="C701" i="4"/>
  <c r="I741" i="3"/>
  <c r="H741" i="3"/>
  <c r="F741" i="3"/>
  <c r="G741" i="3"/>
  <c r="I781" i="3"/>
  <c r="H781" i="3"/>
  <c r="F781" i="3"/>
  <c r="G781" i="3"/>
  <c r="F921" i="4"/>
  <c r="E921" i="4"/>
  <c r="D921" i="4"/>
  <c r="C921" i="4"/>
  <c r="F262" i="4"/>
  <c r="D262" i="4"/>
  <c r="E262" i="4"/>
  <c r="C262" i="4"/>
  <c r="H442" i="3"/>
  <c r="I442" i="3"/>
  <c r="F442" i="3"/>
  <c r="G442" i="3"/>
  <c r="E133" i="4"/>
  <c r="D133" i="4"/>
  <c r="F133" i="4"/>
  <c r="C133" i="4"/>
  <c r="G273" i="3"/>
  <c r="H273" i="3"/>
  <c r="I273" i="3"/>
  <c r="F273" i="3"/>
  <c r="G313" i="3"/>
  <c r="H313" i="3"/>
  <c r="I313" i="3"/>
  <c r="F313" i="3"/>
  <c r="F543" i="4"/>
  <c r="E543" i="4"/>
  <c r="D543" i="4"/>
  <c r="C543" i="4"/>
  <c r="E583" i="4"/>
  <c r="F583" i="4"/>
  <c r="D583" i="4"/>
  <c r="C583" i="4"/>
  <c r="H663" i="3"/>
  <c r="I663" i="3"/>
  <c r="G663" i="3"/>
  <c r="F663" i="3"/>
  <c r="H713" i="3"/>
  <c r="I713" i="3"/>
  <c r="G713" i="3"/>
  <c r="F713" i="3"/>
  <c r="E773" i="4"/>
  <c r="F773" i="4"/>
  <c r="D773" i="4"/>
  <c r="C773" i="4"/>
  <c r="H813" i="3"/>
  <c r="I813" i="3"/>
  <c r="G813" i="3"/>
  <c r="F813" i="3"/>
  <c r="H883" i="3"/>
  <c r="I883" i="3"/>
  <c r="G883" i="3"/>
  <c r="F883" i="3"/>
  <c r="H923" i="3"/>
  <c r="G923" i="3"/>
  <c r="I923" i="3"/>
  <c r="F923" i="3"/>
  <c r="H451" i="3"/>
  <c r="I451" i="3"/>
  <c r="G451" i="3"/>
  <c r="F451" i="3"/>
  <c r="I8" i="3"/>
  <c r="F8" i="3"/>
  <c r="G8" i="3"/>
  <c r="I138" i="3"/>
  <c r="F138" i="3"/>
  <c r="H138" i="3"/>
  <c r="G138" i="3"/>
  <c r="I258" i="3"/>
  <c r="F258" i="3"/>
  <c r="G258" i="3"/>
  <c r="H258" i="3"/>
  <c r="F318" i="4"/>
  <c r="E318" i="4"/>
  <c r="C318" i="4"/>
  <c r="D318" i="4"/>
  <c r="F388" i="4"/>
  <c r="E388" i="4"/>
  <c r="C388" i="4"/>
  <c r="D388" i="4"/>
  <c r="F418" i="4"/>
  <c r="E418" i="4"/>
  <c r="C418" i="4"/>
  <c r="D418" i="4"/>
  <c r="F488" i="4"/>
  <c r="E488" i="4"/>
  <c r="C488" i="4"/>
  <c r="D488" i="4"/>
  <c r="F568" i="3"/>
  <c r="G568" i="3"/>
  <c r="I568" i="3"/>
  <c r="H568" i="3"/>
  <c r="F638" i="3"/>
  <c r="G638" i="3"/>
  <c r="I638" i="3"/>
  <c r="H638" i="3"/>
  <c r="F668" i="4"/>
  <c r="E668" i="4"/>
  <c r="D668" i="4"/>
  <c r="C668" i="4"/>
  <c r="F738" i="4"/>
  <c r="E738" i="4"/>
  <c r="C738" i="4"/>
  <c r="D738" i="4"/>
  <c r="F818" i="3"/>
  <c r="G818" i="3"/>
  <c r="I818" i="3"/>
  <c r="H818" i="3"/>
  <c r="F888" i="3"/>
  <c r="G888" i="3"/>
  <c r="H888" i="3"/>
  <c r="I888" i="3"/>
  <c r="F918" i="4"/>
  <c r="D918" i="4"/>
  <c r="C918" i="4"/>
  <c r="E918" i="4"/>
  <c r="F988" i="4"/>
  <c r="E988" i="4"/>
  <c r="D988" i="4"/>
  <c r="C988" i="4"/>
  <c r="F104" i="4"/>
  <c r="E104" i="4"/>
  <c r="D104" i="4"/>
  <c r="C104" i="4"/>
  <c r="F174" i="4"/>
  <c r="E174" i="4"/>
  <c r="D174" i="4"/>
  <c r="C174" i="4"/>
  <c r="G224" i="3"/>
  <c r="H224" i="3"/>
  <c r="F224" i="3"/>
  <c r="I224" i="3"/>
  <c r="F344" i="4"/>
  <c r="E344" i="4"/>
  <c r="C344" i="4"/>
  <c r="D344" i="4"/>
  <c r="H414" i="3"/>
  <c r="I414" i="3"/>
  <c r="F414" i="3"/>
  <c r="G414" i="3"/>
  <c r="H554" i="3"/>
  <c r="I554" i="3"/>
  <c r="F554" i="3"/>
  <c r="G554" i="3"/>
  <c r="H704" i="3"/>
  <c r="F704" i="3"/>
  <c r="G704" i="3"/>
  <c r="I704" i="3"/>
  <c r="H774" i="3"/>
  <c r="I774" i="3"/>
  <c r="F774" i="3"/>
  <c r="G774" i="3"/>
  <c r="F804" i="4"/>
  <c r="D804" i="4"/>
  <c r="C804" i="4"/>
  <c r="E804" i="4"/>
  <c r="F884" i="4"/>
  <c r="E884" i="4"/>
  <c r="C884" i="4"/>
  <c r="D884" i="4"/>
  <c r="E944" i="4"/>
  <c r="F944" i="4"/>
  <c r="D944" i="4"/>
  <c r="C944" i="4"/>
  <c r="I85" i="3"/>
  <c r="F85" i="3"/>
  <c r="H85" i="3"/>
  <c r="G85" i="3"/>
  <c r="I195" i="3"/>
  <c r="H195" i="3"/>
  <c r="G195" i="3"/>
  <c r="F195" i="3"/>
  <c r="F325" i="3"/>
  <c r="I325" i="3"/>
  <c r="H325" i="3"/>
  <c r="G325" i="3"/>
  <c r="F465" i="4"/>
  <c r="E465" i="4"/>
  <c r="C465" i="4"/>
  <c r="D465" i="4"/>
  <c r="F695" i="4"/>
  <c r="E695" i="4"/>
  <c r="C695" i="4"/>
  <c r="D695" i="4"/>
  <c r="G254" i="3"/>
  <c r="I254" i="3"/>
  <c r="F254" i="3"/>
  <c r="H254" i="3"/>
  <c r="I49" i="3"/>
  <c r="F49" i="3"/>
  <c r="G49" i="3"/>
  <c r="F79" i="4"/>
  <c r="E79" i="4"/>
  <c r="D79" i="4"/>
  <c r="C79" i="4"/>
  <c r="I119" i="3"/>
  <c r="G119" i="3"/>
  <c r="F119" i="3"/>
  <c r="H119" i="3"/>
  <c r="F179" i="4"/>
  <c r="E179" i="4"/>
  <c r="C179" i="4"/>
  <c r="D179" i="4"/>
  <c r="F219" i="4"/>
  <c r="E219" i="4"/>
  <c r="D219" i="4"/>
  <c r="C219" i="4"/>
  <c r="I259" i="3"/>
  <c r="H259" i="3"/>
  <c r="F259" i="3"/>
  <c r="G259" i="3"/>
  <c r="F289" i="4"/>
  <c r="E289" i="4"/>
  <c r="D289" i="4"/>
  <c r="C289" i="4"/>
  <c r="F329" i="4"/>
  <c r="E329" i="4"/>
  <c r="C329" i="4"/>
  <c r="D329" i="4"/>
  <c r="I369" i="3"/>
  <c r="G369" i="3"/>
  <c r="F369" i="3"/>
  <c r="H369" i="3"/>
  <c r="F429" i="4"/>
  <c r="E429" i="4"/>
  <c r="C429" i="4"/>
  <c r="D429" i="4"/>
  <c r="I469" i="3"/>
  <c r="H469" i="3"/>
  <c r="G469" i="3"/>
  <c r="F469" i="3"/>
  <c r="F529" i="4"/>
  <c r="E529" i="4"/>
  <c r="C529" i="4"/>
  <c r="D529" i="4"/>
  <c r="F629" i="4"/>
  <c r="E629" i="4"/>
  <c r="D629" i="4"/>
  <c r="C629" i="4"/>
  <c r="I669" i="3"/>
  <c r="F669" i="3"/>
  <c r="H669" i="3"/>
  <c r="G669" i="3"/>
  <c r="F729" i="4"/>
  <c r="D729" i="4"/>
  <c r="C729" i="4"/>
  <c r="E729" i="4"/>
  <c r="F829" i="4"/>
  <c r="D829" i="4"/>
  <c r="E829" i="4"/>
  <c r="C829" i="4"/>
  <c r="F929" i="4"/>
  <c r="E929" i="4"/>
  <c r="D929" i="4"/>
  <c r="C929" i="4"/>
  <c r="I969" i="3"/>
  <c r="H969" i="3"/>
  <c r="G969" i="3"/>
  <c r="F969" i="3"/>
  <c r="I795" i="3"/>
  <c r="G795" i="3"/>
  <c r="H795" i="3"/>
  <c r="F795" i="3"/>
  <c r="I160" i="3"/>
  <c r="H160" i="3"/>
  <c r="G160" i="3"/>
  <c r="F160" i="3"/>
  <c r="I200" i="3"/>
  <c r="H200" i="3"/>
  <c r="G200" i="3"/>
  <c r="F200" i="3"/>
  <c r="I230" i="3"/>
  <c r="H230" i="3"/>
  <c r="G230" i="3"/>
  <c r="F230" i="3"/>
  <c r="F260" i="4"/>
  <c r="E260" i="4"/>
  <c r="C260" i="4"/>
  <c r="D260" i="4"/>
  <c r="I300" i="3"/>
  <c r="H300" i="3"/>
  <c r="G300" i="3"/>
  <c r="F300" i="3"/>
  <c r="I410" i="3"/>
  <c r="H410" i="3"/>
  <c r="G410" i="3"/>
  <c r="F410" i="3"/>
  <c r="I480" i="3"/>
  <c r="H480" i="3"/>
  <c r="F480" i="3"/>
  <c r="G480" i="3"/>
  <c r="I520" i="3"/>
  <c r="G520" i="3"/>
  <c r="H520" i="3"/>
  <c r="F520" i="3"/>
  <c r="I590" i="3"/>
  <c r="G590" i="3"/>
  <c r="F590" i="3"/>
  <c r="H590" i="3"/>
  <c r="F690" i="4"/>
  <c r="E690" i="4"/>
  <c r="D690" i="4"/>
  <c r="C690" i="4"/>
  <c r="I850" i="3"/>
  <c r="H850" i="3"/>
  <c r="F850" i="3"/>
  <c r="G850" i="3"/>
  <c r="F920" i="4"/>
  <c r="E920" i="4"/>
  <c r="D920" i="4"/>
  <c r="C920" i="4"/>
  <c r="F354" i="4"/>
  <c r="E354" i="4"/>
  <c r="C354" i="4"/>
  <c r="D354" i="4"/>
  <c r="I444" i="3"/>
  <c r="H444" i="3"/>
  <c r="F444" i="3"/>
  <c r="G444" i="3"/>
  <c r="E504" i="4"/>
  <c r="F504" i="4"/>
  <c r="D504" i="4"/>
  <c r="C504" i="4"/>
  <c r="E634" i="4"/>
  <c r="F634" i="4"/>
  <c r="C634" i="4"/>
  <c r="D634" i="4"/>
  <c r="F964" i="4"/>
  <c r="E964" i="4"/>
  <c r="D964" i="4"/>
  <c r="C964" i="4"/>
  <c r="F185" i="4"/>
  <c r="D185" i="4"/>
  <c r="E185" i="4"/>
  <c r="C185" i="4"/>
  <c r="F345" i="4"/>
  <c r="E345" i="4"/>
  <c r="D345" i="4"/>
  <c r="C345" i="4"/>
  <c r="I575" i="3"/>
  <c r="G575" i="3"/>
  <c r="H575" i="3"/>
  <c r="F575" i="3"/>
  <c r="F745" i="4"/>
  <c r="E745" i="4"/>
  <c r="C745" i="4"/>
  <c r="D745" i="4"/>
  <c r="G626" i="3"/>
  <c r="I626" i="3"/>
  <c r="H626" i="3"/>
  <c r="F626" i="3"/>
  <c r="I375" i="3"/>
  <c r="H375" i="3"/>
  <c r="F375" i="3"/>
  <c r="G375" i="3"/>
  <c r="H635" i="3"/>
  <c r="G635" i="3"/>
  <c r="I635" i="3"/>
  <c r="F635" i="3"/>
  <c r="F965" i="4"/>
  <c r="E965" i="4"/>
  <c r="D965" i="4"/>
  <c r="C965" i="4"/>
  <c r="G825" i="3"/>
  <c r="H825" i="3"/>
  <c r="F825" i="3"/>
  <c r="I825" i="3"/>
  <c r="H685" i="3"/>
  <c r="G685" i="3"/>
  <c r="I685" i="3"/>
  <c r="F685" i="3"/>
  <c r="F925" i="4"/>
  <c r="E925" i="4"/>
  <c r="C925" i="4"/>
  <c r="D925" i="4"/>
  <c r="I475" i="3"/>
  <c r="G475" i="3"/>
  <c r="F475" i="3"/>
  <c r="H475" i="3"/>
  <c r="F75" i="4"/>
  <c r="E75" i="4"/>
  <c r="D75" i="4"/>
  <c r="C75" i="4"/>
  <c r="I285" i="3"/>
  <c r="G285" i="3"/>
  <c r="F285" i="3"/>
  <c r="H285" i="3"/>
  <c r="I555" i="3"/>
  <c r="G555" i="3"/>
  <c r="H555" i="3"/>
  <c r="F555" i="3"/>
  <c r="H715" i="3"/>
  <c r="I715" i="3"/>
  <c r="G715" i="3"/>
  <c r="F715" i="3"/>
  <c r="G725" i="3"/>
  <c r="H725" i="3"/>
  <c r="I725" i="3"/>
  <c r="F725" i="3"/>
  <c r="I6" i="3"/>
  <c r="F6" i="3"/>
  <c r="G6" i="3"/>
  <c r="I36" i="3"/>
  <c r="F36" i="3"/>
  <c r="G36" i="3"/>
  <c r="I106" i="3"/>
  <c r="F106" i="3"/>
  <c r="G106" i="3"/>
  <c r="H106" i="3"/>
  <c r="F166" i="4"/>
  <c r="E166" i="4"/>
  <c r="C166" i="4"/>
  <c r="D166" i="4"/>
  <c r="F236" i="4"/>
  <c r="D236" i="4"/>
  <c r="E236" i="4"/>
  <c r="C236" i="4"/>
  <c r="I276" i="3"/>
  <c r="F276" i="3"/>
  <c r="H276" i="3"/>
  <c r="G276" i="3"/>
  <c r="G306" i="3"/>
  <c r="F306" i="3"/>
  <c r="H306" i="3"/>
  <c r="I306" i="3"/>
  <c r="F336" i="4"/>
  <c r="E336" i="4"/>
  <c r="D336" i="4"/>
  <c r="C336" i="4"/>
  <c r="F516" i="4"/>
  <c r="E516" i="4"/>
  <c r="D516" i="4"/>
  <c r="C516" i="4"/>
  <c r="G596" i="3"/>
  <c r="I596" i="3"/>
  <c r="H596" i="3"/>
  <c r="F596" i="3"/>
  <c r="F626" i="4"/>
  <c r="E626" i="4"/>
  <c r="C626" i="4"/>
  <c r="D626" i="4"/>
  <c r="G666" i="3"/>
  <c r="H666" i="3"/>
  <c r="I666" i="3"/>
  <c r="F666" i="3"/>
  <c r="F696" i="4"/>
  <c r="E696" i="4"/>
  <c r="D696" i="4"/>
  <c r="C696" i="4"/>
  <c r="F766" i="4"/>
  <c r="E766" i="4"/>
  <c r="D766" i="4"/>
  <c r="C766" i="4"/>
  <c r="G846" i="3"/>
  <c r="I846" i="3"/>
  <c r="H846" i="3"/>
  <c r="F846" i="3"/>
  <c r="F876" i="4"/>
  <c r="E876" i="4"/>
  <c r="C876" i="4"/>
  <c r="D876" i="4"/>
  <c r="G916" i="3"/>
  <c r="H916" i="3"/>
  <c r="I916" i="3"/>
  <c r="F916" i="3"/>
  <c r="F946" i="4"/>
  <c r="E946" i="4"/>
  <c r="C946" i="4"/>
  <c r="D946" i="4"/>
  <c r="H986" i="3"/>
  <c r="G986" i="3"/>
  <c r="I986" i="3"/>
  <c r="F986" i="3"/>
  <c r="E914" i="4"/>
  <c r="F914" i="4"/>
  <c r="C914" i="4"/>
  <c r="D914" i="4"/>
  <c r="F245" i="4"/>
  <c r="E245" i="4"/>
  <c r="D245" i="4"/>
  <c r="C245" i="4"/>
  <c r="F495" i="4"/>
  <c r="E495" i="4"/>
  <c r="D495" i="4"/>
  <c r="C495" i="4"/>
  <c r="I117" i="3"/>
  <c r="F117" i="3"/>
  <c r="G117" i="3"/>
  <c r="H117" i="3"/>
  <c r="F147" i="4"/>
  <c r="E147" i="4"/>
  <c r="D147" i="4"/>
  <c r="C147" i="4"/>
  <c r="G187" i="3"/>
  <c r="F187" i="3"/>
  <c r="I187" i="3"/>
  <c r="H187" i="3"/>
  <c r="F217" i="3"/>
  <c r="G217" i="3"/>
  <c r="H217" i="3"/>
  <c r="I217" i="3"/>
  <c r="F247" i="4"/>
  <c r="D247" i="4"/>
  <c r="E247" i="4"/>
  <c r="C247" i="4"/>
  <c r="F287" i="3"/>
  <c r="I287" i="3"/>
  <c r="G287" i="3"/>
  <c r="H287" i="3"/>
  <c r="F317" i="3"/>
  <c r="G317" i="3"/>
  <c r="H317" i="3"/>
  <c r="I317" i="3"/>
  <c r="F357" i="3"/>
  <c r="H357" i="3"/>
  <c r="I357" i="3"/>
  <c r="G357" i="3"/>
  <c r="F387" i="4"/>
  <c r="E387" i="4"/>
  <c r="D387" i="4"/>
  <c r="C387" i="4"/>
  <c r="F417" i="4"/>
  <c r="E417" i="4"/>
  <c r="D417" i="4"/>
  <c r="C417" i="4"/>
  <c r="F517" i="4"/>
  <c r="E517" i="4"/>
  <c r="D517" i="4"/>
  <c r="C517" i="4"/>
  <c r="F627" i="4"/>
  <c r="E627" i="4"/>
  <c r="D627" i="4"/>
  <c r="C627" i="4"/>
  <c r="G667" i="3"/>
  <c r="H667" i="3"/>
  <c r="F667" i="3"/>
  <c r="I667" i="3"/>
  <c r="F697" i="4"/>
  <c r="E697" i="4"/>
  <c r="D697" i="4"/>
  <c r="C697" i="4"/>
  <c r="F737" i="4"/>
  <c r="E737" i="4"/>
  <c r="D737" i="4"/>
  <c r="C737" i="4"/>
  <c r="F777" i="4"/>
  <c r="E777" i="4"/>
  <c r="D777" i="4"/>
  <c r="C777" i="4"/>
  <c r="E967" i="4"/>
  <c r="F967" i="4"/>
  <c r="D967" i="4"/>
  <c r="C967" i="4"/>
  <c r="F108" i="4"/>
  <c r="E108" i="4"/>
  <c r="D108" i="4"/>
  <c r="C108" i="4"/>
  <c r="I208" i="3"/>
  <c r="F208" i="3"/>
  <c r="H208" i="3"/>
  <c r="G208" i="3"/>
  <c r="E702" i="4"/>
  <c r="D702" i="4"/>
  <c r="F702" i="4"/>
  <c r="C702" i="4"/>
  <c r="F922" i="4"/>
  <c r="E922" i="4"/>
  <c r="C922" i="4"/>
  <c r="D922" i="4"/>
  <c r="H962" i="3"/>
  <c r="I962" i="3"/>
  <c r="F962" i="3"/>
  <c r="G962" i="3"/>
  <c r="G173" i="3"/>
  <c r="H173" i="3"/>
  <c r="I173" i="3"/>
  <c r="F173" i="3"/>
  <c r="H261" i="3"/>
  <c r="I261" i="3"/>
  <c r="G261" i="3"/>
  <c r="F261" i="3"/>
  <c r="I561" i="3"/>
  <c r="H561" i="3"/>
  <c r="G561" i="3"/>
  <c r="F561" i="3"/>
  <c r="F591" i="4"/>
  <c r="E591" i="4"/>
  <c r="D591" i="4"/>
  <c r="C591" i="4"/>
  <c r="F971" i="4"/>
  <c r="D971" i="4"/>
  <c r="C971" i="4"/>
  <c r="E971" i="4"/>
  <c r="H82" i="3"/>
  <c r="I82" i="3"/>
  <c r="G82" i="3"/>
  <c r="F82" i="3"/>
  <c r="F152" i="4"/>
  <c r="E152" i="4"/>
  <c r="D152" i="4"/>
  <c r="C152" i="4"/>
  <c r="F192" i="4"/>
  <c r="D192" i="4"/>
  <c r="E192" i="4"/>
  <c r="C192" i="4"/>
  <c r="H532" i="3"/>
  <c r="I532" i="3"/>
  <c r="G532" i="3"/>
  <c r="F532" i="3"/>
  <c r="F572" i="4"/>
  <c r="E572" i="4"/>
  <c r="D572" i="4"/>
  <c r="C572" i="4"/>
  <c r="F612" i="4"/>
  <c r="E612" i="4"/>
  <c r="D612" i="4"/>
  <c r="C612" i="4"/>
  <c r="H682" i="3"/>
  <c r="I682" i="3"/>
  <c r="F682" i="3"/>
  <c r="G682" i="3"/>
  <c r="F712" i="4"/>
  <c r="E712" i="4"/>
  <c r="C712" i="4"/>
  <c r="D712" i="4"/>
  <c r="H752" i="3"/>
  <c r="I752" i="3"/>
  <c r="G752" i="3"/>
  <c r="F752" i="3"/>
  <c r="H792" i="3"/>
  <c r="I792" i="3"/>
  <c r="F792" i="3"/>
  <c r="G792" i="3"/>
  <c r="E822" i="4"/>
  <c r="F822" i="4"/>
  <c r="D822" i="4"/>
  <c r="C822" i="4"/>
  <c r="F862" i="4"/>
  <c r="E862" i="4"/>
  <c r="C862" i="4"/>
  <c r="D862" i="4"/>
  <c r="E932" i="4"/>
  <c r="F932" i="4"/>
  <c r="D932" i="4"/>
  <c r="C932" i="4"/>
  <c r="D972" i="4"/>
  <c r="C972" i="4"/>
  <c r="E972" i="4"/>
  <c r="F972" i="4"/>
  <c r="C23" i="4"/>
  <c r="E23" i="4" s="1"/>
  <c r="F393" i="4"/>
  <c r="D393" i="4"/>
  <c r="E393" i="4"/>
  <c r="C393" i="4"/>
  <c r="G203" i="3"/>
  <c r="H203" i="3"/>
  <c r="I203" i="3"/>
  <c r="F203" i="3"/>
  <c r="C51" i="4"/>
  <c r="D51" i="4" s="1"/>
  <c r="E91" i="4"/>
  <c r="F91" i="4"/>
  <c r="D91" i="4"/>
  <c r="C91" i="4"/>
  <c r="E141" i="4"/>
  <c r="F141" i="4"/>
  <c r="D141" i="4"/>
  <c r="C141" i="4"/>
  <c r="H181" i="3"/>
  <c r="I181" i="3"/>
  <c r="F181" i="3"/>
  <c r="G181" i="3"/>
  <c r="D221" i="4"/>
  <c r="F221" i="4"/>
  <c r="E221" i="4"/>
  <c r="C221" i="4"/>
  <c r="E371" i="4"/>
  <c r="F371" i="4"/>
  <c r="D371" i="4"/>
  <c r="C371" i="4"/>
  <c r="H461" i="3"/>
  <c r="I461" i="3"/>
  <c r="G461" i="3"/>
  <c r="F461" i="3"/>
  <c r="H501" i="3"/>
  <c r="I501" i="3"/>
  <c r="G501" i="3"/>
  <c r="F501" i="3"/>
  <c r="I531" i="3"/>
  <c r="H531" i="3"/>
  <c r="F531" i="3"/>
  <c r="G531" i="3"/>
  <c r="F561" i="4"/>
  <c r="E561" i="4"/>
  <c r="D561" i="4"/>
  <c r="C561" i="4"/>
  <c r="I601" i="3"/>
  <c r="H601" i="3"/>
  <c r="G601" i="3"/>
  <c r="F601" i="3"/>
  <c r="I631" i="3"/>
  <c r="H631" i="3"/>
  <c r="F631" i="3"/>
  <c r="G631" i="3"/>
  <c r="I671" i="3"/>
  <c r="H671" i="3"/>
  <c r="G671" i="3"/>
  <c r="F671" i="3"/>
  <c r="I711" i="3"/>
  <c r="H711" i="3"/>
  <c r="G711" i="3"/>
  <c r="F711" i="3"/>
  <c r="F741" i="4"/>
  <c r="D741" i="4"/>
  <c r="C741" i="4"/>
  <c r="E741" i="4"/>
  <c r="F781" i="4"/>
  <c r="D781" i="4"/>
  <c r="E781" i="4"/>
  <c r="C781" i="4"/>
  <c r="I821" i="3"/>
  <c r="H821" i="3"/>
  <c r="G821" i="3"/>
  <c r="F821" i="3"/>
  <c r="F851" i="4"/>
  <c r="E851" i="4"/>
  <c r="D851" i="4"/>
  <c r="C851" i="4"/>
  <c r="F891" i="4"/>
  <c r="D891" i="4"/>
  <c r="E891" i="4"/>
  <c r="C891" i="4"/>
  <c r="I931" i="3"/>
  <c r="H931" i="3"/>
  <c r="G931" i="3"/>
  <c r="F931" i="3"/>
  <c r="I981" i="3"/>
  <c r="H981" i="3"/>
  <c r="G981" i="3"/>
  <c r="F981" i="3"/>
  <c r="I52" i="3"/>
  <c r="G52" i="3"/>
  <c r="F52" i="3"/>
  <c r="E82" i="4"/>
  <c r="D82" i="4"/>
  <c r="F82" i="4"/>
  <c r="C82" i="4"/>
  <c r="H122" i="3"/>
  <c r="G122" i="3"/>
  <c r="I122" i="3"/>
  <c r="F122" i="3"/>
  <c r="H202" i="3"/>
  <c r="I202" i="3"/>
  <c r="G202" i="3"/>
  <c r="F202" i="3"/>
  <c r="F232" i="4"/>
  <c r="D232" i="4"/>
  <c r="E232" i="4"/>
  <c r="C232" i="4"/>
  <c r="H302" i="3"/>
  <c r="I302" i="3"/>
  <c r="G302" i="3"/>
  <c r="F302" i="3"/>
  <c r="F332" i="4"/>
  <c r="D332" i="4"/>
  <c r="E332" i="4"/>
  <c r="C332" i="4"/>
  <c r="H372" i="3"/>
  <c r="I372" i="3"/>
  <c r="G372" i="3"/>
  <c r="F372" i="3"/>
  <c r="H412" i="3"/>
  <c r="I412" i="3"/>
  <c r="G412" i="3"/>
  <c r="F412" i="3"/>
  <c r="F442" i="4"/>
  <c r="E442" i="4"/>
  <c r="D442" i="4"/>
  <c r="C442" i="4"/>
  <c r="F482" i="4"/>
  <c r="E482" i="4"/>
  <c r="D482" i="4"/>
  <c r="C482" i="4"/>
  <c r="H582" i="3"/>
  <c r="I582" i="3"/>
  <c r="F582" i="3"/>
  <c r="G582" i="3"/>
  <c r="H622" i="3"/>
  <c r="I622" i="3"/>
  <c r="G622" i="3"/>
  <c r="F622" i="3"/>
  <c r="H652" i="3"/>
  <c r="I652" i="3"/>
  <c r="G652" i="3"/>
  <c r="F652" i="3"/>
  <c r="F682" i="4"/>
  <c r="E682" i="4"/>
  <c r="D682" i="4"/>
  <c r="C682" i="4"/>
  <c r="H722" i="3"/>
  <c r="I722" i="3"/>
  <c r="G722" i="3"/>
  <c r="F722" i="3"/>
  <c r="F752" i="4"/>
  <c r="E752" i="4"/>
  <c r="C752" i="4"/>
  <c r="D752" i="4"/>
  <c r="F792" i="4"/>
  <c r="E792" i="4"/>
  <c r="D792" i="4"/>
  <c r="C792" i="4"/>
  <c r="H832" i="3"/>
  <c r="I832" i="3"/>
  <c r="F832" i="3"/>
  <c r="G832" i="3"/>
  <c r="H872" i="3"/>
  <c r="I872" i="3"/>
  <c r="G872" i="3"/>
  <c r="F872" i="3"/>
  <c r="F902" i="4"/>
  <c r="E902" i="4"/>
  <c r="C902" i="4"/>
  <c r="D902" i="4"/>
  <c r="H942" i="3"/>
  <c r="I942" i="3"/>
  <c r="F942" i="3"/>
  <c r="G942" i="3"/>
  <c r="H982" i="3"/>
  <c r="I982" i="3"/>
  <c r="G982" i="3"/>
  <c r="F982" i="3"/>
  <c r="G3" i="3"/>
  <c r="I3" i="3"/>
  <c r="F3" i="3"/>
  <c r="G73" i="3"/>
  <c r="I73" i="3"/>
  <c r="H73" i="3"/>
  <c r="F73" i="3"/>
  <c r="F143" i="4"/>
  <c r="E143" i="4"/>
  <c r="C143" i="4"/>
  <c r="D143" i="4"/>
  <c r="F183" i="4"/>
  <c r="D183" i="4"/>
  <c r="E183" i="4"/>
  <c r="C183" i="4"/>
  <c r="F233" i="4"/>
  <c r="E233" i="4"/>
  <c r="D233" i="4"/>
  <c r="C233" i="4"/>
  <c r="E273" i="4"/>
  <c r="F273" i="4"/>
  <c r="D273" i="4"/>
  <c r="C273" i="4"/>
  <c r="F313" i="4"/>
  <c r="E313" i="4"/>
  <c r="D313" i="4"/>
  <c r="C313" i="4"/>
  <c r="F363" i="4"/>
  <c r="E363" i="4"/>
  <c r="D363" i="4"/>
  <c r="C363" i="4"/>
  <c r="F443" i="4"/>
  <c r="E443" i="4"/>
  <c r="D443" i="4"/>
  <c r="C443" i="4"/>
  <c r="F483" i="4"/>
  <c r="E483" i="4"/>
  <c r="D483" i="4"/>
  <c r="C483" i="4"/>
  <c r="F513" i="4"/>
  <c r="E513" i="4"/>
  <c r="D513" i="4"/>
  <c r="C513" i="4"/>
  <c r="H553" i="3"/>
  <c r="I553" i="3"/>
  <c r="F553" i="3"/>
  <c r="G553" i="3"/>
  <c r="H593" i="3"/>
  <c r="I593" i="3"/>
  <c r="F593" i="3"/>
  <c r="G593" i="3"/>
  <c r="E623" i="4"/>
  <c r="F623" i="4"/>
  <c r="D623" i="4"/>
  <c r="C623" i="4"/>
  <c r="F663" i="4"/>
  <c r="E663" i="4"/>
  <c r="D663" i="4"/>
  <c r="C663" i="4"/>
  <c r="F743" i="4"/>
  <c r="E743" i="4"/>
  <c r="D743" i="4"/>
  <c r="C743" i="4"/>
  <c r="E843" i="4"/>
  <c r="D843" i="4"/>
  <c r="F843" i="4"/>
  <c r="C843" i="4"/>
  <c r="F883" i="4"/>
  <c r="E883" i="4"/>
  <c r="C883" i="4"/>
  <c r="D883" i="4"/>
  <c r="G473" i="3"/>
  <c r="H473" i="3"/>
  <c r="I473" i="3"/>
  <c r="F473" i="3"/>
  <c r="E100" i="4"/>
  <c r="F100" i="4"/>
  <c r="C100" i="4"/>
  <c r="D100" i="4"/>
  <c r="E138" i="4"/>
  <c r="F138" i="4"/>
  <c r="D138" i="4"/>
  <c r="C138" i="4"/>
  <c r="F288" i="4"/>
  <c r="E288" i="4"/>
  <c r="C288" i="4"/>
  <c r="D288" i="4"/>
  <c r="I358" i="3"/>
  <c r="F358" i="3"/>
  <c r="H358" i="3"/>
  <c r="G358" i="3"/>
  <c r="F458" i="4"/>
  <c r="D458" i="4"/>
  <c r="E458" i="4"/>
  <c r="C458" i="4"/>
  <c r="I498" i="3"/>
  <c r="F498" i="3"/>
  <c r="H498" i="3"/>
  <c r="G498" i="3"/>
  <c r="F528" i="4"/>
  <c r="E528" i="4"/>
  <c r="D528" i="4"/>
  <c r="C528" i="4"/>
  <c r="F568" i="4"/>
  <c r="E568" i="4"/>
  <c r="D568" i="4"/>
  <c r="C568" i="4"/>
  <c r="F598" i="4"/>
  <c r="E598" i="4"/>
  <c r="D598" i="4"/>
  <c r="C598" i="4"/>
  <c r="F678" i="3"/>
  <c r="I678" i="3"/>
  <c r="G678" i="3"/>
  <c r="H678" i="3"/>
  <c r="F708" i="4"/>
  <c r="D708" i="4"/>
  <c r="E708" i="4"/>
  <c r="C708" i="4"/>
  <c r="F778" i="4"/>
  <c r="E778" i="4"/>
  <c r="D778" i="4"/>
  <c r="C778" i="4"/>
  <c r="F848" i="4"/>
  <c r="E848" i="4"/>
  <c r="D848" i="4"/>
  <c r="C848" i="4"/>
  <c r="H928" i="3"/>
  <c r="F928" i="3"/>
  <c r="I928" i="3"/>
  <c r="G928" i="3"/>
  <c r="F958" i="4"/>
  <c r="E958" i="4"/>
  <c r="C958" i="4"/>
  <c r="D958" i="4"/>
  <c r="F998" i="3"/>
  <c r="I998" i="3"/>
  <c r="H998" i="3"/>
  <c r="G998" i="3"/>
  <c r="G184" i="3"/>
  <c r="H184" i="3"/>
  <c r="F184" i="3"/>
  <c r="I184" i="3"/>
  <c r="F314" i="4"/>
  <c r="E314" i="4"/>
  <c r="C314" i="4"/>
  <c r="D314" i="4"/>
  <c r="H364" i="3"/>
  <c r="I364" i="3"/>
  <c r="G364" i="3"/>
  <c r="F364" i="3"/>
  <c r="F464" i="4"/>
  <c r="E464" i="4"/>
  <c r="D464" i="4"/>
  <c r="C464" i="4"/>
  <c r="E624" i="4"/>
  <c r="F624" i="4"/>
  <c r="D624" i="4"/>
  <c r="C624" i="4"/>
  <c r="F734" i="4"/>
  <c r="E734" i="4"/>
  <c r="D734" i="4"/>
  <c r="C734" i="4"/>
  <c r="H814" i="3"/>
  <c r="I814" i="3"/>
  <c r="F814" i="3"/>
  <c r="G814" i="3"/>
  <c r="E844" i="4"/>
  <c r="D844" i="4"/>
  <c r="F844" i="4"/>
  <c r="C844" i="4"/>
  <c r="I984" i="3"/>
  <c r="F984" i="3"/>
  <c r="H984" i="3"/>
  <c r="G984" i="3"/>
  <c r="F195" i="4"/>
  <c r="E195" i="4"/>
  <c r="D195" i="4"/>
  <c r="C195" i="4"/>
  <c r="I535" i="3"/>
  <c r="H535" i="3"/>
  <c r="G535" i="3"/>
  <c r="F535" i="3"/>
  <c r="G755" i="3"/>
  <c r="F755" i="3"/>
  <c r="H755" i="3"/>
  <c r="I755" i="3"/>
  <c r="F935" i="4"/>
  <c r="E935" i="4"/>
  <c r="D935" i="4"/>
  <c r="C935" i="4"/>
  <c r="I330" i="3"/>
  <c r="H330" i="3"/>
  <c r="G330" i="3"/>
  <c r="F330" i="3"/>
  <c r="I19" i="3"/>
  <c r="G19" i="3"/>
  <c r="F19" i="3"/>
  <c r="I89" i="3"/>
  <c r="G89" i="3"/>
  <c r="F89" i="3"/>
  <c r="H89" i="3"/>
  <c r="F149" i="4"/>
  <c r="E149" i="4"/>
  <c r="D149" i="4"/>
  <c r="C149" i="4"/>
  <c r="I189" i="3"/>
  <c r="G189" i="3"/>
  <c r="H189" i="3"/>
  <c r="F189" i="3"/>
  <c r="I229" i="3"/>
  <c r="H229" i="3"/>
  <c r="G229" i="3"/>
  <c r="F229" i="3"/>
  <c r="I299" i="3"/>
  <c r="F299" i="3"/>
  <c r="H299" i="3"/>
  <c r="G299" i="3"/>
  <c r="I339" i="3"/>
  <c r="G339" i="3"/>
  <c r="F339" i="3"/>
  <c r="H339" i="3"/>
  <c r="E399" i="4"/>
  <c r="F399" i="4"/>
  <c r="C399" i="4"/>
  <c r="D399" i="4"/>
  <c r="I439" i="3"/>
  <c r="G439" i="3"/>
  <c r="H439" i="3"/>
  <c r="F439" i="3"/>
  <c r="F499" i="4"/>
  <c r="E499" i="4"/>
  <c r="C499" i="4"/>
  <c r="D499" i="4"/>
  <c r="I539" i="3"/>
  <c r="F539" i="3"/>
  <c r="G539" i="3"/>
  <c r="H539" i="3"/>
  <c r="I569" i="3"/>
  <c r="F569" i="3"/>
  <c r="G569" i="3"/>
  <c r="H569" i="3"/>
  <c r="F599" i="4"/>
  <c r="D599" i="4"/>
  <c r="E599" i="4"/>
  <c r="C599" i="4"/>
  <c r="F699" i="4"/>
  <c r="E699" i="4"/>
  <c r="D699" i="4"/>
  <c r="C699" i="4"/>
  <c r="I739" i="3"/>
  <c r="F739" i="3"/>
  <c r="H739" i="3"/>
  <c r="G739" i="3"/>
  <c r="I769" i="3"/>
  <c r="F769" i="3"/>
  <c r="H769" i="3"/>
  <c r="G769" i="3"/>
  <c r="F799" i="4"/>
  <c r="E799" i="4"/>
  <c r="D799" i="4"/>
  <c r="C799" i="4"/>
  <c r="I869" i="3"/>
  <c r="F869" i="3"/>
  <c r="G869" i="3"/>
  <c r="H869" i="3"/>
  <c r="F899" i="4"/>
  <c r="E899" i="4"/>
  <c r="D899" i="4"/>
  <c r="C899" i="4"/>
  <c r="I939" i="3"/>
  <c r="F939" i="3"/>
  <c r="G939" i="3"/>
  <c r="H939" i="3"/>
  <c r="F999" i="4"/>
  <c r="E999" i="4"/>
  <c r="D999" i="4"/>
  <c r="C999" i="4"/>
  <c r="G857" i="3"/>
  <c r="H857" i="3"/>
  <c r="I857" i="3"/>
  <c r="F857" i="3"/>
  <c r="F160" i="4"/>
  <c r="E160" i="4"/>
  <c r="C160" i="4"/>
  <c r="D160" i="4"/>
  <c r="F230" i="4"/>
  <c r="E230" i="4"/>
  <c r="C230" i="4"/>
  <c r="D230" i="4"/>
  <c r="I340" i="3"/>
  <c r="H340" i="3"/>
  <c r="G340" i="3"/>
  <c r="F340" i="3"/>
  <c r="E370" i="4"/>
  <c r="D370" i="4"/>
  <c r="F370" i="4"/>
  <c r="C370" i="4"/>
  <c r="F410" i="4"/>
  <c r="E410" i="4"/>
  <c r="D410" i="4"/>
  <c r="C410" i="4"/>
  <c r="F450" i="4"/>
  <c r="E450" i="4"/>
  <c r="D450" i="4"/>
  <c r="C450" i="4"/>
  <c r="F480" i="4"/>
  <c r="D480" i="4"/>
  <c r="E480" i="4"/>
  <c r="C480" i="4"/>
  <c r="F550" i="4"/>
  <c r="C550" i="4"/>
  <c r="E550" i="4"/>
  <c r="D550" i="4"/>
  <c r="I630" i="3"/>
  <c r="H630" i="3"/>
  <c r="F630" i="3"/>
  <c r="G630" i="3"/>
  <c r="F660" i="4"/>
  <c r="E660" i="4"/>
  <c r="D660" i="4"/>
  <c r="C660" i="4"/>
  <c r="I700" i="3"/>
  <c r="H700" i="3"/>
  <c r="G700" i="3"/>
  <c r="F700" i="3"/>
  <c r="F730" i="4"/>
  <c r="D730" i="4"/>
  <c r="C730" i="4"/>
  <c r="E730" i="4"/>
  <c r="F770" i="4"/>
  <c r="D770" i="4"/>
  <c r="C770" i="4"/>
  <c r="E770" i="4"/>
  <c r="F810" i="4"/>
  <c r="E810" i="4"/>
  <c r="D810" i="4"/>
  <c r="C810" i="4"/>
  <c r="F850" i="4"/>
  <c r="D850" i="4"/>
  <c r="E850" i="4"/>
  <c r="C850" i="4"/>
  <c r="I930" i="3"/>
  <c r="H930" i="3"/>
  <c r="F930" i="3"/>
  <c r="G930" i="3"/>
  <c r="I970" i="3"/>
  <c r="H970" i="3"/>
  <c r="G970" i="3"/>
  <c r="F970" i="3"/>
  <c r="F1000" i="4"/>
  <c r="E1000" i="4"/>
  <c r="D1000" i="4"/>
  <c r="C1000" i="4"/>
  <c r="H973" i="3"/>
  <c r="I973" i="3"/>
  <c r="F973" i="3"/>
  <c r="G973" i="3"/>
  <c r="G114" i="3"/>
  <c r="H114" i="3"/>
  <c r="F114" i="3"/>
  <c r="I114" i="3"/>
  <c r="G194" i="3"/>
  <c r="I194" i="3"/>
  <c r="H194" i="3"/>
  <c r="F194" i="3"/>
  <c r="F274" i="4"/>
  <c r="E274" i="4"/>
  <c r="D274" i="4"/>
  <c r="C274" i="4"/>
  <c r="H524" i="3"/>
  <c r="I524" i="3"/>
  <c r="G524" i="3"/>
  <c r="F524" i="3"/>
  <c r="F594" i="4"/>
  <c r="E594" i="4"/>
  <c r="D594" i="4"/>
  <c r="C594" i="4"/>
  <c r="H664" i="3"/>
  <c r="I664" i="3"/>
  <c r="F664" i="3"/>
  <c r="G664" i="3"/>
  <c r="F874" i="4"/>
  <c r="E874" i="4"/>
  <c r="D874" i="4"/>
  <c r="C874" i="4"/>
  <c r="G405" i="3"/>
  <c r="I405" i="3"/>
  <c r="H405" i="3"/>
  <c r="F405" i="3"/>
  <c r="F955" i="4"/>
  <c r="E955" i="4"/>
  <c r="D955" i="4"/>
  <c r="C955" i="4"/>
  <c r="G707" i="3"/>
  <c r="I707" i="3"/>
  <c r="F707" i="3"/>
  <c r="H707" i="3"/>
  <c r="F765" i="4"/>
  <c r="E765" i="4"/>
  <c r="D765" i="4"/>
  <c r="C765" i="4"/>
  <c r="G366" i="3"/>
  <c r="H366" i="3"/>
  <c r="I366" i="3"/>
  <c r="F366" i="3"/>
  <c r="G876" i="3"/>
  <c r="I876" i="3"/>
  <c r="H876" i="3"/>
  <c r="F876" i="3"/>
  <c r="H985" i="3"/>
  <c r="G985" i="3"/>
  <c r="F985" i="3"/>
  <c r="I985" i="3"/>
  <c r="F425" i="4"/>
  <c r="D425" i="4"/>
  <c r="E425" i="4"/>
  <c r="C425" i="4"/>
  <c r="F715" i="4"/>
  <c r="E715" i="4"/>
  <c r="D715" i="4"/>
  <c r="C715" i="4"/>
  <c r="G776" i="3"/>
  <c r="I776" i="3"/>
  <c r="H776" i="3"/>
  <c r="F776" i="3"/>
  <c r="G76" i="3"/>
  <c r="F76" i="3"/>
  <c r="H76" i="3"/>
  <c r="I76" i="3"/>
  <c r="F136" i="4"/>
  <c r="E136" i="4"/>
  <c r="D136" i="4"/>
  <c r="C136" i="4"/>
  <c r="G176" i="3"/>
  <c r="I176" i="3"/>
  <c r="F176" i="3"/>
  <c r="H176" i="3"/>
  <c r="F206" i="3"/>
  <c r="I206" i="3"/>
  <c r="G206" i="3"/>
  <c r="H206" i="3"/>
  <c r="H246" i="3"/>
  <c r="F246" i="3"/>
  <c r="I246" i="3"/>
  <c r="G246" i="3"/>
  <c r="F306" i="4"/>
  <c r="E306" i="4"/>
  <c r="C306" i="4"/>
  <c r="D306" i="4"/>
  <c r="F376" i="4"/>
  <c r="E376" i="4"/>
  <c r="D376" i="4"/>
  <c r="C376" i="4"/>
  <c r="G416" i="3"/>
  <c r="H416" i="3"/>
  <c r="I416" i="3"/>
  <c r="F416" i="3"/>
  <c r="F446" i="4"/>
  <c r="D446" i="4"/>
  <c r="E446" i="4"/>
  <c r="C446" i="4"/>
  <c r="F486" i="4"/>
  <c r="D486" i="4"/>
  <c r="C486" i="4"/>
  <c r="E486" i="4"/>
  <c r="F556" i="4"/>
  <c r="E556" i="4"/>
  <c r="D556" i="4"/>
  <c r="C556" i="4"/>
  <c r="G636" i="3"/>
  <c r="H636" i="3"/>
  <c r="I636" i="3"/>
  <c r="F636" i="3"/>
  <c r="G706" i="3"/>
  <c r="I706" i="3"/>
  <c r="F706" i="3"/>
  <c r="H706" i="3"/>
  <c r="F736" i="4"/>
  <c r="E736" i="4"/>
  <c r="D736" i="4"/>
  <c r="C736" i="4"/>
  <c r="F806" i="4"/>
  <c r="D806" i="4"/>
  <c r="E806" i="4"/>
  <c r="C806" i="4"/>
  <c r="G886" i="3"/>
  <c r="H886" i="3"/>
  <c r="I886" i="3"/>
  <c r="F886" i="3"/>
  <c r="G956" i="3"/>
  <c r="H956" i="3"/>
  <c r="F956" i="3"/>
  <c r="I956" i="3"/>
  <c r="F986" i="4"/>
  <c r="D986" i="4"/>
  <c r="E986" i="4"/>
  <c r="C986" i="4"/>
  <c r="I5" i="3"/>
  <c r="G5" i="3"/>
  <c r="F5" i="3"/>
  <c r="F125" i="4"/>
  <c r="E125" i="4"/>
  <c r="C125" i="4"/>
  <c r="D125" i="4"/>
  <c r="H265" i="3"/>
  <c r="G265" i="3"/>
  <c r="I265" i="3"/>
  <c r="F265" i="3"/>
  <c r="F385" i="4"/>
  <c r="E385" i="4"/>
  <c r="C385" i="4"/>
  <c r="D385" i="4"/>
  <c r="H565" i="3"/>
  <c r="G565" i="3"/>
  <c r="I565" i="3"/>
  <c r="F565" i="3"/>
  <c r="F725" i="4"/>
  <c r="E725" i="4"/>
  <c r="D725" i="4"/>
  <c r="C725" i="4"/>
  <c r="I47" i="3"/>
  <c r="F47" i="3"/>
  <c r="G47" i="3"/>
  <c r="F77" i="4"/>
  <c r="E77" i="4"/>
  <c r="C77" i="4"/>
  <c r="D77" i="4"/>
  <c r="F117" i="4"/>
  <c r="E117" i="4"/>
  <c r="D117" i="4"/>
  <c r="C117" i="4"/>
  <c r="F217" i="4"/>
  <c r="D217" i="4"/>
  <c r="E217" i="4"/>
  <c r="C217" i="4"/>
  <c r="F317" i="4"/>
  <c r="E317" i="4"/>
  <c r="D317" i="4"/>
  <c r="C317" i="4"/>
  <c r="F457" i="3"/>
  <c r="I457" i="3"/>
  <c r="H457" i="3"/>
  <c r="G457" i="3"/>
  <c r="F487" i="4"/>
  <c r="E487" i="4"/>
  <c r="D487" i="4"/>
  <c r="C487" i="4"/>
  <c r="F557" i="4"/>
  <c r="E557" i="4"/>
  <c r="C557" i="4"/>
  <c r="D557" i="4"/>
  <c r="H597" i="3"/>
  <c r="G597" i="3"/>
  <c r="I597" i="3"/>
  <c r="F597" i="3"/>
  <c r="G637" i="3"/>
  <c r="I637" i="3"/>
  <c r="H637" i="3"/>
  <c r="F637" i="3"/>
  <c r="H747" i="3"/>
  <c r="G747" i="3"/>
  <c r="I747" i="3"/>
  <c r="F747" i="3"/>
  <c r="G787" i="3"/>
  <c r="F787" i="3"/>
  <c r="H787" i="3"/>
  <c r="I787" i="3"/>
  <c r="F817" i="4"/>
  <c r="E817" i="4"/>
  <c r="D817" i="4"/>
  <c r="C817" i="4"/>
  <c r="F857" i="4"/>
  <c r="E857" i="4"/>
  <c r="D857" i="4"/>
  <c r="C857" i="4"/>
  <c r="H897" i="3"/>
  <c r="G897" i="3"/>
  <c r="I897" i="3"/>
  <c r="F897" i="3"/>
  <c r="G937" i="3"/>
  <c r="I937" i="3"/>
  <c r="H937" i="3"/>
  <c r="F937" i="3"/>
  <c r="F977" i="4"/>
  <c r="E977" i="4"/>
  <c r="D977" i="4"/>
  <c r="C977" i="4"/>
  <c r="H78" i="3"/>
  <c r="F78" i="3"/>
  <c r="I78" i="3"/>
  <c r="G78" i="3"/>
  <c r="I118" i="3"/>
  <c r="F118" i="3"/>
  <c r="G118" i="3"/>
  <c r="H118" i="3"/>
  <c r="I158" i="3"/>
  <c r="G158" i="3"/>
  <c r="F158" i="3"/>
  <c r="H158" i="3"/>
  <c r="F201" i="4"/>
  <c r="E201" i="4"/>
  <c r="D201" i="4"/>
  <c r="C201" i="4"/>
  <c r="I551" i="3"/>
  <c r="H551" i="3"/>
  <c r="G551" i="3"/>
  <c r="F551" i="3"/>
  <c r="F621" i="4"/>
  <c r="E621" i="4"/>
  <c r="C621" i="4"/>
  <c r="D621" i="4"/>
  <c r="F651" i="4"/>
  <c r="E651" i="4"/>
  <c r="D651" i="4"/>
  <c r="C651" i="4"/>
  <c r="F801" i="4"/>
  <c r="E801" i="4"/>
  <c r="C801" i="4"/>
  <c r="D801" i="4"/>
  <c r="F911" i="4"/>
  <c r="E911" i="4"/>
  <c r="D911" i="4"/>
  <c r="C911" i="4"/>
  <c r="G263" i="3"/>
  <c r="H263" i="3"/>
  <c r="I263" i="3"/>
  <c r="F263" i="3"/>
  <c r="F142" i="4"/>
  <c r="D142" i="4"/>
  <c r="E142" i="4"/>
  <c r="C142" i="4"/>
  <c r="F602" i="4"/>
  <c r="E602" i="4"/>
  <c r="D602" i="4"/>
  <c r="C602" i="4"/>
  <c r="D181" i="4"/>
  <c r="E181" i="4"/>
  <c r="F181" i="4"/>
  <c r="C181" i="4"/>
  <c r="F261" i="4"/>
  <c r="D261" i="4"/>
  <c r="E261" i="4"/>
  <c r="C261" i="4"/>
  <c r="F421" i="4"/>
  <c r="E421" i="4"/>
  <c r="D421" i="4"/>
  <c r="C421" i="4"/>
  <c r="F631" i="4"/>
  <c r="D631" i="4"/>
  <c r="E631" i="4"/>
  <c r="C631" i="4"/>
  <c r="I751" i="3"/>
  <c r="H751" i="3"/>
  <c r="G751" i="3"/>
  <c r="F751" i="3"/>
  <c r="I791" i="3"/>
  <c r="H791" i="3"/>
  <c r="F791" i="3"/>
  <c r="G791" i="3"/>
  <c r="I861" i="3"/>
  <c r="H861" i="3"/>
  <c r="G861" i="3"/>
  <c r="F861" i="3"/>
  <c r="E122" i="4"/>
  <c r="F122" i="4"/>
  <c r="D122" i="4"/>
  <c r="C122" i="4"/>
  <c r="H162" i="3"/>
  <c r="I162" i="3"/>
  <c r="G162" i="3"/>
  <c r="F162" i="3"/>
  <c r="F202" i="4"/>
  <c r="E202" i="4"/>
  <c r="D202" i="4"/>
  <c r="C202" i="4"/>
  <c r="H272" i="3"/>
  <c r="I272" i="3"/>
  <c r="G272" i="3"/>
  <c r="F272" i="3"/>
  <c r="E302" i="4"/>
  <c r="F302" i="4"/>
  <c r="D302" i="4"/>
  <c r="C302" i="4"/>
  <c r="F372" i="4"/>
  <c r="D372" i="4"/>
  <c r="E372" i="4"/>
  <c r="C372" i="4"/>
  <c r="F412" i="4"/>
  <c r="E412" i="4"/>
  <c r="D412" i="4"/>
  <c r="C412" i="4"/>
  <c r="H452" i="3"/>
  <c r="I452" i="3"/>
  <c r="G452" i="3"/>
  <c r="F452" i="3"/>
  <c r="H492" i="3"/>
  <c r="I492" i="3"/>
  <c r="F492" i="3"/>
  <c r="G492" i="3"/>
  <c r="F532" i="4"/>
  <c r="E532" i="4"/>
  <c r="C532" i="4"/>
  <c r="D532" i="4"/>
  <c r="F582" i="4"/>
  <c r="E582" i="4"/>
  <c r="D582" i="4"/>
  <c r="C582" i="4"/>
  <c r="F622" i="4"/>
  <c r="E622" i="4"/>
  <c r="D622" i="4"/>
  <c r="C622" i="4"/>
  <c r="F652" i="4"/>
  <c r="E652" i="4"/>
  <c r="D652" i="4"/>
  <c r="C652" i="4"/>
  <c r="H802" i="3"/>
  <c r="I802" i="3"/>
  <c r="G802" i="3"/>
  <c r="F802" i="3"/>
  <c r="H912" i="3"/>
  <c r="I912" i="3"/>
  <c r="F912" i="3"/>
  <c r="G912" i="3"/>
  <c r="I41" i="3"/>
  <c r="G41" i="3"/>
  <c r="F41" i="3"/>
  <c r="C33" i="4"/>
  <c r="E33" i="4" s="1"/>
  <c r="G193" i="3"/>
  <c r="H193" i="3"/>
  <c r="I193" i="3"/>
  <c r="F193" i="3"/>
  <c r="G283" i="3"/>
  <c r="H283" i="3"/>
  <c r="F283" i="3"/>
  <c r="I283" i="3"/>
  <c r="F403" i="4"/>
  <c r="E403" i="4"/>
  <c r="D403" i="4"/>
  <c r="C403" i="4"/>
  <c r="H523" i="3"/>
  <c r="I523" i="3"/>
  <c r="G523" i="3"/>
  <c r="F523" i="3"/>
  <c r="H633" i="3"/>
  <c r="I633" i="3"/>
  <c r="G633" i="3"/>
  <c r="F633" i="3"/>
  <c r="H673" i="3"/>
  <c r="I673" i="3"/>
  <c r="G673" i="3"/>
  <c r="F673" i="3"/>
  <c r="F713" i="4"/>
  <c r="E713" i="4"/>
  <c r="C713" i="4"/>
  <c r="D713" i="4"/>
  <c r="H783" i="3"/>
  <c r="I783" i="3"/>
  <c r="G783" i="3"/>
  <c r="F783" i="3"/>
  <c r="F813" i="4"/>
  <c r="E813" i="4"/>
  <c r="D813" i="4"/>
  <c r="C813" i="4"/>
  <c r="H853" i="3"/>
  <c r="F853" i="3"/>
  <c r="G853" i="3"/>
  <c r="I853" i="3"/>
  <c r="H893" i="3"/>
  <c r="F893" i="3"/>
  <c r="I893" i="3"/>
  <c r="G893" i="3"/>
  <c r="F923" i="4"/>
  <c r="E923" i="4"/>
  <c r="C923" i="4"/>
  <c r="D923" i="4"/>
  <c r="G70" i="3"/>
  <c r="F70" i="3"/>
  <c r="I70" i="3"/>
  <c r="I494" i="3"/>
  <c r="G494" i="3"/>
  <c r="H494" i="3"/>
  <c r="F494" i="3"/>
  <c r="I188" i="3"/>
  <c r="G188" i="3"/>
  <c r="F188" i="3"/>
  <c r="H188" i="3"/>
  <c r="F258" i="4"/>
  <c r="E258" i="4"/>
  <c r="D258" i="4"/>
  <c r="C258" i="4"/>
  <c r="I298" i="3"/>
  <c r="F298" i="3"/>
  <c r="H298" i="3"/>
  <c r="G298" i="3"/>
  <c r="I328" i="3"/>
  <c r="H328" i="3"/>
  <c r="G328" i="3"/>
  <c r="F328" i="3"/>
  <c r="F358" i="4"/>
  <c r="E358" i="4"/>
  <c r="D358" i="4"/>
  <c r="C358" i="4"/>
  <c r="I398" i="3"/>
  <c r="F398" i="3"/>
  <c r="H398" i="3"/>
  <c r="G398" i="3"/>
  <c r="I428" i="3"/>
  <c r="H428" i="3"/>
  <c r="G428" i="3"/>
  <c r="F428" i="3"/>
  <c r="I468" i="3"/>
  <c r="F468" i="3"/>
  <c r="H468" i="3"/>
  <c r="G468" i="3"/>
  <c r="F538" i="3"/>
  <c r="G538" i="3"/>
  <c r="I538" i="3"/>
  <c r="H538" i="3"/>
  <c r="F638" i="4"/>
  <c r="E638" i="4"/>
  <c r="D638" i="4"/>
  <c r="C638" i="4"/>
  <c r="F748" i="3"/>
  <c r="H748" i="3"/>
  <c r="G748" i="3"/>
  <c r="I748" i="3"/>
  <c r="F788" i="3"/>
  <c r="G788" i="3"/>
  <c r="H788" i="3"/>
  <c r="I788" i="3"/>
  <c r="F818" i="4"/>
  <c r="E818" i="4"/>
  <c r="D818" i="4"/>
  <c r="C818" i="4"/>
  <c r="F888" i="4"/>
  <c r="E888" i="4"/>
  <c r="D888" i="4"/>
  <c r="C888" i="4"/>
  <c r="F968" i="3"/>
  <c r="I968" i="3"/>
  <c r="G968" i="3"/>
  <c r="H968" i="3"/>
  <c r="G74" i="3"/>
  <c r="I74" i="3"/>
  <c r="H74" i="3"/>
  <c r="F74" i="3"/>
  <c r="G124" i="3"/>
  <c r="I124" i="3"/>
  <c r="F124" i="3"/>
  <c r="H124" i="3"/>
  <c r="F224" i="4"/>
  <c r="E224" i="4"/>
  <c r="D224" i="4"/>
  <c r="C224" i="4"/>
  <c r="F414" i="4"/>
  <c r="E414" i="4"/>
  <c r="D414" i="4"/>
  <c r="C414" i="4"/>
  <c r="G484" i="3"/>
  <c r="H484" i="3"/>
  <c r="I484" i="3"/>
  <c r="F484" i="3"/>
  <c r="E554" i="4"/>
  <c r="F554" i="4"/>
  <c r="D554" i="4"/>
  <c r="C554" i="4"/>
  <c r="E704" i="4"/>
  <c r="F704" i="4"/>
  <c r="D704" i="4"/>
  <c r="C704" i="4"/>
  <c r="E774" i="4"/>
  <c r="F774" i="4"/>
  <c r="D774" i="4"/>
  <c r="C774" i="4"/>
  <c r="H854" i="3"/>
  <c r="F854" i="3"/>
  <c r="G854" i="3"/>
  <c r="I854" i="3"/>
  <c r="F894" i="4"/>
  <c r="D894" i="4"/>
  <c r="C894" i="4"/>
  <c r="E894" i="4"/>
  <c r="F85" i="4"/>
  <c r="E85" i="4"/>
  <c r="D85" i="4"/>
  <c r="C85" i="4"/>
  <c r="F225" i="3"/>
  <c r="G225" i="3"/>
  <c r="H225" i="3"/>
  <c r="I225" i="3"/>
  <c r="F325" i="4"/>
  <c r="E325" i="4"/>
  <c r="D325" i="4"/>
  <c r="C325" i="4"/>
  <c r="I420" i="3"/>
  <c r="H420" i="3"/>
  <c r="G420" i="3"/>
  <c r="F420" i="3"/>
  <c r="F119" i="4"/>
  <c r="E119" i="4"/>
  <c r="D119" i="4"/>
  <c r="C119" i="4"/>
  <c r="I159" i="3"/>
  <c r="G159" i="3"/>
  <c r="H159" i="3"/>
  <c r="F159" i="3"/>
  <c r="F259" i="4"/>
  <c r="E259" i="4"/>
  <c r="D259" i="4"/>
  <c r="C259" i="4"/>
  <c r="E299" i="4"/>
  <c r="F299" i="4"/>
  <c r="D299" i="4"/>
  <c r="C299" i="4"/>
  <c r="F339" i="4"/>
  <c r="E339" i="4"/>
  <c r="D339" i="4"/>
  <c r="C339" i="4"/>
  <c r="E369" i="4"/>
  <c r="D369" i="4"/>
  <c r="C369" i="4"/>
  <c r="F369" i="4"/>
  <c r="I409" i="3"/>
  <c r="H409" i="3"/>
  <c r="G409" i="3"/>
  <c r="F409" i="3"/>
  <c r="F439" i="4"/>
  <c r="E439" i="4"/>
  <c r="C439" i="4"/>
  <c r="D439" i="4"/>
  <c r="F469" i="4"/>
  <c r="D469" i="4"/>
  <c r="C469" i="4"/>
  <c r="E469" i="4"/>
  <c r="I509" i="3"/>
  <c r="F509" i="3"/>
  <c r="G509" i="3"/>
  <c r="H509" i="3"/>
  <c r="F569" i="4"/>
  <c r="D569" i="4"/>
  <c r="C569" i="4"/>
  <c r="E569" i="4"/>
  <c r="I609" i="3"/>
  <c r="F609" i="3"/>
  <c r="G609" i="3"/>
  <c r="H609" i="3"/>
  <c r="I639" i="3"/>
  <c r="F639" i="3"/>
  <c r="G639" i="3"/>
  <c r="H639" i="3"/>
  <c r="F669" i="4"/>
  <c r="D669" i="4"/>
  <c r="C669" i="4"/>
  <c r="E669" i="4"/>
  <c r="I709" i="3"/>
  <c r="F709" i="3"/>
  <c r="H709" i="3"/>
  <c r="G709" i="3"/>
  <c r="F739" i="4"/>
  <c r="D739" i="4"/>
  <c r="E739" i="4"/>
  <c r="C739" i="4"/>
  <c r="F769" i="4"/>
  <c r="D769" i="4"/>
  <c r="C769" i="4"/>
  <c r="E769" i="4"/>
  <c r="I809" i="3"/>
  <c r="F809" i="3"/>
  <c r="G809" i="3"/>
  <c r="H809" i="3"/>
  <c r="I839" i="3"/>
  <c r="F839" i="3"/>
  <c r="G839" i="3"/>
  <c r="H839" i="3"/>
  <c r="F869" i="4"/>
  <c r="D869" i="4"/>
  <c r="E869" i="4"/>
  <c r="C869" i="4"/>
  <c r="I909" i="3"/>
  <c r="F909" i="3"/>
  <c r="H909" i="3"/>
  <c r="G909" i="3"/>
  <c r="F969" i="4"/>
  <c r="D969" i="4"/>
  <c r="C969" i="4"/>
  <c r="E969" i="4"/>
  <c r="I67" i="3"/>
  <c r="F67" i="3"/>
  <c r="G67" i="3"/>
  <c r="I960" i="3"/>
  <c r="H960" i="3"/>
  <c r="F960" i="3"/>
  <c r="G960" i="3"/>
  <c r="E200" i="4"/>
  <c r="F200" i="4"/>
  <c r="C200" i="4"/>
  <c r="D200" i="4"/>
  <c r="I240" i="3"/>
  <c r="H240" i="3"/>
  <c r="G240" i="3"/>
  <c r="F240" i="3"/>
  <c r="I270" i="3"/>
  <c r="H270" i="3"/>
  <c r="F270" i="3"/>
  <c r="G270" i="3"/>
  <c r="E300" i="4"/>
  <c r="F300" i="4"/>
  <c r="D300" i="4"/>
  <c r="C300" i="4"/>
  <c r="E340" i="4"/>
  <c r="F340" i="4"/>
  <c r="D340" i="4"/>
  <c r="C340" i="4"/>
  <c r="I380" i="3"/>
  <c r="H380" i="3"/>
  <c r="G380" i="3"/>
  <c r="F380" i="3"/>
  <c r="I450" i="3"/>
  <c r="H450" i="3"/>
  <c r="G450" i="3"/>
  <c r="F450" i="3"/>
  <c r="I490" i="3"/>
  <c r="H490" i="3"/>
  <c r="F490" i="3"/>
  <c r="G490" i="3"/>
  <c r="F520" i="4"/>
  <c r="E520" i="4"/>
  <c r="C520" i="4"/>
  <c r="D520" i="4"/>
  <c r="E590" i="4"/>
  <c r="F590" i="4"/>
  <c r="D590" i="4"/>
  <c r="C590" i="4"/>
  <c r="I670" i="3"/>
  <c r="G670" i="3"/>
  <c r="F670" i="3"/>
  <c r="H670" i="3"/>
  <c r="I780" i="3"/>
  <c r="H780" i="3"/>
  <c r="F780" i="3"/>
  <c r="G780" i="3"/>
  <c r="I820" i="3"/>
  <c r="G820" i="3"/>
  <c r="H820" i="3"/>
  <c r="F820" i="3"/>
  <c r="F890" i="4"/>
  <c r="D890" i="4"/>
  <c r="E890" i="4"/>
  <c r="C890" i="4"/>
  <c r="E973" i="4"/>
  <c r="F973" i="4"/>
  <c r="D973" i="4"/>
  <c r="C973" i="4"/>
  <c r="G24" i="3"/>
  <c r="I24" i="3"/>
  <c r="F24" i="3"/>
  <c r="F194" i="4"/>
  <c r="E194" i="4"/>
  <c r="D194" i="4"/>
  <c r="C194" i="4"/>
  <c r="H384" i="3"/>
  <c r="I384" i="3"/>
  <c r="G384" i="3"/>
  <c r="F384" i="3"/>
  <c r="F444" i="4"/>
  <c r="D444" i="4"/>
  <c r="C444" i="4"/>
  <c r="E444" i="4"/>
  <c r="I934" i="3"/>
  <c r="G934" i="3"/>
  <c r="H934" i="3"/>
  <c r="F934" i="3"/>
  <c r="H974" i="3"/>
  <c r="I974" i="3"/>
  <c r="F974" i="3"/>
  <c r="G974" i="3"/>
  <c r="I105" i="3"/>
  <c r="G105" i="3"/>
  <c r="H105" i="3"/>
  <c r="F105" i="3"/>
  <c r="I235" i="3"/>
  <c r="F235" i="3"/>
  <c r="H235" i="3"/>
  <c r="G235" i="3"/>
  <c r="F575" i="4"/>
  <c r="E575" i="4"/>
  <c r="D575" i="4"/>
  <c r="C575" i="4"/>
  <c r="F795" i="4"/>
  <c r="E795" i="4"/>
  <c r="D795" i="4"/>
  <c r="C795" i="4"/>
  <c r="G925" i="3"/>
  <c r="I925" i="3"/>
  <c r="H925" i="3"/>
  <c r="F925" i="3"/>
  <c r="F375" i="4"/>
  <c r="E375" i="4"/>
  <c r="D375" i="4"/>
  <c r="C375" i="4"/>
  <c r="F635" i="4"/>
  <c r="E635" i="4"/>
  <c r="C635" i="4"/>
  <c r="D635" i="4"/>
  <c r="H835" i="3"/>
  <c r="G835" i="3"/>
  <c r="I835" i="3"/>
  <c r="F835" i="3"/>
  <c r="F995" i="4"/>
  <c r="E995" i="4"/>
  <c r="C995" i="4"/>
  <c r="D995" i="4"/>
  <c r="F685" i="4"/>
  <c r="D685" i="4"/>
  <c r="E685" i="4"/>
  <c r="C685" i="4"/>
  <c r="I115" i="3"/>
  <c r="H115" i="3"/>
  <c r="G115" i="3"/>
  <c r="F115" i="3"/>
  <c r="F285" i="4"/>
  <c r="E285" i="4"/>
  <c r="D285" i="4"/>
  <c r="C285" i="4"/>
  <c r="F555" i="4"/>
  <c r="E555" i="4"/>
  <c r="D555" i="4"/>
  <c r="C555" i="4"/>
  <c r="G46" i="3"/>
  <c r="I46" i="3"/>
  <c r="F46" i="3"/>
  <c r="F106" i="4"/>
  <c r="E106" i="4"/>
  <c r="D106" i="4"/>
  <c r="C106" i="4"/>
  <c r="H146" i="3"/>
  <c r="G146" i="3"/>
  <c r="F146" i="3"/>
  <c r="I146" i="3"/>
  <c r="F206" i="4"/>
  <c r="E206" i="4"/>
  <c r="C206" i="4"/>
  <c r="D206" i="4"/>
  <c r="F276" i="4"/>
  <c r="C276" i="4"/>
  <c r="D276" i="4"/>
  <c r="E276" i="4"/>
  <c r="H346" i="3"/>
  <c r="G346" i="3"/>
  <c r="I346" i="3"/>
  <c r="F346" i="3"/>
  <c r="F416" i="4"/>
  <c r="E416" i="4"/>
  <c r="D416" i="4"/>
  <c r="C416" i="4"/>
  <c r="H496" i="3"/>
  <c r="G496" i="3"/>
  <c r="I496" i="3"/>
  <c r="F496" i="3"/>
  <c r="F526" i="4"/>
  <c r="D526" i="4"/>
  <c r="E526" i="4"/>
  <c r="C526" i="4"/>
  <c r="G566" i="3"/>
  <c r="H566" i="3"/>
  <c r="I566" i="3"/>
  <c r="F566" i="3"/>
  <c r="F596" i="4"/>
  <c r="E596" i="4"/>
  <c r="D596" i="4"/>
  <c r="C596" i="4"/>
  <c r="F666" i="4"/>
  <c r="E666" i="4"/>
  <c r="D666" i="4"/>
  <c r="C666" i="4"/>
  <c r="G746" i="3"/>
  <c r="I746" i="3"/>
  <c r="H746" i="3"/>
  <c r="F746" i="3"/>
  <c r="F776" i="4"/>
  <c r="E776" i="4"/>
  <c r="D776" i="4"/>
  <c r="C776" i="4"/>
  <c r="G816" i="3"/>
  <c r="H816" i="3"/>
  <c r="I816" i="3"/>
  <c r="F816" i="3"/>
  <c r="F846" i="4"/>
  <c r="E846" i="4"/>
  <c r="C846" i="4"/>
  <c r="D846" i="4"/>
  <c r="F916" i="4"/>
  <c r="E916" i="4"/>
  <c r="D916" i="4"/>
  <c r="C916" i="4"/>
  <c r="G996" i="3"/>
  <c r="I996" i="3"/>
  <c r="F996" i="3"/>
  <c r="H996" i="3"/>
  <c r="H165" i="3"/>
  <c r="I165" i="3"/>
  <c r="G165" i="3"/>
  <c r="F165" i="3"/>
  <c r="I17" i="3"/>
  <c r="F17" i="3"/>
  <c r="G17" i="3"/>
  <c r="I127" i="3"/>
  <c r="F127" i="3"/>
  <c r="H127" i="3"/>
  <c r="G127" i="3"/>
  <c r="F157" i="3"/>
  <c r="G157" i="3"/>
  <c r="H157" i="3"/>
  <c r="I157" i="3"/>
  <c r="F187" i="4"/>
  <c r="E187" i="4"/>
  <c r="C187" i="4"/>
  <c r="D187" i="4"/>
  <c r="F257" i="3"/>
  <c r="I257" i="3"/>
  <c r="G257" i="3"/>
  <c r="H257" i="3"/>
  <c r="F287" i="4"/>
  <c r="E287" i="4"/>
  <c r="C287" i="4"/>
  <c r="D287" i="4"/>
  <c r="F357" i="4"/>
  <c r="E357" i="4"/>
  <c r="D357" i="4"/>
  <c r="C357" i="4"/>
  <c r="F397" i="3"/>
  <c r="H397" i="3"/>
  <c r="I397" i="3"/>
  <c r="G397" i="3"/>
  <c r="F427" i="3"/>
  <c r="I427" i="3"/>
  <c r="H427" i="3"/>
  <c r="G427" i="3"/>
  <c r="F457" i="4"/>
  <c r="E457" i="4"/>
  <c r="D457" i="4"/>
  <c r="C457" i="4"/>
  <c r="F497" i="3"/>
  <c r="H497" i="3"/>
  <c r="G497" i="3"/>
  <c r="I497" i="3"/>
  <c r="F527" i="4"/>
  <c r="E527" i="4"/>
  <c r="D527" i="4"/>
  <c r="C527" i="4"/>
  <c r="G567" i="3"/>
  <c r="H567" i="3"/>
  <c r="I567" i="3"/>
  <c r="F567" i="3"/>
  <c r="F597" i="4"/>
  <c r="E597" i="4"/>
  <c r="D597" i="4"/>
  <c r="C597" i="4"/>
  <c r="F667" i="4"/>
  <c r="E667" i="4"/>
  <c r="D667" i="4"/>
  <c r="C667" i="4"/>
  <c r="F707" i="4"/>
  <c r="D707" i="4"/>
  <c r="E707" i="4"/>
  <c r="C707" i="4"/>
  <c r="G867" i="3"/>
  <c r="H867" i="3"/>
  <c r="F867" i="3"/>
  <c r="I867" i="3"/>
  <c r="F897" i="4"/>
  <c r="E897" i="4"/>
  <c r="D897" i="4"/>
  <c r="C897" i="4"/>
  <c r="F937" i="4"/>
  <c r="E937" i="4"/>
  <c r="C937" i="4"/>
  <c r="D937" i="4"/>
  <c r="I28" i="3"/>
  <c r="F28" i="3"/>
  <c r="G28" i="3"/>
  <c r="E158" i="4"/>
  <c r="F158" i="4"/>
  <c r="D158" i="4"/>
  <c r="C158" i="4"/>
  <c r="F208" i="4"/>
  <c r="E208" i="4"/>
  <c r="D208" i="4"/>
  <c r="C208" i="4"/>
  <c r="F691" i="4"/>
  <c r="E691" i="4"/>
  <c r="D691" i="4"/>
  <c r="C691" i="4"/>
  <c r="I881" i="3"/>
  <c r="H881" i="3"/>
  <c r="F881" i="3"/>
  <c r="G881" i="3"/>
  <c r="I961" i="3"/>
  <c r="H961" i="3"/>
  <c r="F961" i="3"/>
  <c r="G961" i="3"/>
  <c r="H182" i="3"/>
  <c r="I182" i="3"/>
  <c r="G182" i="3"/>
  <c r="F182" i="3"/>
  <c r="H222" i="3"/>
  <c r="I222" i="3"/>
  <c r="G222" i="3"/>
  <c r="F222" i="3"/>
  <c r="G13" i="3"/>
  <c r="F13" i="3"/>
  <c r="I13" i="3"/>
  <c r="I130" i="3"/>
  <c r="H130" i="3"/>
  <c r="G130" i="3"/>
  <c r="F130" i="3"/>
  <c r="I61" i="3"/>
  <c r="G61" i="3"/>
  <c r="F61" i="3"/>
  <c r="H101" i="3"/>
  <c r="G101" i="3"/>
  <c r="F101" i="3"/>
  <c r="I101" i="3"/>
  <c r="H301" i="3"/>
  <c r="I301" i="3"/>
  <c r="G301" i="3"/>
  <c r="F301" i="3"/>
  <c r="H381" i="3"/>
  <c r="I381" i="3"/>
  <c r="G381" i="3"/>
  <c r="F381" i="3"/>
  <c r="F531" i="4"/>
  <c r="C531" i="4"/>
  <c r="E531" i="4"/>
  <c r="D531" i="4"/>
  <c r="I901" i="3"/>
  <c r="H901" i="3"/>
  <c r="G901" i="3"/>
  <c r="F901" i="3"/>
  <c r="F931" i="4"/>
  <c r="E931" i="4"/>
  <c r="D931" i="4"/>
  <c r="C931" i="4"/>
  <c r="F981" i="4"/>
  <c r="E981" i="4"/>
  <c r="C981" i="4"/>
  <c r="D981" i="4"/>
  <c r="G22" i="3"/>
  <c r="I22" i="3"/>
  <c r="F22" i="3"/>
  <c r="H241" i="3"/>
  <c r="I241" i="3"/>
  <c r="G241" i="3"/>
  <c r="F241" i="3"/>
  <c r="D31" i="4"/>
  <c r="F31" i="4" s="1"/>
  <c r="E101" i="4"/>
  <c r="F101" i="4"/>
  <c r="D101" i="4"/>
  <c r="C101" i="4"/>
  <c r="E151" i="4"/>
  <c r="F151" i="4"/>
  <c r="D151" i="4"/>
  <c r="C151" i="4"/>
  <c r="D231" i="4"/>
  <c r="F231" i="4"/>
  <c r="E231" i="4"/>
  <c r="C231" i="4"/>
  <c r="H271" i="3"/>
  <c r="I271" i="3"/>
  <c r="F271" i="3"/>
  <c r="G271" i="3"/>
  <c r="F381" i="4"/>
  <c r="E381" i="4"/>
  <c r="D381" i="4"/>
  <c r="C381" i="4"/>
  <c r="F461" i="4"/>
  <c r="E461" i="4"/>
  <c r="C461" i="4"/>
  <c r="D461" i="4"/>
  <c r="F501" i="4"/>
  <c r="E501" i="4"/>
  <c r="C501" i="4"/>
  <c r="D501" i="4"/>
  <c r="I571" i="3"/>
  <c r="H571" i="3"/>
  <c r="G571" i="3"/>
  <c r="F571" i="3"/>
  <c r="F601" i="4"/>
  <c r="E601" i="4"/>
  <c r="D601" i="4"/>
  <c r="C601" i="4"/>
  <c r="I641" i="3"/>
  <c r="H641" i="3"/>
  <c r="F641" i="3"/>
  <c r="G641" i="3"/>
  <c r="F681" i="4"/>
  <c r="E681" i="4"/>
  <c r="D681" i="4"/>
  <c r="C681" i="4"/>
  <c r="F711" i="4"/>
  <c r="E711" i="4"/>
  <c r="D711" i="4"/>
  <c r="C711" i="4"/>
  <c r="F751" i="4"/>
  <c r="E751" i="4"/>
  <c r="D751" i="4"/>
  <c r="C751" i="4"/>
  <c r="E821" i="4"/>
  <c r="F821" i="4"/>
  <c r="D821" i="4"/>
  <c r="C821" i="4"/>
  <c r="F861" i="4"/>
  <c r="C861" i="4"/>
  <c r="D861" i="4"/>
  <c r="E861" i="4"/>
  <c r="I941" i="3"/>
  <c r="H941" i="3"/>
  <c r="F941" i="3"/>
  <c r="G941" i="3"/>
  <c r="I991" i="3"/>
  <c r="H991" i="3"/>
  <c r="G991" i="3"/>
  <c r="F991" i="3"/>
  <c r="I20" i="3"/>
  <c r="G20" i="3"/>
  <c r="F20" i="3"/>
  <c r="H92" i="3"/>
  <c r="G92" i="3"/>
  <c r="I92" i="3"/>
  <c r="F92" i="3"/>
  <c r="H132" i="3"/>
  <c r="G132" i="3"/>
  <c r="I132" i="3"/>
  <c r="F132" i="3"/>
  <c r="F162" i="4"/>
  <c r="D162" i="4"/>
  <c r="E162" i="4"/>
  <c r="C162" i="4"/>
  <c r="H242" i="3"/>
  <c r="I242" i="3"/>
  <c r="G242" i="3"/>
  <c r="F242" i="3"/>
  <c r="E272" i="4"/>
  <c r="D272" i="4"/>
  <c r="F272" i="4"/>
  <c r="C272" i="4"/>
  <c r="H342" i="3"/>
  <c r="I342" i="3"/>
  <c r="G342" i="3"/>
  <c r="F342" i="3"/>
  <c r="H382" i="3"/>
  <c r="I382" i="3"/>
  <c r="G382" i="3"/>
  <c r="F382" i="3"/>
  <c r="F452" i="4"/>
  <c r="E452" i="4"/>
  <c r="D452" i="4"/>
  <c r="C452" i="4"/>
  <c r="F492" i="4"/>
  <c r="E492" i="4"/>
  <c r="D492" i="4"/>
  <c r="C492" i="4"/>
  <c r="H542" i="3"/>
  <c r="I542" i="3"/>
  <c r="F542" i="3"/>
  <c r="G542" i="3"/>
  <c r="H592" i="3"/>
  <c r="I592" i="3"/>
  <c r="F592" i="3"/>
  <c r="G592" i="3"/>
  <c r="H692" i="3"/>
  <c r="I692" i="3"/>
  <c r="F692" i="3"/>
  <c r="G692" i="3"/>
  <c r="F722" i="4"/>
  <c r="E722" i="4"/>
  <c r="D722" i="4"/>
  <c r="C722" i="4"/>
  <c r="H762" i="3"/>
  <c r="I762" i="3"/>
  <c r="G762" i="3"/>
  <c r="F762" i="3"/>
  <c r="F832" i="4"/>
  <c r="E832" i="4"/>
  <c r="D832" i="4"/>
  <c r="C832" i="4"/>
  <c r="F872" i="4"/>
  <c r="E872" i="4"/>
  <c r="D872" i="4"/>
  <c r="C872" i="4"/>
  <c r="F942" i="4"/>
  <c r="E942" i="4"/>
  <c r="D942" i="4"/>
  <c r="C942" i="4"/>
  <c r="F982" i="4"/>
  <c r="E982" i="4"/>
  <c r="C982" i="4"/>
  <c r="D982" i="4"/>
  <c r="G133" i="3"/>
  <c r="H133" i="3"/>
  <c r="I133" i="3"/>
  <c r="F133" i="3"/>
  <c r="F73" i="4"/>
  <c r="E73" i="4"/>
  <c r="D73" i="4"/>
  <c r="C73" i="4"/>
  <c r="F193" i="4"/>
  <c r="E193" i="4"/>
  <c r="D193" i="4"/>
  <c r="C193" i="4"/>
  <c r="F243" i="4"/>
  <c r="E243" i="4"/>
  <c r="C243" i="4"/>
  <c r="D243" i="4"/>
  <c r="F283" i="4"/>
  <c r="D283" i="4"/>
  <c r="E283" i="4"/>
  <c r="C283" i="4"/>
  <c r="E323" i="4"/>
  <c r="F323" i="4"/>
  <c r="D323" i="4"/>
  <c r="C323" i="4"/>
  <c r="G373" i="3"/>
  <c r="H373" i="3"/>
  <c r="I373" i="3"/>
  <c r="F373" i="3"/>
  <c r="G413" i="3"/>
  <c r="H413" i="3"/>
  <c r="I413" i="3"/>
  <c r="F413" i="3"/>
  <c r="F453" i="4"/>
  <c r="E453" i="4"/>
  <c r="C453" i="4"/>
  <c r="D453" i="4"/>
  <c r="E553" i="4"/>
  <c r="D553" i="4"/>
  <c r="F553" i="4"/>
  <c r="C553" i="4"/>
  <c r="F593" i="4"/>
  <c r="E593" i="4"/>
  <c r="D593" i="4"/>
  <c r="C593" i="4"/>
  <c r="E673" i="4"/>
  <c r="F673" i="4"/>
  <c r="C673" i="4"/>
  <c r="D673" i="4"/>
  <c r="H723" i="3"/>
  <c r="G723" i="3"/>
  <c r="F723" i="3"/>
  <c r="I723" i="3"/>
  <c r="H753" i="3"/>
  <c r="F753" i="3"/>
  <c r="G753" i="3"/>
  <c r="I753" i="3"/>
  <c r="F783" i="4"/>
  <c r="E783" i="4"/>
  <c r="C783" i="4"/>
  <c r="D783" i="4"/>
  <c r="H823" i="3"/>
  <c r="G823" i="3"/>
  <c r="I823" i="3"/>
  <c r="F823" i="3"/>
  <c r="H933" i="3"/>
  <c r="I933" i="3"/>
  <c r="G933" i="3"/>
  <c r="F933" i="3"/>
  <c r="H80" i="3"/>
  <c r="I80" i="3"/>
  <c r="G80" i="3"/>
  <c r="F80" i="3"/>
  <c r="G10" i="3"/>
  <c r="I10" i="3"/>
  <c r="F10" i="3"/>
  <c r="F110" i="4"/>
  <c r="E110" i="4"/>
  <c r="C110" i="4"/>
  <c r="D110" i="4"/>
  <c r="G577" i="3"/>
  <c r="I577" i="3"/>
  <c r="F577" i="3"/>
  <c r="H577" i="3"/>
  <c r="F48" i="3"/>
  <c r="I48" i="3"/>
  <c r="G48" i="3"/>
  <c r="F328" i="4"/>
  <c r="E328" i="4"/>
  <c r="C328" i="4"/>
  <c r="D328" i="4"/>
  <c r="F428" i="4"/>
  <c r="E428" i="4"/>
  <c r="C428" i="4"/>
  <c r="D428" i="4"/>
  <c r="F498" i="4"/>
  <c r="E498" i="4"/>
  <c r="C498" i="4"/>
  <c r="D498" i="4"/>
  <c r="F578" i="3"/>
  <c r="G578" i="3"/>
  <c r="H578" i="3"/>
  <c r="I578" i="3"/>
  <c r="F608" i="4"/>
  <c r="D608" i="4"/>
  <c r="C608" i="4"/>
  <c r="E608" i="4"/>
  <c r="F648" i="3"/>
  <c r="H648" i="3"/>
  <c r="G648" i="3"/>
  <c r="I648" i="3"/>
  <c r="F678" i="4"/>
  <c r="E678" i="4"/>
  <c r="D678" i="4"/>
  <c r="C678" i="4"/>
  <c r="F718" i="3"/>
  <c r="G718" i="3"/>
  <c r="H718" i="3"/>
  <c r="I718" i="3"/>
  <c r="F748" i="4"/>
  <c r="E748" i="4"/>
  <c r="D748" i="4"/>
  <c r="C748" i="4"/>
  <c r="F828" i="3"/>
  <c r="I828" i="3"/>
  <c r="G828" i="3"/>
  <c r="H828" i="3"/>
  <c r="F858" i="4"/>
  <c r="C858" i="4"/>
  <c r="D858" i="4"/>
  <c r="E858" i="4"/>
  <c r="F898" i="3"/>
  <c r="H898" i="3"/>
  <c r="G898" i="3"/>
  <c r="I898" i="3"/>
  <c r="F928" i="4"/>
  <c r="E928" i="4"/>
  <c r="D928" i="4"/>
  <c r="C928" i="4"/>
  <c r="F998" i="4"/>
  <c r="D998" i="4"/>
  <c r="E998" i="4"/>
  <c r="C998" i="4"/>
  <c r="F124" i="4"/>
  <c r="E124" i="4"/>
  <c r="D124" i="4"/>
  <c r="C124" i="4"/>
  <c r="F184" i="4"/>
  <c r="D184" i="4"/>
  <c r="E184" i="4"/>
  <c r="C184" i="4"/>
  <c r="G244" i="3"/>
  <c r="I244" i="3"/>
  <c r="H244" i="3"/>
  <c r="F244" i="3"/>
  <c r="I324" i="3"/>
  <c r="H324" i="3"/>
  <c r="G324" i="3"/>
  <c r="F324" i="3"/>
  <c r="F364" i="4"/>
  <c r="E364" i="4"/>
  <c r="D364" i="4"/>
  <c r="C364" i="4"/>
  <c r="I434" i="3"/>
  <c r="H434" i="3"/>
  <c r="G434" i="3"/>
  <c r="F434" i="3"/>
  <c r="H564" i="3"/>
  <c r="I564" i="3"/>
  <c r="F564" i="3"/>
  <c r="G564" i="3"/>
  <c r="F644" i="4"/>
  <c r="E644" i="4"/>
  <c r="D644" i="4"/>
  <c r="C644" i="4"/>
  <c r="H714" i="3"/>
  <c r="I714" i="3"/>
  <c r="F714" i="3"/>
  <c r="G714" i="3"/>
  <c r="F744" i="4"/>
  <c r="E744" i="4"/>
  <c r="D744" i="4"/>
  <c r="C744" i="4"/>
  <c r="F814" i="4"/>
  <c r="E814" i="4"/>
  <c r="C814" i="4"/>
  <c r="D814" i="4"/>
  <c r="H904" i="3"/>
  <c r="F904" i="3"/>
  <c r="G904" i="3"/>
  <c r="I904" i="3"/>
  <c r="F984" i="4"/>
  <c r="E984" i="4"/>
  <c r="C984" i="4"/>
  <c r="D984" i="4"/>
  <c r="I135" i="3"/>
  <c r="H135" i="3"/>
  <c r="G135" i="3"/>
  <c r="F135" i="3"/>
  <c r="F535" i="4"/>
  <c r="E535" i="4"/>
  <c r="D535" i="4"/>
  <c r="C535" i="4"/>
  <c r="F755" i="4"/>
  <c r="E755" i="4"/>
  <c r="D755" i="4"/>
  <c r="C755" i="4"/>
  <c r="F975" i="4"/>
  <c r="E975" i="4"/>
  <c r="D975" i="4"/>
  <c r="C975" i="4"/>
  <c r="H594" i="3"/>
  <c r="I594" i="3"/>
  <c r="G594" i="3"/>
  <c r="F594" i="3"/>
  <c r="G59" i="3"/>
  <c r="I59" i="3"/>
  <c r="F59" i="3"/>
  <c r="E89" i="4"/>
  <c r="F89" i="4"/>
  <c r="D89" i="4"/>
  <c r="C89" i="4"/>
  <c r="I129" i="3"/>
  <c r="G129" i="3"/>
  <c r="H129" i="3"/>
  <c r="F129" i="3"/>
  <c r="F189" i="4"/>
  <c r="E189" i="4"/>
  <c r="D189" i="4"/>
  <c r="C189" i="4"/>
  <c r="F229" i="4"/>
  <c r="E229" i="4"/>
  <c r="D229" i="4"/>
  <c r="C229" i="4"/>
  <c r="I269" i="3"/>
  <c r="H269" i="3"/>
  <c r="G269" i="3"/>
  <c r="F269" i="3"/>
  <c r="I379" i="3"/>
  <c r="H379" i="3"/>
  <c r="G379" i="3"/>
  <c r="F379" i="3"/>
  <c r="I479" i="3"/>
  <c r="H479" i="3"/>
  <c r="F479" i="3"/>
  <c r="G479" i="3"/>
  <c r="E539" i="4"/>
  <c r="C539" i="4"/>
  <c r="F539" i="4"/>
  <c r="D539" i="4"/>
  <c r="I579" i="3"/>
  <c r="H579" i="3"/>
  <c r="F579" i="3"/>
  <c r="G579" i="3"/>
  <c r="F639" i="4"/>
  <c r="E639" i="4"/>
  <c r="D639" i="4"/>
  <c r="C639" i="4"/>
  <c r="I679" i="3"/>
  <c r="H679" i="3"/>
  <c r="F679" i="3"/>
  <c r="G679" i="3"/>
  <c r="I779" i="3"/>
  <c r="H779" i="3"/>
  <c r="F779" i="3"/>
  <c r="G779" i="3"/>
  <c r="F839" i="4"/>
  <c r="D839" i="4"/>
  <c r="C839" i="4"/>
  <c r="E839" i="4"/>
  <c r="I879" i="3"/>
  <c r="H879" i="3"/>
  <c r="F879" i="3"/>
  <c r="G879" i="3"/>
  <c r="F939" i="4"/>
  <c r="D939" i="4"/>
  <c r="C939" i="4"/>
  <c r="E939" i="4"/>
  <c r="I979" i="3"/>
  <c r="H979" i="3"/>
  <c r="F979" i="3"/>
  <c r="G979" i="3"/>
  <c r="I140" i="3"/>
  <c r="H140" i="3"/>
  <c r="F140" i="3"/>
  <c r="G140" i="3"/>
  <c r="I170" i="3"/>
  <c r="H170" i="3"/>
  <c r="G170" i="3"/>
  <c r="F170" i="3"/>
  <c r="I210" i="3"/>
  <c r="H210" i="3"/>
  <c r="G210" i="3"/>
  <c r="F210" i="3"/>
  <c r="E270" i="4"/>
  <c r="D270" i="4"/>
  <c r="C270" i="4"/>
  <c r="F270" i="4"/>
  <c r="I350" i="3"/>
  <c r="H350" i="3"/>
  <c r="F350" i="3"/>
  <c r="G350" i="3"/>
  <c r="I530" i="3"/>
  <c r="H530" i="3"/>
  <c r="F530" i="3"/>
  <c r="G530" i="3"/>
  <c r="F560" i="4"/>
  <c r="D560" i="4"/>
  <c r="E560" i="4"/>
  <c r="C560" i="4"/>
  <c r="I600" i="3"/>
  <c r="H600" i="3"/>
  <c r="F600" i="3"/>
  <c r="G600" i="3"/>
  <c r="F630" i="4"/>
  <c r="E630" i="4"/>
  <c r="D630" i="4"/>
  <c r="C630" i="4"/>
  <c r="F700" i="4"/>
  <c r="E700" i="4"/>
  <c r="D700" i="4"/>
  <c r="C700" i="4"/>
  <c r="F740" i="4"/>
  <c r="D740" i="4"/>
  <c r="C740" i="4"/>
  <c r="E740" i="4"/>
  <c r="F820" i="4"/>
  <c r="E820" i="4"/>
  <c r="D820" i="4"/>
  <c r="C820" i="4"/>
  <c r="I900" i="3"/>
  <c r="H900" i="3"/>
  <c r="G900" i="3"/>
  <c r="F900" i="3"/>
  <c r="F930" i="4"/>
  <c r="E930" i="4"/>
  <c r="D930" i="4"/>
  <c r="C930" i="4"/>
  <c r="F970" i="4"/>
  <c r="C970" i="4"/>
  <c r="D970" i="4"/>
  <c r="E970" i="4"/>
  <c r="H983" i="3"/>
  <c r="I983" i="3"/>
  <c r="F983" i="3"/>
  <c r="G983" i="3"/>
  <c r="F114" i="4"/>
  <c r="E114" i="4"/>
  <c r="D114" i="4"/>
  <c r="C114" i="4"/>
  <c r="H284" i="3"/>
  <c r="I284" i="3"/>
  <c r="G284" i="3"/>
  <c r="F284" i="3"/>
  <c r="F384" i="4"/>
  <c r="E384" i="4"/>
  <c r="C384" i="4"/>
  <c r="D384" i="4"/>
  <c r="I474" i="3"/>
  <c r="G474" i="3"/>
  <c r="H474" i="3"/>
  <c r="F474" i="3"/>
  <c r="F524" i="4"/>
  <c r="E524" i="4"/>
  <c r="D524" i="4"/>
  <c r="C524" i="4"/>
  <c r="H604" i="3"/>
  <c r="F604" i="3"/>
  <c r="G604" i="3"/>
  <c r="I604" i="3"/>
  <c r="F664" i="4"/>
  <c r="E664" i="4"/>
  <c r="D664" i="4"/>
  <c r="C664" i="4"/>
  <c r="F974" i="4"/>
  <c r="E974" i="4"/>
  <c r="D974" i="4"/>
  <c r="C974" i="4"/>
  <c r="F235" i="4"/>
  <c r="E235" i="4"/>
  <c r="D235" i="4"/>
  <c r="C235" i="4"/>
  <c r="F405" i="4"/>
  <c r="D405" i="4"/>
  <c r="E405" i="4"/>
  <c r="C405" i="4"/>
  <c r="G625" i="3"/>
  <c r="H625" i="3"/>
  <c r="F625" i="3"/>
  <c r="I625" i="3"/>
  <c r="G855" i="3"/>
  <c r="H855" i="3"/>
  <c r="F855" i="3"/>
  <c r="I855" i="3"/>
  <c r="G976" i="3"/>
  <c r="I976" i="3"/>
  <c r="H976" i="3"/>
  <c r="F976" i="3"/>
  <c r="G705" i="3"/>
  <c r="I705" i="3"/>
  <c r="F705" i="3"/>
  <c r="H705" i="3"/>
  <c r="G805" i="3"/>
  <c r="I805" i="3"/>
  <c r="H805" i="3"/>
  <c r="F805" i="3"/>
  <c r="F985" i="4"/>
  <c r="E985" i="4"/>
  <c r="D985" i="4"/>
  <c r="C985" i="4"/>
  <c r="F115" i="4"/>
  <c r="E115" i="4"/>
  <c r="D115" i="4"/>
  <c r="C115" i="4"/>
  <c r="I335" i="3"/>
  <c r="H335" i="3"/>
  <c r="G335" i="3"/>
  <c r="F335" i="3"/>
  <c r="F475" i="4"/>
  <c r="E475" i="4"/>
  <c r="D475" i="4"/>
  <c r="C475" i="4"/>
  <c r="H785" i="3"/>
  <c r="G785" i="3"/>
  <c r="I785" i="3"/>
  <c r="F785" i="3"/>
  <c r="I16" i="3"/>
  <c r="G16" i="3"/>
  <c r="F16" i="3"/>
  <c r="F76" i="4"/>
  <c r="E76" i="4"/>
  <c r="C76" i="4"/>
  <c r="D76" i="4"/>
  <c r="F176" i="4"/>
  <c r="E176" i="4"/>
  <c r="C176" i="4"/>
  <c r="D176" i="4"/>
  <c r="F246" i="4"/>
  <c r="E246" i="4"/>
  <c r="D246" i="4"/>
  <c r="C246" i="4"/>
  <c r="F286" i="3"/>
  <c r="I286" i="3"/>
  <c r="G286" i="3"/>
  <c r="H286" i="3"/>
  <c r="G316" i="3"/>
  <c r="H316" i="3"/>
  <c r="I316" i="3"/>
  <c r="F316" i="3"/>
  <c r="F346" i="4"/>
  <c r="E346" i="4"/>
  <c r="D346" i="4"/>
  <c r="C346" i="4"/>
  <c r="F386" i="4"/>
  <c r="E386" i="4"/>
  <c r="D386" i="4"/>
  <c r="C386" i="4"/>
  <c r="F456" i="4"/>
  <c r="E456" i="4"/>
  <c r="D456" i="4"/>
  <c r="C456" i="4"/>
  <c r="G606" i="3"/>
  <c r="I606" i="3"/>
  <c r="H606" i="3"/>
  <c r="F606" i="3"/>
  <c r="F636" i="4"/>
  <c r="E636" i="4"/>
  <c r="C636" i="4"/>
  <c r="D636" i="4"/>
  <c r="F706" i="4"/>
  <c r="D706" i="4"/>
  <c r="E706" i="4"/>
  <c r="C706" i="4"/>
  <c r="G856" i="3"/>
  <c r="H856" i="3"/>
  <c r="F856" i="3"/>
  <c r="I856" i="3"/>
  <c r="E886" i="4"/>
  <c r="F886" i="4"/>
  <c r="D886" i="4"/>
  <c r="C886" i="4"/>
  <c r="F956" i="4"/>
  <c r="E956" i="4"/>
  <c r="D956" i="4"/>
  <c r="C956" i="4"/>
  <c r="F265" i="4"/>
  <c r="E265" i="4"/>
  <c r="C265" i="4"/>
  <c r="D265" i="4"/>
  <c r="I435" i="3"/>
  <c r="H435" i="3"/>
  <c r="F435" i="3"/>
  <c r="G435" i="3"/>
  <c r="F565" i="4"/>
  <c r="E565" i="4"/>
  <c r="D565" i="4"/>
  <c r="C565" i="4"/>
  <c r="F775" i="4"/>
  <c r="E775" i="4"/>
  <c r="D775" i="4"/>
  <c r="C775" i="4"/>
  <c r="F87" i="4"/>
  <c r="C87" i="4"/>
  <c r="E87" i="4"/>
  <c r="D87" i="4"/>
  <c r="F157" i="4"/>
  <c r="E157" i="4"/>
  <c r="D157" i="4"/>
  <c r="C157" i="4"/>
  <c r="F197" i="3"/>
  <c r="H197" i="3"/>
  <c r="G197" i="3"/>
  <c r="I197" i="3"/>
  <c r="F227" i="3"/>
  <c r="I227" i="3"/>
  <c r="H227" i="3"/>
  <c r="G227" i="3"/>
  <c r="F257" i="4"/>
  <c r="E257" i="4"/>
  <c r="D257" i="4"/>
  <c r="C257" i="4"/>
  <c r="F297" i="3"/>
  <c r="H297" i="3"/>
  <c r="I297" i="3"/>
  <c r="G297" i="3"/>
  <c r="F327" i="3"/>
  <c r="I327" i="3"/>
  <c r="H327" i="3"/>
  <c r="G327" i="3"/>
  <c r="F367" i="3"/>
  <c r="G367" i="3"/>
  <c r="I367" i="3"/>
  <c r="H367" i="3"/>
  <c r="F427" i="4"/>
  <c r="E427" i="4"/>
  <c r="D427" i="4"/>
  <c r="C427" i="4"/>
  <c r="F467" i="3"/>
  <c r="I467" i="3"/>
  <c r="H467" i="3"/>
  <c r="G467" i="3"/>
  <c r="G537" i="3"/>
  <c r="I537" i="3"/>
  <c r="F537" i="3"/>
  <c r="H537" i="3"/>
  <c r="F567" i="4"/>
  <c r="E567" i="4"/>
  <c r="D567" i="4"/>
  <c r="C567" i="4"/>
  <c r="F637" i="4"/>
  <c r="E637" i="4"/>
  <c r="D637" i="4"/>
  <c r="C637" i="4"/>
  <c r="G717" i="3"/>
  <c r="H717" i="3"/>
  <c r="F717" i="3"/>
  <c r="I717" i="3"/>
  <c r="F747" i="4"/>
  <c r="D747" i="4"/>
  <c r="E747" i="4"/>
  <c r="C747" i="4"/>
  <c r="F787" i="4"/>
  <c r="E787" i="4"/>
  <c r="D787" i="4"/>
  <c r="C787" i="4"/>
  <c r="F827" i="4"/>
  <c r="E827" i="4"/>
  <c r="D827" i="4"/>
  <c r="C827" i="4"/>
  <c r="G947" i="3"/>
  <c r="I947" i="3"/>
  <c r="F947" i="3"/>
  <c r="H947" i="3"/>
  <c r="H987" i="3"/>
  <c r="G987" i="3"/>
  <c r="I987" i="3"/>
  <c r="F987" i="3"/>
  <c r="F78" i="4"/>
  <c r="E78" i="4"/>
  <c r="D78" i="4"/>
  <c r="C78" i="4"/>
  <c r="E118" i="4"/>
  <c r="F118" i="4"/>
  <c r="D118" i="4"/>
  <c r="C118" i="4"/>
  <c r="I168" i="3"/>
  <c r="F168" i="3"/>
  <c r="H168" i="3"/>
  <c r="G168" i="3"/>
  <c r="E71" i="4"/>
  <c r="F71" i="4"/>
  <c r="D71" i="4"/>
  <c r="C71" i="4"/>
  <c r="F281" i="4"/>
  <c r="D281" i="4"/>
  <c r="E281" i="4"/>
  <c r="C281" i="4"/>
  <c r="I771" i="3"/>
  <c r="H771" i="3"/>
  <c r="G771" i="3"/>
  <c r="F771" i="3"/>
  <c r="F252" i="4"/>
  <c r="D252" i="4"/>
  <c r="E252" i="4"/>
  <c r="C252" i="4"/>
  <c r="H322" i="3"/>
  <c r="I322" i="3"/>
  <c r="G322" i="3"/>
  <c r="F322" i="3"/>
  <c r="F812" i="4"/>
  <c r="E812" i="4"/>
  <c r="D812" i="4"/>
  <c r="C812" i="4"/>
  <c r="F213" i="4"/>
  <c r="E213" i="4"/>
  <c r="D213" i="4"/>
  <c r="C213" i="4"/>
  <c r="F331" i="4"/>
  <c r="D331" i="4"/>
  <c r="C331" i="4"/>
  <c r="E331" i="4"/>
  <c r="F411" i="4"/>
  <c r="E411" i="4"/>
  <c r="D411" i="4"/>
  <c r="C411" i="4"/>
  <c r="F491" i="4"/>
  <c r="E491" i="4"/>
  <c r="D491" i="4"/>
  <c r="C491" i="4"/>
  <c r="H221" i="3"/>
  <c r="I221" i="3"/>
  <c r="G221" i="3"/>
  <c r="F221" i="3"/>
  <c r="F191" i="4"/>
  <c r="E191" i="4"/>
  <c r="D191" i="4"/>
  <c r="C191" i="4"/>
  <c r="D271" i="4"/>
  <c r="E271" i="4"/>
  <c r="F271" i="4"/>
  <c r="C271" i="4"/>
  <c r="E301" i="4"/>
  <c r="F301" i="4"/>
  <c r="D301" i="4"/>
  <c r="C301" i="4"/>
  <c r="F431" i="4"/>
  <c r="E431" i="4"/>
  <c r="C431" i="4"/>
  <c r="D431" i="4"/>
  <c r="H471" i="3"/>
  <c r="I471" i="3"/>
  <c r="G471" i="3"/>
  <c r="F471" i="3"/>
  <c r="I511" i="3"/>
  <c r="H511" i="3"/>
  <c r="G511" i="3"/>
  <c r="F511" i="3"/>
  <c r="I541" i="3"/>
  <c r="H541" i="3"/>
  <c r="F541" i="3"/>
  <c r="G541" i="3"/>
  <c r="F571" i="4"/>
  <c r="C571" i="4"/>
  <c r="E571" i="4"/>
  <c r="D571" i="4"/>
  <c r="I611" i="3"/>
  <c r="H611" i="3"/>
  <c r="F611" i="3"/>
  <c r="G611" i="3"/>
  <c r="F641" i="4"/>
  <c r="E641" i="4"/>
  <c r="D641" i="4"/>
  <c r="C641" i="4"/>
  <c r="I681" i="3"/>
  <c r="H681" i="3"/>
  <c r="F681" i="3"/>
  <c r="G681" i="3"/>
  <c r="I721" i="3"/>
  <c r="H721" i="3"/>
  <c r="G721" i="3"/>
  <c r="F721" i="3"/>
  <c r="E791" i="4"/>
  <c r="F791" i="4"/>
  <c r="D791" i="4"/>
  <c r="C791" i="4"/>
  <c r="I831" i="3"/>
  <c r="H831" i="3"/>
  <c r="F831" i="3"/>
  <c r="G831" i="3"/>
  <c r="I871" i="3"/>
  <c r="H871" i="3"/>
  <c r="G871" i="3"/>
  <c r="F871" i="3"/>
  <c r="F901" i="4"/>
  <c r="E901" i="4"/>
  <c r="D901" i="4"/>
  <c r="C901" i="4"/>
  <c r="F941" i="4"/>
  <c r="D941" i="4"/>
  <c r="E941" i="4"/>
  <c r="C941" i="4"/>
  <c r="I40" i="3"/>
  <c r="F40" i="3"/>
  <c r="G40" i="3"/>
  <c r="I62" i="3"/>
  <c r="G62" i="3"/>
  <c r="F62" i="3"/>
  <c r="F92" i="4"/>
  <c r="E92" i="4"/>
  <c r="D92" i="4"/>
  <c r="C92" i="4"/>
  <c r="H172" i="3"/>
  <c r="I172" i="3"/>
  <c r="G172" i="3"/>
  <c r="F172" i="3"/>
  <c r="H212" i="3"/>
  <c r="I212" i="3"/>
  <c r="G212" i="3"/>
  <c r="F212" i="3"/>
  <c r="F242" i="4"/>
  <c r="D242" i="4"/>
  <c r="E242" i="4"/>
  <c r="C242" i="4"/>
  <c r="H312" i="3"/>
  <c r="I312" i="3"/>
  <c r="G312" i="3"/>
  <c r="F312" i="3"/>
  <c r="F342" i="4"/>
  <c r="D342" i="4"/>
  <c r="C342" i="4"/>
  <c r="E342" i="4"/>
  <c r="F382" i="4"/>
  <c r="D382" i="4"/>
  <c r="E382" i="4"/>
  <c r="C382" i="4"/>
  <c r="H422" i="3"/>
  <c r="I422" i="3"/>
  <c r="G422" i="3"/>
  <c r="F422" i="3"/>
  <c r="H512" i="3"/>
  <c r="I512" i="3"/>
  <c r="F512" i="3"/>
  <c r="G512" i="3"/>
  <c r="F542" i="4"/>
  <c r="E542" i="4"/>
  <c r="D542" i="4"/>
  <c r="C542" i="4"/>
  <c r="F592" i="4"/>
  <c r="E592" i="4"/>
  <c r="D592" i="4"/>
  <c r="C592" i="4"/>
  <c r="H632" i="3"/>
  <c r="I632" i="3"/>
  <c r="G632" i="3"/>
  <c r="F632" i="3"/>
  <c r="H662" i="3"/>
  <c r="I662" i="3"/>
  <c r="G662" i="3"/>
  <c r="F662" i="3"/>
  <c r="F692" i="4"/>
  <c r="D692" i="4"/>
  <c r="E692" i="4"/>
  <c r="C692" i="4"/>
  <c r="H732" i="3"/>
  <c r="I732" i="3"/>
  <c r="G732" i="3"/>
  <c r="F732" i="3"/>
  <c r="F762" i="4"/>
  <c r="E762" i="4"/>
  <c r="C762" i="4"/>
  <c r="D762" i="4"/>
  <c r="F802" i="4"/>
  <c r="C802" i="4"/>
  <c r="D802" i="4"/>
  <c r="E802" i="4"/>
  <c r="H842" i="3"/>
  <c r="I842" i="3"/>
  <c r="F842" i="3"/>
  <c r="G842" i="3"/>
  <c r="H882" i="3"/>
  <c r="I882" i="3"/>
  <c r="F882" i="3"/>
  <c r="G882" i="3"/>
  <c r="D912" i="4"/>
  <c r="F912" i="4"/>
  <c r="C912" i="4"/>
  <c r="E912" i="4"/>
  <c r="H952" i="3"/>
  <c r="I952" i="3"/>
  <c r="G952" i="3"/>
  <c r="F952" i="3"/>
  <c r="H992" i="3"/>
  <c r="I992" i="3"/>
  <c r="G992" i="3"/>
  <c r="F992" i="3"/>
  <c r="G153" i="3"/>
  <c r="H153" i="3"/>
  <c r="I153" i="3"/>
  <c r="F153" i="3"/>
  <c r="I83" i="3"/>
  <c r="G83" i="3"/>
  <c r="H83" i="3"/>
  <c r="F83" i="3"/>
  <c r="G113" i="3"/>
  <c r="H113" i="3"/>
  <c r="I113" i="3"/>
  <c r="F113" i="3"/>
  <c r="E153" i="4"/>
  <c r="F153" i="4"/>
  <c r="D153" i="4"/>
  <c r="C153" i="4"/>
  <c r="G293" i="3"/>
  <c r="H293" i="3"/>
  <c r="I293" i="3"/>
  <c r="F293" i="3"/>
  <c r="F373" i="4"/>
  <c r="E373" i="4"/>
  <c r="D373" i="4"/>
  <c r="C373" i="4"/>
  <c r="F523" i="4"/>
  <c r="E523" i="4"/>
  <c r="D523" i="4"/>
  <c r="C523" i="4"/>
  <c r="F563" i="4"/>
  <c r="E563" i="4"/>
  <c r="D563" i="4"/>
  <c r="C563" i="4"/>
  <c r="H603" i="3"/>
  <c r="I603" i="3"/>
  <c r="F603" i="3"/>
  <c r="G603" i="3"/>
  <c r="E633" i="4"/>
  <c r="F633" i="4"/>
  <c r="C633" i="4"/>
  <c r="D633" i="4"/>
  <c r="H683" i="3"/>
  <c r="I683" i="3"/>
  <c r="G683" i="3"/>
  <c r="F683" i="3"/>
  <c r="E753" i="4"/>
  <c r="F753" i="4"/>
  <c r="D753" i="4"/>
  <c r="C753" i="4"/>
  <c r="E853" i="4"/>
  <c r="F853" i="4"/>
  <c r="D853" i="4"/>
  <c r="C853" i="4"/>
  <c r="E893" i="4"/>
  <c r="F893" i="4"/>
  <c r="D893" i="4"/>
  <c r="C893" i="4"/>
  <c r="I30" i="3"/>
  <c r="G30" i="3"/>
  <c r="F30" i="3"/>
  <c r="I660" i="3"/>
  <c r="H660" i="3"/>
  <c r="G660" i="3"/>
  <c r="F660" i="3"/>
  <c r="F188" i="4"/>
  <c r="E188" i="4"/>
  <c r="C188" i="4"/>
  <c r="D188" i="4"/>
  <c r="I268" i="3"/>
  <c r="F268" i="3"/>
  <c r="G268" i="3"/>
  <c r="H268" i="3"/>
  <c r="F298" i="4"/>
  <c r="D298" i="4"/>
  <c r="E298" i="4"/>
  <c r="C298" i="4"/>
  <c r="I368" i="3"/>
  <c r="F368" i="3"/>
  <c r="G368" i="3"/>
  <c r="H368" i="3"/>
  <c r="F398" i="4"/>
  <c r="E398" i="4"/>
  <c r="C398" i="4"/>
  <c r="D398" i="4"/>
  <c r="F468" i="4"/>
  <c r="D468" i="4"/>
  <c r="C468" i="4"/>
  <c r="E468" i="4"/>
  <c r="F538" i="4"/>
  <c r="D538" i="4"/>
  <c r="E538" i="4"/>
  <c r="C538" i="4"/>
  <c r="F618" i="3"/>
  <c r="G618" i="3"/>
  <c r="I618" i="3"/>
  <c r="H618" i="3"/>
  <c r="F688" i="3"/>
  <c r="G688" i="3"/>
  <c r="H688" i="3"/>
  <c r="I688" i="3"/>
  <c r="F718" i="4"/>
  <c r="E718" i="4"/>
  <c r="D718" i="4"/>
  <c r="C718" i="4"/>
  <c r="F788" i="4"/>
  <c r="E788" i="4"/>
  <c r="D788" i="4"/>
  <c r="C788" i="4"/>
  <c r="F868" i="3"/>
  <c r="G868" i="3"/>
  <c r="I868" i="3"/>
  <c r="H868" i="3"/>
  <c r="F968" i="4"/>
  <c r="C968" i="4"/>
  <c r="E968" i="4"/>
  <c r="D968" i="4"/>
  <c r="F74" i="4"/>
  <c r="E74" i="4"/>
  <c r="D74" i="4"/>
  <c r="C74" i="4"/>
  <c r="F324" i="4"/>
  <c r="E324" i="4"/>
  <c r="D324" i="4"/>
  <c r="C324" i="4"/>
  <c r="F484" i="4"/>
  <c r="D484" i="4"/>
  <c r="E484" i="4"/>
  <c r="C484" i="4"/>
  <c r="H654" i="3"/>
  <c r="F654" i="3"/>
  <c r="G654" i="3"/>
  <c r="I654" i="3"/>
  <c r="H754" i="3"/>
  <c r="F754" i="3"/>
  <c r="G754" i="3"/>
  <c r="I754" i="3"/>
  <c r="H784" i="3"/>
  <c r="I784" i="3"/>
  <c r="G784" i="3"/>
  <c r="F784" i="3"/>
  <c r="H824" i="3"/>
  <c r="I824" i="3"/>
  <c r="G824" i="3"/>
  <c r="F824" i="3"/>
  <c r="F854" i="4"/>
  <c r="E854" i="4"/>
  <c r="D854" i="4"/>
  <c r="C854" i="4"/>
  <c r="F25" i="3"/>
  <c r="G25" i="3"/>
  <c r="I25" i="3"/>
  <c r="F225" i="4"/>
  <c r="E225" i="4"/>
  <c r="C225" i="4"/>
  <c r="D225" i="4"/>
  <c r="F365" i="4"/>
  <c r="E365" i="4"/>
  <c r="C365" i="4"/>
  <c r="D365" i="4"/>
  <c r="H585" i="3"/>
  <c r="G585" i="3"/>
  <c r="I585" i="3"/>
  <c r="F585" i="3"/>
  <c r="H815" i="3"/>
  <c r="I815" i="3"/>
  <c r="G815" i="3"/>
  <c r="F815" i="3"/>
  <c r="G676" i="3"/>
  <c r="I676" i="3"/>
  <c r="F676" i="3"/>
  <c r="H676" i="3"/>
  <c r="I29" i="3"/>
  <c r="G29" i="3"/>
  <c r="F29" i="3"/>
  <c r="G99" i="3"/>
  <c r="F99" i="3"/>
  <c r="I99" i="3"/>
  <c r="H99" i="3"/>
  <c r="E159" i="4"/>
  <c r="D159" i="4"/>
  <c r="F159" i="4"/>
  <c r="C159" i="4"/>
  <c r="F239" i="4"/>
  <c r="E239" i="4"/>
  <c r="D239" i="4"/>
  <c r="C239" i="4"/>
  <c r="I349" i="3"/>
  <c r="G349" i="3"/>
  <c r="H349" i="3"/>
  <c r="F349" i="3"/>
  <c r="F409" i="4"/>
  <c r="E409" i="4"/>
  <c r="D409" i="4"/>
  <c r="C409" i="4"/>
  <c r="E449" i="4"/>
  <c r="F449" i="4"/>
  <c r="C449" i="4"/>
  <c r="D449" i="4"/>
  <c r="F479" i="4"/>
  <c r="E479" i="4"/>
  <c r="C479" i="4"/>
  <c r="D479" i="4"/>
  <c r="F509" i="4"/>
  <c r="C509" i="4"/>
  <c r="E509" i="4"/>
  <c r="D509" i="4"/>
  <c r="F609" i="4"/>
  <c r="D609" i="4"/>
  <c r="C609" i="4"/>
  <c r="E609" i="4"/>
  <c r="I649" i="3"/>
  <c r="F649" i="3"/>
  <c r="H649" i="3"/>
  <c r="G649" i="3"/>
  <c r="F709" i="4"/>
  <c r="E709" i="4"/>
  <c r="D709" i="4"/>
  <c r="C709" i="4"/>
  <c r="F809" i="4"/>
  <c r="E809" i="4"/>
  <c r="D809" i="4"/>
  <c r="C809" i="4"/>
  <c r="F909" i="4"/>
  <c r="E909" i="4"/>
  <c r="D909" i="4"/>
  <c r="C909" i="4"/>
  <c r="I949" i="3"/>
  <c r="F949" i="3"/>
  <c r="G949" i="3"/>
  <c r="H949" i="3"/>
  <c r="E170" i="4"/>
  <c r="F170" i="4"/>
  <c r="D170" i="4"/>
  <c r="C170" i="4"/>
  <c r="E240" i="4"/>
  <c r="F240" i="4"/>
  <c r="C240" i="4"/>
  <c r="D240" i="4"/>
  <c r="I280" i="3"/>
  <c r="H280" i="3"/>
  <c r="G280" i="3"/>
  <c r="F280" i="3"/>
  <c r="F310" i="4"/>
  <c r="E310" i="4"/>
  <c r="D310" i="4"/>
  <c r="C310" i="4"/>
  <c r="F380" i="4"/>
  <c r="E380" i="4"/>
  <c r="D380" i="4"/>
  <c r="C380" i="4"/>
  <c r="E420" i="4"/>
  <c r="F420" i="4"/>
  <c r="D420" i="4"/>
  <c r="C420" i="4"/>
  <c r="I460" i="3"/>
  <c r="H460" i="3"/>
  <c r="G460" i="3"/>
  <c r="F460" i="3"/>
  <c r="F490" i="4"/>
  <c r="E490" i="4"/>
  <c r="D490" i="4"/>
  <c r="C490" i="4"/>
  <c r="I570" i="3"/>
  <c r="G570" i="3"/>
  <c r="H570" i="3"/>
  <c r="F570" i="3"/>
  <c r="I640" i="3"/>
  <c r="G640" i="3"/>
  <c r="F640" i="3"/>
  <c r="H640" i="3"/>
  <c r="F670" i="4"/>
  <c r="D670" i="4"/>
  <c r="C670" i="4"/>
  <c r="E670" i="4"/>
  <c r="F710" i="4"/>
  <c r="E710" i="4"/>
  <c r="D710" i="4"/>
  <c r="C710" i="4"/>
  <c r="I750" i="3"/>
  <c r="H750" i="3"/>
  <c r="F750" i="3"/>
  <c r="G750" i="3"/>
  <c r="F780" i="4"/>
  <c r="D780" i="4"/>
  <c r="C780" i="4"/>
  <c r="E780" i="4"/>
  <c r="F860" i="4"/>
  <c r="D860" i="4"/>
  <c r="C860" i="4"/>
  <c r="E860" i="4"/>
  <c r="I980" i="3"/>
  <c r="H980" i="3"/>
  <c r="F980" i="3"/>
  <c r="G980" i="3"/>
  <c r="G134" i="3"/>
  <c r="I134" i="3"/>
  <c r="H134" i="3"/>
  <c r="F134" i="3"/>
  <c r="F234" i="4"/>
  <c r="E234" i="4"/>
  <c r="D234" i="4"/>
  <c r="C234" i="4"/>
  <c r="F284" i="4"/>
  <c r="D284" i="4"/>
  <c r="E284" i="4"/>
  <c r="C284" i="4"/>
  <c r="H534" i="3"/>
  <c r="I534" i="3"/>
  <c r="G534" i="3"/>
  <c r="F534" i="3"/>
  <c r="F604" i="4"/>
  <c r="E604" i="4"/>
  <c r="D604" i="4"/>
  <c r="C604" i="4"/>
  <c r="H684" i="3"/>
  <c r="I684" i="3"/>
  <c r="G684" i="3"/>
  <c r="F684" i="3"/>
  <c r="F934" i="4"/>
  <c r="E934" i="4"/>
  <c r="D934" i="4"/>
  <c r="C934" i="4"/>
  <c r="F105" i="4"/>
  <c r="E105" i="4"/>
  <c r="D105" i="4"/>
  <c r="C105" i="4"/>
  <c r="H445" i="3"/>
  <c r="I445" i="3"/>
  <c r="G445" i="3"/>
  <c r="F445" i="3"/>
  <c r="I88" i="3"/>
  <c r="G88" i="3"/>
  <c r="F88" i="3"/>
  <c r="H88" i="3"/>
  <c r="G485" i="3"/>
  <c r="I485" i="3"/>
  <c r="H485" i="3"/>
  <c r="F485" i="3"/>
  <c r="F835" i="4"/>
  <c r="E835" i="4"/>
  <c r="D835" i="4"/>
  <c r="C835" i="4"/>
  <c r="I155" i="3"/>
  <c r="F155" i="3"/>
  <c r="G155" i="3"/>
  <c r="H155" i="3"/>
  <c r="G505" i="3"/>
  <c r="F505" i="3"/>
  <c r="H505" i="3"/>
  <c r="I505" i="3"/>
  <c r="G605" i="3"/>
  <c r="I605" i="3"/>
  <c r="H605" i="3"/>
  <c r="F605" i="3"/>
  <c r="F785" i="4"/>
  <c r="E785" i="4"/>
  <c r="D785" i="4"/>
  <c r="C785" i="4"/>
  <c r="I108" i="3"/>
  <c r="F108" i="3"/>
  <c r="G108" i="3"/>
  <c r="H108" i="3"/>
  <c r="G386" i="3"/>
  <c r="H386" i="3"/>
  <c r="F386" i="3"/>
  <c r="I386" i="3"/>
  <c r="I86" i="3"/>
  <c r="G86" i="3"/>
  <c r="F86" i="3"/>
  <c r="H86" i="3"/>
  <c r="I116" i="3"/>
  <c r="G116" i="3"/>
  <c r="H116" i="3"/>
  <c r="F116" i="3"/>
  <c r="F146" i="4"/>
  <c r="E146" i="4"/>
  <c r="D146" i="4"/>
  <c r="C146" i="4"/>
  <c r="G186" i="3"/>
  <c r="F186" i="3"/>
  <c r="H186" i="3"/>
  <c r="I186" i="3"/>
  <c r="G216" i="3"/>
  <c r="H216" i="3"/>
  <c r="I216" i="3"/>
  <c r="F216" i="3"/>
  <c r="G256" i="3"/>
  <c r="I256" i="3"/>
  <c r="F256" i="3"/>
  <c r="H256" i="3"/>
  <c r="F316" i="4"/>
  <c r="E316" i="4"/>
  <c r="D316" i="4"/>
  <c r="C316" i="4"/>
  <c r="G356" i="3"/>
  <c r="I356" i="3"/>
  <c r="H356" i="3"/>
  <c r="F356" i="3"/>
  <c r="H396" i="3"/>
  <c r="I396" i="3"/>
  <c r="G396" i="3"/>
  <c r="F396" i="3"/>
  <c r="G426" i="3"/>
  <c r="F426" i="3"/>
  <c r="H426" i="3"/>
  <c r="I426" i="3"/>
  <c r="H466" i="3"/>
  <c r="G466" i="3"/>
  <c r="F466" i="3"/>
  <c r="I466" i="3"/>
  <c r="F496" i="4"/>
  <c r="E496" i="4"/>
  <c r="D496" i="4"/>
  <c r="C496" i="4"/>
  <c r="G536" i="3"/>
  <c r="I536" i="3"/>
  <c r="F536" i="3"/>
  <c r="H536" i="3"/>
  <c r="F566" i="4"/>
  <c r="E566" i="4"/>
  <c r="D566" i="4"/>
  <c r="C566" i="4"/>
  <c r="G646" i="3"/>
  <c r="I646" i="3"/>
  <c r="H646" i="3"/>
  <c r="F646" i="3"/>
  <c r="F676" i="4"/>
  <c r="E676" i="4"/>
  <c r="D676" i="4"/>
  <c r="C676" i="4"/>
  <c r="F746" i="4"/>
  <c r="E746" i="4"/>
  <c r="D746" i="4"/>
  <c r="C746" i="4"/>
  <c r="G786" i="3"/>
  <c r="I786" i="3"/>
  <c r="F786" i="3"/>
  <c r="H786" i="3"/>
  <c r="F816" i="4"/>
  <c r="E816" i="4"/>
  <c r="D816" i="4"/>
  <c r="C816" i="4"/>
  <c r="G896" i="3"/>
  <c r="I896" i="3"/>
  <c r="H896" i="3"/>
  <c r="F896" i="3"/>
  <c r="F926" i="4"/>
  <c r="E926" i="4"/>
  <c r="C926" i="4"/>
  <c r="D926" i="4"/>
  <c r="G966" i="3"/>
  <c r="I966" i="3"/>
  <c r="H966" i="3"/>
  <c r="F966" i="3"/>
  <c r="F996" i="4"/>
  <c r="E996" i="4"/>
  <c r="D996" i="4"/>
  <c r="C996" i="4"/>
  <c r="G45" i="3"/>
  <c r="I45" i="3"/>
  <c r="F45" i="3"/>
  <c r="F165" i="4"/>
  <c r="E165" i="4"/>
  <c r="C165" i="4"/>
  <c r="D165" i="4"/>
  <c r="F435" i="4"/>
  <c r="E435" i="4"/>
  <c r="D435" i="4"/>
  <c r="C435" i="4"/>
  <c r="H615" i="3"/>
  <c r="I615" i="3"/>
  <c r="G615" i="3"/>
  <c r="F615" i="3"/>
  <c r="I57" i="3"/>
  <c r="F57" i="3"/>
  <c r="G57" i="3"/>
  <c r="I97" i="3"/>
  <c r="F97" i="3"/>
  <c r="H97" i="3"/>
  <c r="G97" i="3"/>
  <c r="F127" i="4"/>
  <c r="E127" i="4"/>
  <c r="C127" i="4"/>
  <c r="D127" i="4"/>
  <c r="F167" i="3"/>
  <c r="I167" i="3"/>
  <c r="H167" i="3"/>
  <c r="G167" i="3"/>
  <c r="F227" i="4"/>
  <c r="E227" i="4"/>
  <c r="C227" i="4"/>
  <c r="D227" i="4"/>
  <c r="F267" i="3"/>
  <c r="G267" i="3"/>
  <c r="I267" i="3"/>
  <c r="H267" i="3"/>
  <c r="F327" i="4"/>
  <c r="E327" i="4"/>
  <c r="D327" i="4"/>
  <c r="C327" i="4"/>
  <c r="F397" i="4"/>
  <c r="E397" i="4"/>
  <c r="D397" i="4"/>
  <c r="C397" i="4"/>
  <c r="F497" i="4"/>
  <c r="E497" i="4"/>
  <c r="D497" i="4"/>
  <c r="C497" i="4"/>
  <c r="G607" i="3"/>
  <c r="I607" i="3"/>
  <c r="H607" i="3"/>
  <c r="F607" i="3"/>
  <c r="F677" i="4"/>
  <c r="E677" i="4"/>
  <c r="D677" i="4"/>
  <c r="C677" i="4"/>
  <c r="H797" i="3"/>
  <c r="G797" i="3"/>
  <c r="I797" i="3"/>
  <c r="F797" i="3"/>
  <c r="G837" i="3"/>
  <c r="I837" i="3"/>
  <c r="H837" i="3"/>
  <c r="F837" i="3"/>
  <c r="E867" i="4"/>
  <c r="F867" i="4"/>
  <c r="D867" i="4"/>
  <c r="C867" i="4"/>
  <c r="F907" i="4"/>
  <c r="E907" i="4"/>
  <c r="D907" i="4"/>
  <c r="C907" i="4"/>
  <c r="I128" i="3"/>
  <c r="H128" i="3"/>
  <c r="F128" i="3"/>
  <c r="G128" i="3"/>
  <c r="I228" i="3"/>
  <c r="H228" i="3"/>
  <c r="G228" i="3"/>
  <c r="F228" i="3"/>
  <c r="E121" i="4"/>
  <c r="F121" i="4"/>
  <c r="D121" i="4"/>
  <c r="C121" i="4"/>
  <c r="I731" i="3"/>
  <c r="H731" i="3"/>
  <c r="F731" i="3"/>
  <c r="G731" i="3"/>
  <c r="F392" i="4"/>
  <c r="D392" i="4"/>
  <c r="E392" i="4"/>
  <c r="C392" i="4"/>
  <c r="F671" i="4"/>
  <c r="D671" i="4"/>
  <c r="C671" i="4"/>
  <c r="E671" i="4"/>
  <c r="G333" i="3"/>
  <c r="H333" i="3"/>
  <c r="I333" i="3"/>
  <c r="F333" i="3"/>
  <c r="G353" i="3"/>
  <c r="H353" i="3"/>
  <c r="I353" i="3"/>
  <c r="F353" i="3"/>
  <c r="H71" i="3"/>
  <c r="I71" i="3"/>
  <c r="G71" i="3"/>
  <c r="F71" i="3"/>
  <c r="F111" i="4"/>
  <c r="E111" i="4"/>
  <c r="D111" i="4"/>
  <c r="C111" i="4"/>
  <c r="H161" i="3"/>
  <c r="I161" i="3"/>
  <c r="G161" i="3"/>
  <c r="F161" i="3"/>
  <c r="H201" i="3"/>
  <c r="I201" i="3"/>
  <c r="G201" i="3"/>
  <c r="F201" i="3"/>
  <c r="F241" i="4"/>
  <c r="D241" i="4"/>
  <c r="E241" i="4"/>
  <c r="C241" i="4"/>
  <c r="F311" i="4"/>
  <c r="E311" i="4"/>
  <c r="D311" i="4"/>
  <c r="C311" i="4"/>
  <c r="F391" i="4"/>
  <c r="E391" i="4"/>
  <c r="D391" i="4"/>
  <c r="C391" i="4"/>
  <c r="F471" i="4"/>
  <c r="E471" i="4"/>
  <c r="D471" i="4"/>
  <c r="C471" i="4"/>
  <c r="E541" i="4"/>
  <c r="D541" i="4"/>
  <c r="C541" i="4"/>
  <c r="F541" i="4"/>
  <c r="I691" i="3"/>
  <c r="H691" i="3"/>
  <c r="F691" i="3"/>
  <c r="G691" i="3"/>
  <c r="I761" i="3"/>
  <c r="H761" i="3"/>
  <c r="G761" i="3"/>
  <c r="F761" i="3"/>
  <c r="I801" i="3"/>
  <c r="H801" i="3"/>
  <c r="G801" i="3"/>
  <c r="F801" i="3"/>
  <c r="I911" i="3"/>
  <c r="H911" i="3"/>
  <c r="F911" i="3"/>
  <c r="G911" i="3"/>
  <c r="I951" i="3"/>
  <c r="H951" i="3"/>
  <c r="F951" i="3"/>
  <c r="G951" i="3"/>
  <c r="F991" i="4"/>
  <c r="D991" i="4"/>
  <c r="E991" i="4"/>
  <c r="C991" i="4"/>
  <c r="G223" i="3"/>
  <c r="H223" i="3"/>
  <c r="I223" i="3"/>
  <c r="F223" i="3"/>
  <c r="G32" i="3"/>
  <c r="I32" i="3"/>
  <c r="F32" i="3"/>
  <c r="H102" i="3"/>
  <c r="G102" i="3"/>
  <c r="I102" i="3"/>
  <c r="F102" i="3"/>
  <c r="E132" i="4"/>
  <c r="D132" i="4"/>
  <c r="F132" i="4"/>
  <c r="C132" i="4"/>
  <c r="D172" i="4"/>
  <c r="E172" i="4"/>
  <c r="F172" i="4"/>
  <c r="C172" i="4"/>
  <c r="F212" i="4"/>
  <c r="E212" i="4"/>
  <c r="D212" i="4"/>
  <c r="C212" i="4"/>
  <c r="H282" i="3"/>
  <c r="I282" i="3"/>
  <c r="G282" i="3"/>
  <c r="F282" i="3"/>
  <c r="F312" i="4"/>
  <c r="E312" i="4"/>
  <c r="D312" i="4"/>
  <c r="C312" i="4"/>
  <c r="F422" i="4"/>
  <c r="E422" i="4"/>
  <c r="D422" i="4"/>
  <c r="C422" i="4"/>
  <c r="H462" i="3"/>
  <c r="I462" i="3"/>
  <c r="G462" i="3"/>
  <c r="F462" i="3"/>
  <c r="H552" i="3"/>
  <c r="I552" i="3"/>
  <c r="G552" i="3"/>
  <c r="F552" i="3"/>
  <c r="H602" i="3"/>
  <c r="I602" i="3"/>
  <c r="G602" i="3"/>
  <c r="F602" i="3"/>
  <c r="F662" i="4"/>
  <c r="E662" i="4"/>
  <c r="D662" i="4"/>
  <c r="C662" i="4"/>
  <c r="H702" i="3"/>
  <c r="I702" i="3"/>
  <c r="G702" i="3"/>
  <c r="F702" i="3"/>
  <c r="H772" i="3"/>
  <c r="I772" i="3"/>
  <c r="G772" i="3"/>
  <c r="F772" i="3"/>
  <c r="H812" i="3"/>
  <c r="I812" i="3"/>
  <c r="F812" i="3"/>
  <c r="G812" i="3"/>
  <c r="F842" i="4"/>
  <c r="E842" i="4"/>
  <c r="D842" i="4"/>
  <c r="C842" i="4"/>
  <c r="F882" i="4"/>
  <c r="E882" i="4"/>
  <c r="D882" i="4"/>
  <c r="C882" i="4"/>
  <c r="H922" i="3"/>
  <c r="I922" i="3"/>
  <c r="G922" i="3"/>
  <c r="F922" i="3"/>
  <c r="F952" i="4"/>
  <c r="E952" i="4"/>
  <c r="D952" i="4"/>
  <c r="C952" i="4"/>
  <c r="F992" i="4"/>
  <c r="E992" i="4"/>
  <c r="C992" i="4"/>
  <c r="D992" i="4"/>
  <c r="F203" i="4"/>
  <c r="E203" i="4"/>
  <c r="D203" i="4"/>
  <c r="C203" i="4"/>
  <c r="E253" i="4"/>
  <c r="F253" i="4"/>
  <c r="C253" i="4"/>
  <c r="D253" i="4"/>
  <c r="F293" i="4"/>
  <c r="E293" i="4"/>
  <c r="C293" i="4"/>
  <c r="D293" i="4"/>
  <c r="F333" i="4"/>
  <c r="E333" i="4"/>
  <c r="D333" i="4"/>
  <c r="C333" i="4"/>
  <c r="F413" i="4"/>
  <c r="E413" i="4"/>
  <c r="D413" i="4"/>
  <c r="C413" i="4"/>
  <c r="E463" i="4"/>
  <c r="F463" i="4"/>
  <c r="D463" i="4"/>
  <c r="C463" i="4"/>
  <c r="H533" i="3"/>
  <c r="I533" i="3"/>
  <c r="G533" i="3"/>
  <c r="F533" i="3"/>
  <c r="H563" i="3"/>
  <c r="I563" i="3"/>
  <c r="G563" i="3"/>
  <c r="F563" i="3"/>
  <c r="F603" i="4"/>
  <c r="E603" i="4"/>
  <c r="D603" i="4"/>
  <c r="C603" i="4"/>
  <c r="H643" i="3"/>
  <c r="I643" i="3"/>
  <c r="F643" i="3"/>
  <c r="G643" i="3"/>
  <c r="E683" i="4"/>
  <c r="F683" i="4"/>
  <c r="C683" i="4"/>
  <c r="D683" i="4"/>
  <c r="E723" i="4"/>
  <c r="F723" i="4"/>
  <c r="D723" i="4"/>
  <c r="C723" i="4"/>
  <c r="H793" i="3"/>
  <c r="F793" i="3"/>
  <c r="G793" i="3"/>
  <c r="I793" i="3"/>
  <c r="E823" i="4"/>
  <c r="F823" i="4"/>
  <c r="D823" i="4"/>
  <c r="C823" i="4"/>
  <c r="H863" i="3"/>
  <c r="I863" i="3"/>
  <c r="G863" i="3"/>
  <c r="F863" i="3"/>
  <c r="H903" i="3"/>
  <c r="F903" i="3"/>
  <c r="G903" i="3"/>
  <c r="I903" i="3"/>
  <c r="F933" i="4"/>
  <c r="E933" i="4"/>
  <c r="D933" i="4"/>
  <c r="C933" i="4"/>
  <c r="E80" i="4"/>
  <c r="F80" i="4"/>
  <c r="C80" i="4"/>
  <c r="D80" i="4"/>
  <c r="E120" i="4"/>
  <c r="F120" i="4"/>
  <c r="D120" i="4"/>
  <c r="C120" i="4"/>
  <c r="I727" i="3"/>
  <c r="G727" i="3"/>
  <c r="F727" i="3"/>
  <c r="H727" i="3"/>
  <c r="F268" i="4"/>
  <c r="E268" i="4"/>
  <c r="D268" i="4"/>
  <c r="C268" i="4"/>
  <c r="I308" i="3"/>
  <c r="F308" i="3"/>
  <c r="G308" i="3"/>
  <c r="H308" i="3"/>
  <c r="I338" i="3"/>
  <c r="F338" i="3"/>
  <c r="G338" i="3"/>
  <c r="H338" i="3"/>
  <c r="E368" i="4"/>
  <c r="D368" i="4"/>
  <c r="C368" i="4"/>
  <c r="F368" i="4"/>
  <c r="I408" i="3"/>
  <c r="F408" i="3"/>
  <c r="G408" i="3"/>
  <c r="H408" i="3"/>
  <c r="I438" i="3"/>
  <c r="F438" i="3"/>
  <c r="G438" i="3"/>
  <c r="H438" i="3"/>
  <c r="I478" i="3"/>
  <c r="H478" i="3"/>
  <c r="F478" i="3"/>
  <c r="G478" i="3"/>
  <c r="F508" i="4"/>
  <c r="E508" i="4"/>
  <c r="D508" i="4"/>
  <c r="C508" i="4"/>
  <c r="F548" i="3"/>
  <c r="H548" i="3"/>
  <c r="G548" i="3"/>
  <c r="I548" i="3"/>
  <c r="F578" i="4"/>
  <c r="E578" i="4"/>
  <c r="D578" i="4"/>
  <c r="C578" i="4"/>
  <c r="F648" i="4"/>
  <c r="E648" i="4"/>
  <c r="D648" i="4"/>
  <c r="C648" i="4"/>
  <c r="F728" i="3"/>
  <c r="I728" i="3"/>
  <c r="G728" i="3"/>
  <c r="H728" i="3"/>
  <c r="F758" i="4"/>
  <c r="E758" i="4"/>
  <c r="C758" i="4"/>
  <c r="D758" i="4"/>
  <c r="F798" i="3"/>
  <c r="H798" i="3"/>
  <c r="G798" i="3"/>
  <c r="I798" i="3"/>
  <c r="F828" i="4"/>
  <c r="E828" i="4"/>
  <c r="D828" i="4"/>
  <c r="C828" i="4"/>
  <c r="F898" i="4"/>
  <c r="E898" i="4"/>
  <c r="D898" i="4"/>
  <c r="C898" i="4"/>
  <c r="F938" i="3"/>
  <c r="G938" i="3"/>
  <c r="I938" i="3"/>
  <c r="H938" i="3"/>
  <c r="F978" i="3"/>
  <c r="I978" i="3"/>
  <c r="H978" i="3"/>
  <c r="G978" i="3"/>
  <c r="C14" i="4"/>
  <c r="E14" i="4" s="1"/>
  <c r="F144" i="4"/>
  <c r="C144" i="4"/>
  <c r="E144" i="4"/>
  <c r="D144" i="4"/>
  <c r="G204" i="3"/>
  <c r="I204" i="3"/>
  <c r="H204" i="3"/>
  <c r="F204" i="3"/>
  <c r="F244" i="4"/>
  <c r="E244" i="4"/>
  <c r="C244" i="4"/>
  <c r="D244" i="4"/>
  <c r="I334" i="3"/>
  <c r="H334" i="3"/>
  <c r="G334" i="3"/>
  <c r="F334" i="3"/>
  <c r="I374" i="3"/>
  <c r="G374" i="3"/>
  <c r="F374" i="3"/>
  <c r="H374" i="3"/>
  <c r="F434" i="4"/>
  <c r="E434" i="4"/>
  <c r="C434" i="4"/>
  <c r="D434" i="4"/>
  <c r="H514" i="3"/>
  <c r="I514" i="3"/>
  <c r="F514" i="3"/>
  <c r="G514" i="3"/>
  <c r="F564" i="4"/>
  <c r="E564" i="4"/>
  <c r="D564" i="4"/>
  <c r="C564" i="4"/>
  <c r="F714" i="4"/>
  <c r="E714" i="4"/>
  <c r="C714" i="4"/>
  <c r="D714" i="4"/>
  <c r="F784" i="4"/>
  <c r="E784" i="4"/>
  <c r="C784" i="4"/>
  <c r="D784" i="4"/>
  <c r="H864" i="3"/>
  <c r="I864" i="3"/>
  <c r="F864" i="3"/>
  <c r="G864" i="3"/>
  <c r="F904" i="4"/>
  <c r="E904" i="4"/>
  <c r="D904" i="4"/>
  <c r="C904" i="4"/>
  <c r="F135" i="4"/>
  <c r="E135" i="4"/>
  <c r="D135" i="4"/>
  <c r="C135" i="4"/>
  <c r="I740" i="3"/>
  <c r="H740" i="3"/>
  <c r="G740" i="3"/>
  <c r="F740" i="3"/>
  <c r="F99" i="4"/>
  <c r="E99" i="4"/>
  <c r="C99" i="4"/>
  <c r="D99" i="4"/>
  <c r="F129" i="4"/>
  <c r="E129" i="4"/>
  <c r="D129" i="4"/>
  <c r="C129" i="4"/>
  <c r="I169" i="3"/>
  <c r="G169" i="3"/>
  <c r="F169" i="3"/>
  <c r="H169" i="3"/>
  <c r="F199" i="4"/>
  <c r="E199" i="4"/>
  <c r="C199" i="4"/>
  <c r="D199" i="4"/>
  <c r="I239" i="3"/>
  <c r="G239" i="3"/>
  <c r="H239" i="3"/>
  <c r="F239" i="3"/>
  <c r="F269" i="4"/>
  <c r="D269" i="4"/>
  <c r="E269" i="4"/>
  <c r="C269" i="4"/>
  <c r="F309" i="4"/>
  <c r="D309" i="4"/>
  <c r="C309" i="4"/>
  <c r="E309" i="4"/>
  <c r="F379" i="4"/>
  <c r="E379" i="4"/>
  <c r="C379" i="4"/>
  <c r="D379" i="4"/>
  <c r="I419" i="3"/>
  <c r="H419" i="3"/>
  <c r="G419" i="3"/>
  <c r="F419" i="3"/>
  <c r="I449" i="3"/>
  <c r="G449" i="3"/>
  <c r="F449" i="3"/>
  <c r="H449" i="3"/>
  <c r="I519" i="3"/>
  <c r="F519" i="3"/>
  <c r="H519" i="3"/>
  <c r="G519" i="3"/>
  <c r="I549" i="3"/>
  <c r="F549" i="3"/>
  <c r="H549" i="3"/>
  <c r="G549" i="3"/>
  <c r="F579" i="4"/>
  <c r="E579" i="4"/>
  <c r="D579" i="4"/>
  <c r="C579" i="4"/>
  <c r="F679" i="4"/>
  <c r="E679" i="4"/>
  <c r="D679" i="4"/>
  <c r="C679" i="4"/>
  <c r="I719" i="3"/>
  <c r="F719" i="3"/>
  <c r="H719" i="3"/>
  <c r="G719" i="3"/>
  <c r="I749" i="3"/>
  <c r="F749" i="3"/>
  <c r="H749" i="3"/>
  <c r="G749" i="3"/>
  <c r="F779" i="4"/>
  <c r="E779" i="4"/>
  <c r="D779" i="4"/>
  <c r="C779" i="4"/>
  <c r="I849" i="3"/>
  <c r="F849" i="3"/>
  <c r="H849" i="3"/>
  <c r="G849" i="3"/>
  <c r="F879" i="4"/>
  <c r="D879" i="4"/>
  <c r="C879" i="4"/>
  <c r="E879" i="4"/>
  <c r="I919" i="3"/>
  <c r="F919" i="3"/>
  <c r="H919" i="3"/>
  <c r="G919" i="3"/>
  <c r="F979" i="4"/>
  <c r="E979" i="4"/>
  <c r="D979" i="4"/>
  <c r="C979" i="4"/>
  <c r="E140" i="4"/>
  <c r="F140" i="4"/>
  <c r="C140" i="4"/>
  <c r="D140" i="4"/>
  <c r="F210" i="4"/>
  <c r="E210" i="4"/>
  <c r="C210" i="4"/>
  <c r="D210" i="4"/>
  <c r="I320" i="3"/>
  <c r="H320" i="3"/>
  <c r="F320" i="3"/>
  <c r="G320" i="3"/>
  <c r="E350" i="4"/>
  <c r="F350" i="4"/>
  <c r="C350" i="4"/>
  <c r="D350" i="4"/>
  <c r="I390" i="3"/>
  <c r="H390" i="3"/>
  <c r="G390" i="3"/>
  <c r="F390" i="3"/>
  <c r="F460" i="4"/>
  <c r="E460" i="4"/>
  <c r="C460" i="4"/>
  <c r="D460" i="4"/>
  <c r="I500" i="3"/>
  <c r="H500" i="3"/>
  <c r="G500" i="3"/>
  <c r="F500" i="3"/>
  <c r="F530" i="4"/>
  <c r="E530" i="4"/>
  <c r="C530" i="4"/>
  <c r="D530" i="4"/>
  <c r="F600" i="4"/>
  <c r="D600" i="4"/>
  <c r="E600" i="4"/>
  <c r="C600" i="4"/>
  <c r="F640" i="4"/>
  <c r="E640" i="4"/>
  <c r="D640" i="4"/>
  <c r="C640" i="4"/>
  <c r="I680" i="3"/>
  <c r="H680" i="3"/>
  <c r="F680" i="3"/>
  <c r="G680" i="3"/>
  <c r="I830" i="3"/>
  <c r="H830" i="3"/>
  <c r="F830" i="3"/>
  <c r="G830" i="3"/>
  <c r="I870" i="3"/>
  <c r="G870" i="3"/>
  <c r="F870" i="3"/>
  <c r="H870" i="3"/>
  <c r="F900" i="4"/>
  <c r="E900" i="4"/>
  <c r="D900" i="4"/>
  <c r="C900" i="4"/>
  <c r="F940" i="4"/>
  <c r="D940" i="4"/>
  <c r="E940" i="4"/>
  <c r="C940" i="4"/>
  <c r="H953" i="3"/>
  <c r="G953" i="3"/>
  <c r="I953" i="3"/>
  <c r="F953" i="3"/>
  <c r="E983" i="4"/>
  <c r="F983" i="4"/>
  <c r="C983" i="4"/>
  <c r="D983" i="4"/>
  <c r="G44" i="3"/>
  <c r="I44" i="3"/>
  <c r="F44" i="3"/>
  <c r="G404" i="3"/>
  <c r="I404" i="3"/>
  <c r="F404" i="3"/>
  <c r="H404" i="3"/>
  <c r="F474" i="4"/>
  <c r="E474" i="4"/>
  <c r="D474" i="4"/>
  <c r="C474" i="4"/>
  <c r="H614" i="3"/>
  <c r="I614" i="3"/>
  <c r="F614" i="3"/>
  <c r="G614" i="3"/>
  <c r="G954" i="3"/>
  <c r="I954" i="3"/>
  <c r="H954" i="3"/>
  <c r="F954" i="3"/>
  <c r="F994" i="4"/>
  <c r="E994" i="4"/>
  <c r="C994" i="4"/>
  <c r="D994" i="4"/>
  <c r="G145" i="3"/>
  <c r="H145" i="3"/>
  <c r="I145" i="3"/>
  <c r="F145" i="3"/>
  <c r="F275" i="4"/>
  <c r="E275" i="4"/>
  <c r="C275" i="4"/>
  <c r="D275" i="4"/>
  <c r="F625" i="4"/>
  <c r="E625" i="4"/>
  <c r="D625" i="4"/>
  <c r="C625" i="4"/>
  <c r="E855" i="4"/>
  <c r="F855" i="4"/>
  <c r="D855" i="4"/>
  <c r="C855" i="4"/>
  <c r="F485" i="4"/>
  <c r="D485" i="4"/>
  <c r="E485" i="4"/>
  <c r="C485" i="4"/>
  <c r="F705" i="4"/>
  <c r="D705" i="4"/>
  <c r="E705" i="4"/>
  <c r="C705" i="4"/>
  <c r="F805" i="4"/>
  <c r="D805" i="4"/>
  <c r="C805" i="4"/>
  <c r="E805" i="4"/>
  <c r="G775" i="3"/>
  <c r="I775" i="3"/>
  <c r="H775" i="3"/>
  <c r="F775" i="3"/>
  <c r="G35" i="3"/>
  <c r="I35" i="3"/>
  <c r="F35" i="3"/>
  <c r="F335" i="4"/>
  <c r="E335" i="4"/>
  <c r="D335" i="4"/>
  <c r="C335" i="4"/>
  <c r="F605" i="4"/>
  <c r="E605" i="4"/>
  <c r="D605" i="4"/>
  <c r="C605" i="4"/>
  <c r="I476" i="3"/>
  <c r="F476" i="3"/>
  <c r="H476" i="3"/>
  <c r="G476" i="3"/>
  <c r="F116" i="4"/>
  <c r="E116" i="4"/>
  <c r="D116" i="4"/>
  <c r="C116" i="4"/>
  <c r="I156" i="3"/>
  <c r="F156" i="3"/>
  <c r="H156" i="3"/>
  <c r="G156" i="3"/>
  <c r="F216" i="4"/>
  <c r="D216" i="4"/>
  <c r="E216" i="4"/>
  <c r="C216" i="4"/>
  <c r="F286" i="4"/>
  <c r="E286" i="4"/>
  <c r="D286" i="4"/>
  <c r="C286" i="4"/>
  <c r="F426" i="4"/>
  <c r="E426" i="4"/>
  <c r="D426" i="4"/>
  <c r="C426" i="4"/>
  <c r="F536" i="4"/>
  <c r="E536" i="4"/>
  <c r="D536" i="4"/>
  <c r="C536" i="4"/>
  <c r="F606" i="4"/>
  <c r="E606" i="4"/>
  <c r="D606" i="4"/>
  <c r="C606" i="4"/>
  <c r="G686" i="3"/>
  <c r="I686" i="3"/>
  <c r="H686" i="3"/>
  <c r="F686" i="3"/>
  <c r="G716" i="3"/>
  <c r="H716" i="3"/>
  <c r="I716" i="3"/>
  <c r="F716" i="3"/>
  <c r="G756" i="3"/>
  <c r="I756" i="3"/>
  <c r="H756" i="3"/>
  <c r="F756" i="3"/>
  <c r="F786" i="4"/>
  <c r="E786" i="4"/>
  <c r="D786" i="4"/>
  <c r="C786" i="4"/>
  <c r="F856" i="4"/>
  <c r="E856" i="4"/>
  <c r="D856" i="4"/>
  <c r="C856" i="4"/>
  <c r="I84" i="3"/>
  <c r="G84" i="3"/>
  <c r="H84" i="3"/>
  <c r="F84" i="3"/>
  <c r="G305" i="3"/>
  <c r="H305" i="3"/>
  <c r="F305" i="3"/>
  <c r="I305" i="3"/>
  <c r="I455" i="3"/>
  <c r="F455" i="3"/>
  <c r="G455" i="3"/>
  <c r="H455" i="3"/>
  <c r="F845" i="4"/>
  <c r="E845" i="4"/>
  <c r="C845" i="4"/>
  <c r="D845" i="4"/>
  <c r="F197" i="4"/>
  <c r="E197" i="4"/>
  <c r="D197" i="4"/>
  <c r="C197" i="4"/>
  <c r="F297" i="4"/>
  <c r="D297" i="4"/>
  <c r="E297" i="4"/>
  <c r="C297" i="4"/>
  <c r="F367" i="4"/>
  <c r="E367" i="4"/>
  <c r="C367" i="4"/>
  <c r="D367" i="4"/>
  <c r="F407" i="3"/>
  <c r="I407" i="3"/>
  <c r="H407" i="3"/>
  <c r="G407" i="3"/>
  <c r="F437" i="3"/>
  <c r="H437" i="3"/>
  <c r="I437" i="3"/>
  <c r="G437" i="3"/>
  <c r="F467" i="4"/>
  <c r="E467" i="4"/>
  <c r="D467" i="4"/>
  <c r="C467" i="4"/>
  <c r="G507" i="3"/>
  <c r="H507" i="3"/>
  <c r="I507" i="3"/>
  <c r="F507" i="3"/>
  <c r="F537" i="4"/>
  <c r="D537" i="4"/>
  <c r="E537" i="4"/>
  <c r="C537" i="4"/>
  <c r="F607" i="4"/>
  <c r="E607" i="4"/>
  <c r="D607" i="4"/>
  <c r="C607" i="4"/>
  <c r="H647" i="3"/>
  <c r="G647" i="3"/>
  <c r="I647" i="3"/>
  <c r="F647" i="3"/>
  <c r="G687" i="3"/>
  <c r="H687" i="3"/>
  <c r="I687" i="3"/>
  <c r="F687" i="3"/>
  <c r="F717" i="4"/>
  <c r="E717" i="4"/>
  <c r="D717" i="4"/>
  <c r="C717" i="4"/>
  <c r="F757" i="4"/>
  <c r="E757" i="4"/>
  <c r="C757" i="4"/>
  <c r="D757" i="4"/>
  <c r="G917" i="3"/>
  <c r="H917" i="3"/>
  <c r="F917" i="3"/>
  <c r="I917" i="3"/>
  <c r="F947" i="4"/>
  <c r="E947" i="4"/>
  <c r="C947" i="4"/>
  <c r="D947" i="4"/>
  <c r="F987" i="4"/>
  <c r="E987" i="4"/>
  <c r="D987" i="4"/>
  <c r="C987" i="4"/>
  <c r="I38" i="3"/>
  <c r="F38" i="3"/>
  <c r="G38" i="3"/>
  <c r="F88" i="4"/>
  <c r="C88" i="4"/>
  <c r="E88" i="4"/>
  <c r="D88" i="4"/>
  <c r="F168" i="4"/>
  <c r="E168" i="4"/>
  <c r="D168" i="4"/>
  <c r="C168" i="4"/>
  <c r="F228" i="4"/>
  <c r="E228" i="4"/>
  <c r="C228" i="4"/>
  <c r="D228" i="4"/>
  <c r="F161" i="4"/>
  <c r="D161" i="4"/>
  <c r="E161" i="4"/>
  <c r="C161" i="4"/>
  <c r="H281" i="3"/>
  <c r="I281" i="3"/>
  <c r="G281" i="3"/>
  <c r="F281" i="3"/>
  <c r="E351" i="4"/>
  <c r="D351" i="4"/>
  <c r="F351" i="4"/>
  <c r="C351" i="4"/>
  <c r="H401" i="3"/>
  <c r="I401" i="3"/>
  <c r="G401" i="3"/>
  <c r="F401" i="3"/>
  <c r="F441" i="4"/>
  <c r="E441" i="4"/>
  <c r="D441" i="4"/>
  <c r="C441" i="4"/>
  <c r="H481" i="3"/>
  <c r="I481" i="3"/>
  <c r="G481" i="3"/>
  <c r="F481" i="3"/>
  <c r="F511" i="4"/>
  <c r="E511" i="4"/>
  <c r="D511" i="4"/>
  <c r="C511" i="4"/>
  <c r="I581" i="3"/>
  <c r="H581" i="3"/>
  <c r="F581" i="3"/>
  <c r="G581" i="3"/>
  <c r="F611" i="4"/>
  <c r="E611" i="4"/>
  <c r="D611" i="4"/>
  <c r="C611" i="4"/>
  <c r="I651" i="3"/>
  <c r="H651" i="3"/>
  <c r="G651" i="3"/>
  <c r="F651" i="3"/>
  <c r="F721" i="4"/>
  <c r="E721" i="4"/>
  <c r="C721" i="4"/>
  <c r="D721" i="4"/>
  <c r="F761" i="4"/>
  <c r="E761" i="4"/>
  <c r="C761" i="4"/>
  <c r="D761" i="4"/>
  <c r="F831" i="4"/>
  <c r="E831" i="4"/>
  <c r="D831" i="4"/>
  <c r="C831" i="4"/>
  <c r="F871" i="4"/>
  <c r="C871" i="4"/>
  <c r="E871" i="4"/>
  <c r="D871" i="4"/>
  <c r="F951" i="4"/>
  <c r="E951" i="4"/>
  <c r="D951" i="4"/>
  <c r="C951" i="4"/>
  <c r="E1002" i="3"/>
  <c r="I2" i="3"/>
  <c r="G2" i="3"/>
  <c r="F2" i="3"/>
  <c r="G243" i="3"/>
  <c r="H243" i="3"/>
  <c r="F243" i="3"/>
  <c r="I243" i="3"/>
  <c r="I72" i="3"/>
  <c r="H72" i="3"/>
  <c r="G72" i="3"/>
  <c r="F72" i="3"/>
  <c r="E102" i="4"/>
  <c r="F102" i="4"/>
  <c r="D102" i="4"/>
  <c r="C102" i="4"/>
  <c r="H252" i="3"/>
  <c r="I252" i="3"/>
  <c r="G252" i="3"/>
  <c r="F252" i="3"/>
  <c r="F282" i="4"/>
  <c r="D282" i="4"/>
  <c r="C282" i="4"/>
  <c r="E282" i="4"/>
  <c r="H352" i="3"/>
  <c r="I352" i="3"/>
  <c r="G352" i="3"/>
  <c r="F352" i="3"/>
  <c r="H392" i="3"/>
  <c r="I392" i="3"/>
  <c r="G392" i="3"/>
  <c r="F392" i="3"/>
  <c r="H432" i="3"/>
  <c r="I432" i="3"/>
  <c r="G432" i="3"/>
  <c r="F432" i="3"/>
  <c r="F462" i="4"/>
  <c r="E462" i="4"/>
  <c r="D462" i="4"/>
  <c r="C462" i="4"/>
  <c r="F512" i="4"/>
  <c r="E512" i="4"/>
  <c r="D512" i="4"/>
  <c r="C512" i="4"/>
  <c r="F552" i="4"/>
  <c r="E552" i="4"/>
  <c r="D552" i="4"/>
  <c r="C552" i="4"/>
  <c r="D632" i="4"/>
  <c r="E632" i="4"/>
  <c r="C632" i="4"/>
  <c r="F632" i="4"/>
  <c r="F732" i="4"/>
  <c r="E732" i="4"/>
  <c r="D732" i="4"/>
  <c r="C732" i="4"/>
  <c r="F772" i="4"/>
  <c r="E772" i="4"/>
  <c r="D772" i="4"/>
  <c r="C772" i="4"/>
  <c r="H852" i="3"/>
  <c r="I852" i="3"/>
  <c r="G852" i="3"/>
  <c r="F852" i="3"/>
  <c r="H892" i="3"/>
  <c r="I892" i="3"/>
  <c r="F892" i="3"/>
  <c r="G892" i="3"/>
  <c r="F962" i="4"/>
  <c r="E962" i="4"/>
  <c r="C962" i="4"/>
  <c r="D962" i="4"/>
  <c r="C53" i="4"/>
  <c r="E53" i="4" s="1"/>
  <c r="E83" i="4"/>
  <c r="D83" i="4"/>
  <c r="F83" i="4"/>
  <c r="C83" i="4"/>
  <c r="F113" i="4"/>
  <c r="E113" i="4"/>
  <c r="D113" i="4"/>
  <c r="C113" i="4"/>
  <c r="F163" i="4"/>
  <c r="E163" i="4"/>
  <c r="D163" i="4"/>
  <c r="C163" i="4"/>
  <c r="G213" i="3"/>
  <c r="H213" i="3"/>
  <c r="I213" i="3"/>
  <c r="F213" i="3"/>
  <c r="G383" i="3"/>
  <c r="H383" i="3"/>
  <c r="I383" i="3"/>
  <c r="F383" i="3"/>
  <c r="H503" i="3"/>
  <c r="I503" i="3"/>
  <c r="F503" i="3"/>
  <c r="G503" i="3"/>
  <c r="H573" i="3"/>
  <c r="I573" i="3"/>
  <c r="G573" i="3"/>
  <c r="F573" i="3"/>
  <c r="H613" i="3"/>
  <c r="I613" i="3"/>
  <c r="F613" i="3"/>
  <c r="G613" i="3"/>
  <c r="H693" i="3"/>
  <c r="F693" i="3"/>
  <c r="G693" i="3"/>
  <c r="I693" i="3"/>
  <c r="H733" i="3"/>
  <c r="I733" i="3"/>
  <c r="G733" i="3"/>
  <c r="F733" i="3"/>
  <c r="H763" i="3"/>
  <c r="I763" i="3"/>
  <c r="F763" i="3"/>
  <c r="G763" i="3"/>
  <c r="F793" i="4"/>
  <c r="E793" i="4"/>
  <c r="D793" i="4"/>
  <c r="C793" i="4"/>
  <c r="H833" i="3"/>
  <c r="I833" i="3"/>
  <c r="G833" i="3"/>
  <c r="F833" i="3"/>
  <c r="F863" i="4"/>
  <c r="E863" i="4"/>
  <c r="D863" i="4"/>
  <c r="C863" i="4"/>
  <c r="F903" i="4"/>
  <c r="E903" i="4"/>
  <c r="D903" i="4"/>
  <c r="C903" i="4"/>
  <c r="H943" i="3"/>
  <c r="I943" i="3"/>
  <c r="F943" i="3"/>
  <c r="G943" i="3"/>
  <c r="I50" i="3"/>
  <c r="G50" i="3"/>
  <c r="F50" i="3"/>
  <c r="I198" i="3"/>
  <c r="F198" i="3"/>
  <c r="H198" i="3"/>
  <c r="G198" i="3"/>
  <c r="I790" i="3"/>
  <c r="G790" i="3"/>
  <c r="H790" i="3"/>
  <c r="F790" i="3"/>
  <c r="F68" i="3"/>
  <c r="I68" i="3"/>
  <c r="G68" i="3"/>
  <c r="F218" i="4"/>
  <c r="D218" i="4"/>
  <c r="E218" i="4"/>
  <c r="C218" i="4"/>
  <c r="I278" i="3"/>
  <c r="H278" i="3"/>
  <c r="G278" i="3"/>
  <c r="F278" i="3"/>
  <c r="F338" i="4"/>
  <c r="E338" i="4"/>
  <c r="C338" i="4"/>
  <c r="D338" i="4"/>
  <c r="I378" i="3"/>
  <c r="H378" i="3"/>
  <c r="G378" i="3"/>
  <c r="F378" i="3"/>
  <c r="F438" i="4"/>
  <c r="E438" i="4"/>
  <c r="D438" i="4"/>
  <c r="C438" i="4"/>
  <c r="F518" i="3"/>
  <c r="G518" i="3"/>
  <c r="H518" i="3"/>
  <c r="I518" i="3"/>
  <c r="F588" i="3"/>
  <c r="G588" i="3"/>
  <c r="I588" i="3"/>
  <c r="H588" i="3"/>
  <c r="F618" i="4"/>
  <c r="E618" i="4"/>
  <c r="D618" i="4"/>
  <c r="C618" i="4"/>
  <c r="F688" i="4"/>
  <c r="E688" i="4"/>
  <c r="D688" i="4"/>
  <c r="C688" i="4"/>
  <c r="F768" i="3"/>
  <c r="G768" i="3"/>
  <c r="I768" i="3"/>
  <c r="H768" i="3"/>
  <c r="F838" i="3"/>
  <c r="G838" i="3"/>
  <c r="I838" i="3"/>
  <c r="H838" i="3"/>
  <c r="E868" i="4"/>
  <c r="F868" i="4"/>
  <c r="D868" i="4"/>
  <c r="C868" i="4"/>
  <c r="F938" i="4"/>
  <c r="E938" i="4"/>
  <c r="C938" i="4"/>
  <c r="D938" i="4"/>
  <c r="G34" i="3"/>
  <c r="I34" i="3"/>
  <c r="F34" i="3"/>
  <c r="I94" i="3"/>
  <c r="G94" i="3"/>
  <c r="F94" i="3"/>
  <c r="H94" i="3"/>
  <c r="F204" i="4"/>
  <c r="E204" i="4"/>
  <c r="D204" i="4"/>
  <c r="C204" i="4"/>
  <c r="I294" i="3"/>
  <c r="G294" i="3"/>
  <c r="H294" i="3"/>
  <c r="F294" i="3"/>
  <c r="F374" i="4"/>
  <c r="E374" i="4"/>
  <c r="D374" i="4"/>
  <c r="C374" i="4"/>
  <c r="I454" i="3"/>
  <c r="F454" i="3"/>
  <c r="G454" i="3"/>
  <c r="H454" i="3"/>
  <c r="H584" i="3"/>
  <c r="G584" i="3"/>
  <c r="I584" i="3"/>
  <c r="F584" i="3"/>
  <c r="E654" i="4"/>
  <c r="F654" i="4"/>
  <c r="D654" i="4"/>
  <c r="C654" i="4"/>
  <c r="H724" i="3"/>
  <c r="F724" i="3"/>
  <c r="I724" i="3"/>
  <c r="G724" i="3"/>
  <c r="F754" i="4"/>
  <c r="E754" i="4"/>
  <c r="D754" i="4"/>
  <c r="C754" i="4"/>
  <c r="E824" i="4"/>
  <c r="F824" i="4"/>
  <c r="C824" i="4"/>
  <c r="D824" i="4"/>
  <c r="I924" i="3"/>
  <c r="H924" i="3"/>
  <c r="G924" i="3"/>
  <c r="F924" i="3"/>
  <c r="G175" i="3"/>
  <c r="I175" i="3"/>
  <c r="H175" i="3"/>
  <c r="F175" i="3"/>
  <c r="F255" i="4"/>
  <c r="E255" i="4"/>
  <c r="D255" i="4"/>
  <c r="C255" i="4"/>
  <c r="H415" i="3"/>
  <c r="I415" i="3"/>
  <c r="G415" i="3"/>
  <c r="F415" i="3"/>
  <c r="F585" i="4"/>
  <c r="E585" i="4"/>
  <c r="D585" i="4"/>
  <c r="C585" i="4"/>
  <c r="F815" i="4"/>
  <c r="E815" i="4"/>
  <c r="D815" i="4"/>
  <c r="C815" i="4"/>
  <c r="I845" i="3"/>
  <c r="G845" i="3"/>
  <c r="H845" i="3"/>
  <c r="F845" i="3"/>
  <c r="I139" i="3"/>
  <c r="H139" i="3"/>
  <c r="F139" i="3"/>
  <c r="G139" i="3"/>
  <c r="I209" i="3"/>
  <c r="H209" i="3"/>
  <c r="G209" i="3"/>
  <c r="F209" i="3"/>
  <c r="I279" i="3"/>
  <c r="H279" i="3"/>
  <c r="G279" i="3"/>
  <c r="F279" i="3"/>
  <c r="I319" i="3"/>
  <c r="H319" i="3"/>
  <c r="F319" i="3"/>
  <c r="G319" i="3"/>
  <c r="F349" i="4"/>
  <c r="E349" i="4"/>
  <c r="C349" i="4"/>
  <c r="D349" i="4"/>
  <c r="I389" i="3"/>
  <c r="G389" i="3"/>
  <c r="F389" i="3"/>
  <c r="H389" i="3"/>
  <c r="F419" i="4"/>
  <c r="E419" i="4"/>
  <c r="C419" i="4"/>
  <c r="D419" i="4"/>
  <c r="I489" i="3"/>
  <c r="H489" i="3"/>
  <c r="G489" i="3"/>
  <c r="F489" i="3"/>
  <c r="F549" i="4"/>
  <c r="D549" i="4"/>
  <c r="C549" i="4"/>
  <c r="E549" i="4"/>
  <c r="I589" i="3"/>
  <c r="F589" i="3"/>
  <c r="G589" i="3"/>
  <c r="H589" i="3"/>
  <c r="I619" i="3"/>
  <c r="F619" i="3"/>
  <c r="G619" i="3"/>
  <c r="H619" i="3"/>
  <c r="F649" i="4"/>
  <c r="D649" i="4"/>
  <c r="C649" i="4"/>
  <c r="E649" i="4"/>
  <c r="I689" i="3"/>
  <c r="F689" i="3"/>
  <c r="G689" i="3"/>
  <c r="H689" i="3"/>
  <c r="F749" i="4"/>
  <c r="D749" i="4"/>
  <c r="E749" i="4"/>
  <c r="C749" i="4"/>
  <c r="I789" i="3"/>
  <c r="F789" i="3"/>
  <c r="G789" i="3"/>
  <c r="H789" i="3"/>
  <c r="I819" i="3"/>
  <c r="F819" i="3"/>
  <c r="G819" i="3"/>
  <c r="H819" i="3"/>
  <c r="F849" i="4"/>
  <c r="D849" i="4"/>
  <c r="E849" i="4"/>
  <c r="C849" i="4"/>
  <c r="I889" i="3"/>
  <c r="F889" i="3"/>
  <c r="G889" i="3"/>
  <c r="H889" i="3"/>
  <c r="F949" i="4"/>
  <c r="D949" i="4"/>
  <c r="E949" i="4"/>
  <c r="C949" i="4"/>
  <c r="I989" i="3"/>
  <c r="H989" i="3"/>
  <c r="F989" i="3"/>
  <c r="G989" i="3"/>
  <c r="I150" i="3"/>
  <c r="H150" i="3"/>
  <c r="G150" i="3"/>
  <c r="F150" i="3"/>
  <c r="F180" i="4"/>
  <c r="E180" i="4"/>
  <c r="C180" i="4"/>
  <c r="D180" i="4"/>
  <c r="I220" i="3"/>
  <c r="H220" i="3"/>
  <c r="G220" i="3"/>
  <c r="F220" i="3"/>
  <c r="I250" i="3"/>
  <c r="H250" i="3"/>
  <c r="G250" i="3"/>
  <c r="F250" i="3"/>
  <c r="F280" i="4"/>
  <c r="E280" i="4"/>
  <c r="C280" i="4"/>
  <c r="D280" i="4"/>
  <c r="I430" i="3"/>
  <c r="H430" i="3"/>
  <c r="G430" i="3"/>
  <c r="F430" i="3"/>
  <c r="I540" i="3"/>
  <c r="G540" i="3"/>
  <c r="H540" i="3"/>
  <c r="F540" i="3"/>
  <c r="F570" i="4"/>
  <c r="D570" i="4"/>
  <c r="C570" i="4"/>
  <c r="E570" i="4"/>
  <c r="F680" i="4"/>
  <c r="D680" i="4"/>
  <c r="E680" i="4"/>
  <c r="C680" i="4"/>
  <c r="I720" i="3"/>
  <c r="G720" i="3"/>
  <c r="H720" i="3"/>
  <c r="F720" i="3"/>
  <c r="F750" i="4"/>
  <c r="D750" i="4"/>
  <c r="E750" i="4"/>
  <c r="C750" i="4"/>
  <c r="F790" i="4"/>
  <c r="E790" i="4"/>
  <c r="D790" i="4"/>
  <c r="C790" i="4"/>
  <c r="F910" i="4"/>
  <c r="E910" i="4"/>
  <c r="D910" i="4"/>
  <c r="C910" i="4"/>
  <c r="I950" i="3"/>
  <c r="F950" i="3"/>
  <c r="H950" i="3"/>
  <c r="G950" i="3"/>
  <c r="F980" i="4"/>
  <c r="E980" i="4"/>
  <c r="C980" i="4"/>
  <c r="D980" i="4"/>
  <c r="E953" i="4"/>
  <c r="F953" i="4"/>
  <c r="D953" i="4"/>
  <c r="C953" i="4"/>
  <c r="F134" i="4"/>
  <c r="E134" i="4"/>
  <c r="D134" i="4"/>
  <c r="C134" i="4"/>
  <c r="F254" i="4"/>
  <c r="E254" i="4"/>
  <c r="C254" i="4"/>
  <c r="D254" i="4"/>
  <c r="G304" i="3"/>
  <c r="H304" i="3"/>
  <c r="F304" i="3"/>
  <c r="I304" i="3"/>
  <c r="F404" i="4"/>
  <c r="D404" i="4"/>
  <c r="C404" i="4"/>
  <c r="E404" i="4"/>
  <c r="E534" i="4"/>
  <c r="F534" i="4"/>
  <c r="D534" i="4"/>
  <c r="C534" i="4"/>
  <c r="F684" i="4"/>
  <c r="E684" i="4"/>
  <c r="D684" i="4"/>
  <c r="C684" i="4"/>
  <c r="F445" i="4"/>
  <c r="D445" i="4"/>
  <c r="E445" i="4"/>
  <c r="C445" i="4"/>
  <c r="G675" i="3"/>
  <c r="I675" i="3"/>
  <c r="H675" i="3"/>
  <c r="F675" i="3"/>
  <c r="G526" i="3"/>
  <c r="I526" i="3"/>
  <c r="H526" i="3"/>
  <c r="F526" i="3"/>
  <c r="G926" i="3"/>
  <c r="I926" i="3"/>
  <c r="F926" i="3"/>
  <c r="H926" i="3"/>
  <c r="H735" i="3"/>
  <c r="G735" i="3"/>
  <c r="I735" i="3"/>
  <c r="F735" i="3"/>
  <c r="G905" i="3"/>
  <c r="I905" i="3"/>
  <c r="F905" i="3"/>
  <c r="H905" i="3"/>
  <c r="H865" i="3"/>
  <c r="I865" i="3"/>
  <c r="G865" i="3"/>
  <c r="F865" i="3"/>
  <c r="G826" i="3"/>
  <c r="I826" i="3"/>
  <c r="H826" i="3"/>
  <c r="F826" i="3"/>
  <c r="F155" i="4"/>
  <c r="E155" i="4"/>
  <c r="C155" i="4"/>
  <c r="D155" i="4"/>
  <c r="F505" i="4"/>
  <c r="E505" i="4"/>
  <c r="D505" i="4"/>
  <c r="C505" i="4"/>
  <c r="G655" i="3"/>
  <c r="F655" i="3"/>
  <c r="I655" i="3"/>
  <c r="H655" i="3"/>
  <c r="F825" i="4"/>
  <c r="E825" i="4"/>
  <c r="C825" i="4"/>
  <c r="D825" i="4"/>
  <c r="F56" i="3"/>
  <c r="G56" i="3"/>
  <c r="I56" i="3"/>
  <c r="F86" i="4"/>
  <c r="E86" i="4"/>
  <c r="D86" i="4"/>
  <c r="C86" i="4"/>
  <c r="I126" i="3"/>
  <c r="F126" i="3"/>
  <c r="H126" i="3"/>
  <c r="G126" i="3"/>
  <c r="F186" i="4"/>
  <c r="D186" i="4"/>
  <c r="E186" i="4"/>
  <c r="C186" i="4"/>
  <c r="F256" i="4"/>
  <c r="E256" i="4"/>
  <c r="D256" i="4"/>
  <c r="C256" i="4"/>
  <c r="H296" i="3"/>
  <c r="I296" i="3"/>
  <c r="F296" i="3"/>
  <c r="G296" i="3"/>
  <c r="F326" i="3"/>
  <c r="I326" i="3"/>
  <c r="H326" i="3"/>
  <c r="G326" i="3"/>
  <c r="F356" i="4"/>
  <c r="E356" i="4"/>
  <c r="D356" i="4"/>
  <c r="C356" i="4"/>
  <c r="F396" i="4"/>
  <c r="E396" i="4"/>
  <c r="D396" i="4"/>
  <c r="C396" i="4"/>
  <c r="I436" i="3"/>
  <c r="H436" i="3"/>
  <c r="G436" i="3"/>
  <c r="F436" i="3"/>
  <c r="F466" i="4"/>
  <c r="E466" i="4"/>
  <c r="C466" i="4"/>
  <c r="D466" i="4"/>
  <c r="G506" i="3"/>
  <c r="H506" i="3"/>
  <c r="I506" i="3"/>
  <c r="F506" i="3"/>
  <c r="G546" i="3"/>
  <c r="H546" i="3"/>
  <c r="I546" i="3"/>
  <c r="F546" i="3"/>
  <c r="F576" i="4"/>
  <c r="E576" i="4"/>
  <c r="D576" i="4"/>
  <c r="C576" i="4"/>
  <c r="G616" i="3"/>
  <c r="H616" i="3"/>
  <c r="I616" i="3"/>
  <c r="F616" i="3"/>
  <c r="F646" i="4"/>
  <c r="E646" i="4"/>
  <c r="D646" i="4"/>
  <c r="C646" i="4"/>
  <c r="F716" i="4"/>
  <c r="E716" i="4"/>
  <c r="D716" i="4"/>
  <c r="C716" i="4"/>
  <c r="G796" i="3"/>
  <c r="I796" i="3"/>
  <c r="H796" i="3"/>
  <c r="F796" i="3"/>
  <c r="F826" i="4"/>
  <c r="D826" i="4"/>
  <c r="E826" i="4"/>
  <c r="C826" i="4"/>
  <c r="G866" i="3"/>
  <c r="H866" i="3"/>
  <c r="I866" i="3"/>
  <c r="F866" i="3"/>
  <c r="F896" i="4"/>
  <c r="E896" i="4"/>
  <c r="D896" i="4"/>
  <c r="C896" i="4"/>
  <c r="G936" i="3"/>
  <c r="H936" i="3"/>
  <c r="I936" i="3"/>
  <c r="F936" i="3"/>
  <c r="E966" i="4"/>
  <c r="F966" i="4"/>
  <c r="D966" i="4"/>
  <c r="C966" i="4"/>
  <c r="G205" i="3"/>
  <c r="I205" i="3"/>
  <c r="H205" i="3"/>
  <c r="F205" i="3"/>
  <c r="F305" i="4"/>
  <c r="E305" i="4"/>
  <c r="C305" i="4"/>
  <c r="D305" i="4"/>
  <c r="F615" i="4"/>
  <c r="E615" i="4"/>
  <c r="D615" i="4"/>
  <c r="C615" i="4"/>
  <c r="I27" i="3"/>
  <c r="F27" i="3"/>
  <c r="G27" i="3"/>
  <c r="F97" i="4"/>
  <c r="E97" i="4"/>
  <c r="D97" i="4"/>
  <c r="C97" i="4"/>
  <c r="I137" i="3"/>
  <c r="F137" i="3"/>
  <c r="H137" i="3"/>
  <c r="G137" i="3"/>
  <c r="F167" i="4"/>
  <c r="E167" i="4"/>
  <c r="C167" i="4"/>
  <c r="D167" i="4"/>
  <c r="F237" i="3"/>
  <c r="H237" i="3"/>
  <c r="G237" i="3"/>
  <c r="I237" i="3"/>
  <c r="F267" i="4"/>
  <c r="E267" i="4"/>
  <c r="C267" i="4"/>
  <c r="D267" i="4"/>
  <c r="F307" i="3"/>
  <c r="I307" i="3"/>
  <c r="G307" i="3"/>
  <c r="H307" i="3"/>
  <c r="F337" i="3"/>
  <c r="I337" i="3"/>
  <c r="G337" i="3"/>
  <c r="H337" i="3"/>
  <c r="F377" i="3"/>
  <c r="H377" i="3"/>
  <c r="G377" i="3"/>
  <c r="I377" i="3"/>
  <c r="F437" i="4"/>
  <c r="D437" i="4"/>
  <c r="E437" i="4"/>
  <c r="C437" i="4"/>
  <c r="F477" i="3"/>
  <c r="H477" i="3"/>
  <c r="I477" i="3"/>
  <c r="G477" i="3"/>
  <c r="H547" i="3"/>
  <c r="G547" i="3"/>
  <c r="I547" i="3"/>
  <c r="F547" i="3"/>
  <c r="F577" i="4"/>
  <c r="E577" i="4"/>
  <c r="D577" i="4"/>
  <c r="C577" i="4"/>
  <c r="F647" i="4"/>
  <c r="E647" i="4"/>
  <c r="D647" i="4"/>
  <c r="C647" i="4"/>
  <c r="G767" i="3"/>
  <c r="H767" i="3"/>
  <c r="F767" i="3"/>
  <c r="I767" i="3"/>
  <c r="F797" i="4"/>
  <c r="D797" i="4"/>
  <c r="E797" i="4"/>
  <c r="C797" i="4"/>
  <c r="F837" i="4"/>
  <c r="C837" i="4"/>
  <c r="E837" i="4"/>
  <c r="D837" i="4"/>
  <c r="E877" i="4"/>
  <c r="F877" i="4"/>
  <c r="D877" i="4"/>
  <c r="C877" i="4"/>
  <c r="G997" i="3"/>
  <c r="I997" i="3"/>
  <c r="H997" i="3"/>
  <c r="F997" i="3"/>
  <c r="I98" i="3"/>
  <c r="F98" i="3"/>
  <c r="H98" i="3"/>
  <c r="G98" i="3"/>
  <c r="F128" i="4"/>
  <c r="E128" i="4"/>
  <c r="D128" i="4"/>
  <c r="C128" i="4"/>
  <c r="I238" i="3"/>
  <c r="F238" i="3"/>
  <c r="H238" i="3"/>
  <c r="G238" i="3"/>
  <c r="H35" i="3" l="1"/>
  <c r="C35" i="4" s="1"/>
  <c r="D35" i="4" s="1"/>
  <c r="H57" i="3"/>
  <c r="C57" i="4" s="1"/>
  <c r="E57" i="4" s="1"/>
  <c r="H4" i="3"/>
  <c r="C4" i="4" s="1"/>
  <c r="D4" i="4" s="1"/>
  <c r="H70" i="3"/>
  <c r="C70" i="4" s="1"/>
  <c r="E70" i="4" s="1"/>
  <c r="H62" i="3"/>
  <c r="C62" i="4" s="1"/>
  <c r="E62" i="4" s="1"/>
  <c r="H27" i="3"/>
  <c r="C27" i="4" s="1"/>
  <c r="E27" i="4" s="1"/>
  <c r="H68" i="3"/>
  <c r="C68" i="4" s="1"/>
  <c r="E68" i="4" s="1"/>
  <c r="H49" i="3"/>
  <c r="C49" i="4" s="1"/>
  <c r="D49" i="4" s="1"/>
  <c r="H42" i="3"/>
  <c r="C42" i="4" s="1"/>
  <c r="E42" i="4" s="1"/>
  <c r="H41" i="3"/>
  <c r="C41" i="4" s="1"/>
  <c r="E41" i="4" s="1"/>
  <c r="H39" i="3"/>
  <c r="C39" i="4" s="1"/>
  <c r="D39" i="4" s="1"/>
  <c r="H7" i="3"/>
  <c r="C7" i="4" s="1"/>
  <c r="D7" i="4" s="1"/>
  <c r="H55" i="3"/>
  <c r="C55" i="4" s="1"/>
  <c r="D55" i="4" s="1"/>
  <c r="H38" i="3"/>
  <c r="C38" i="4" s="1"/>
  <c r="E38" i="4" s="1"/>
  <c r="H44" i="3"/>
  <c r="C44" i="4" s="1"/>
  <c r="E44" i="4" s="1"/>
  <c r="H20" i="3"/>
  <c r="C20" i="4" s="1"/>
  <c r="E20" i="4" s="1"/>
  <c r="H24" i="3"/>
  <c r="C24" i="4" s="1"/>
  <c r="D24" i="4" s="1"/>
  <c r="H60" i="3"/>
  <c r="C60" i="4" s="1"/>
  <c r="D60" i="4" s="1"/>
  <c r="H50" i="3"/>
  <c r="C50" i="4" s="1"/>
  <c r="D50" i="4" s="1"/>
  <c r="H61" i="3"/>
  <c r="C61" i="4" s="1"/>
  <c r="D61" i="4" s="1"/>
  <c r="H5" i="3"/>
  <c r="C5" i="4" s="1"/>
  <c r="E5" i="4" s="1"/>
  <c r="H16" i="3"/>
  <c r="C16" i="4" s="1"/>
  <c r="E16" i="4" s="1"/>
  <c r="H6" i="3"/>
  <c r="C6" i="4" s="1"/>
  <c r="D6" i="4" s="1"/>
  <c r="E11" i="4"/>
  <c r="F11" i="4" s="1"/>
  <c r="H67" i="3"/>
  <c r="C67" i="4" s="1"/>
  <c r="E67" i="4" s="1"/>
  <c r="D53" i="4"/>
  <c r="F53" i="4" s="1"/>
  <c r="H3" i="3"/>
  <c r="C3" i="4" s="1"/>
  <c r="E3" i="4" s="1"/>
  <c r="H30" i="3"/>
  <c r="C30" i="4" s="1"/>
  <c r="E30" i="4" s="1"/>
  <c r="H40" i="3"/>
  <c r="C40" i="4" s="1"/>
  <c r="E40" i="4" s="1"/>
  <c r="H17" i="3"/>
  <c r="C17" i="4" s="1"/>
  <c r="D17" i="4" s="1"/>
  <c r="H36" i="3"/>
  <c r="C36" i="4" s="1"/>
  <c r="E36" i="4" s="1"/>
  <c r="H37" i="3"/>
  <c r="C37" i="4" s="1"/>
  <c r="D37" i="4" s="1"/>
  <c r="H65" i="3"/>
  <c r="C65" i="4" s="1"/>
  <c r="D65" i="4" s="1"/>
  <c r="H58" i="3"/>
  <c r="C58" i="4" s="1"/>
  <c r="D58" i="4" s="1"/>
  <c r="H66" i="3"/>
  <c r="C66" i="4" s="1"/>
  <c r="E66" i="4" s="1"/>
  <c r="H64" i="3"/>
  <c r="C64" i="4" s="1"/>
  <c r="E64" i="4" s="1"/>
  <c r="H48" i="3"/>
  <c r="C48" i="4" s="1"/>
  <c r="D48" i="4" s="1"/>
  <c r="H29" i="3"/>
  <c r="C29" i="4" s="1"/>
  <c r="E29" i="4" s="1"/>
  <c r="H19" i="3"/>
  <c r="C19" i="4" s="1"/>
  <c r="D19" i="4" s="1"/>
  <c r="E51" i="4"/>
  <c r="F51" i="4" s="1"/>
  <c r="H8" i="3"/>
  <c r="C8" i="4" s="1"/>
  <c r="E8" i="4" s="1"/>
  <c r="H12" i="3"/>
  <c r="C12" i="4" s="1"/>
  <c r="D12" i="4" s="1"/>
  <c r="H9" i="3"/>
  <c r="C9" i="4" s="1"/>
  <c r="E9" i="4" s="1"/>
  <c r="D14" i="4"/>
  <c r="F14" i="4" s="1"/>
  <c r="H32" i="3"/>
  <c r="C32" i="4" s="1"/>
  <c r="D32" i="4" s="1"/>
  <c r="H46" i="3"/>
  <c r="C46" i="4" s="1"/>
  <c r="E46" i="4" s="1"/>
  <c r="E21" i="4"/>
  <c r="F21" i="4" s="1"/>
  <c r="D23" i="4"/>
  <c r="F23" i="4" s="1"/>
  <c r="H45" i="3"/>
  <c r="C45" i="4" s="1"/>
  <c r="H22" i="3"/>
  <c r="C22" i="4" s="1"/>
  <c r="D22" i="4" s="1"/>
  <c r="H28" i="3"/>
  <c r="C28" i="4" s="1"/>
  <c r="E28" i="4" s="1"/>
  <c r="H25" i="3"/>
  <c r="C25" i="4" s="1"/>
  <c r="D25" i="4" s="1"/>
  <c r="E69" i="4"/>
  <c r="D69" i="4"/>
  <c r="H52" i="3"/>
  <c r="C52" i="4" s="1"/>
  <c r="E52" i="4" s="1"/>
  <c r="H18" i="3"/>
  <c r="C18" i="4" s="1"/>
  <c r="D18" i="4" s="1"/>
  <c r="H54" i="3"/>
  <c r="C54" i="4" s="1"/>
  <c r="E54" i="4" s="1"/>
  <c r="H15" i="3"/>
  <c r="C15" i="4" s="1"/>
  <c r="E15" i="4" s="1"/>
  <c r="H34" i="3"/>
  <c r="C34" i="4" s="1"/>
  <c r="E34" i="4" s="1"/>
  <c r="H59" i="3"/>
  <c r="C59" i="4" s="1"/>
  <c r="D59" i="4" s="1"/>
  <c r="H47" i="3"/>
  <c r="C47" i="4" s="1"/>
  <c r="H63" i="3"/>
  <c r="C63" i="4" s="1"/>
  <c r="E63" i="4" s="1"/>
  <c r="H13" i="3"/>
  <c r="C13" i="4" s="1"/>
  <c r="D13" i="4" s="1"/>
  <c r="H26" i="3"/>
  <c r="C26" i="4" s="1"/>
  <c r="D26" i="4" s="1"/>
  <c r="F1002" i="3"/>
  <c r="B2" i="1" s="1"/>
  <c r="H56" i="3"/>
  <c r="C56" i="4" s="1"/>
  <c r="D56" i="4" s="1"/>
  <c r="H10" i="3"/>
  <c r="C10" i="4" s="1"/>
  <c r="E10" i="4" s="1"/>
  <c r="D33" i="4"/>
  <c r="F33" i="4" s="1"/>
  <c r="D57" i="4"/>
  <c r="E43" i="4"/>
  <c r="F43" i="4" s="1"/>
  <c r="E4" i="4"/>
  <c r="H2" i="3"/>
  <c r="G1002" i="3"/>
  <c r="B3" i="1" s="1"/>
  <c r="E7" i="4" l="1"/>
  <c r="E37" i="4"/>
  <c r="E35" i="4"/>
  <c r="F35" i="4" s="1"/>
  <c r="K3" i="3" a="1"/>
  <c r="K3" i="3" s="1"/>
  <c r="D68" i="4"/>
  <c r="D27" i="4"/>
  <c r="D20" i="4"/>
  <c r="D30" i="4"/>
  <c r="F57" i="4"/>
  <c r="E55" i="4"/>
  <c r="F55" i="4" s="1"/>
  <c r="E49" i="4"/>
  <c r="F49" i="4" s="1"/>
  <c r="D42" i="4"/>
  <c r="F42" i="4" s="1"/>
  <c r="E60" i="4"/>
  <c r="F60" i="4" s="1"/>
  <c r="D38" i="4"/>
  <c r="F38" i="4" s="1"/>
  <c r="D62" i="4"/>
  <c r="F62" i="4" s="1"/>
  <c r="D70" i="4"/>
  <c r="F70" i="4" s="1"/>
  <c r="E58" i="4"/>
  <c r="F58" i="4" s="1"/>
  <c r="D5" i="4"/>
  <c r="F5" i="4" s="1"/>
  <c r="D16" i="4"/>
  <c r="F16" i="4" s="1"/>
  <c r="D41" i="4"/>
  <c r="F41" i="4" s="1"/>
  <c r="E39" i="4"/>
  <c r="F39" i="4" s="1"/>
  <c r="F37" i="4"/>
  <c r="D8" i="4"/>
  <c r="F8" i="4" s="1"/>
  <c r="D44" i="4"/>
  <c r="F44" i="4" s="1"/>
  <c r="D36" i="4"/>
  <c r="F36" i="4" s="1"/>
  <c r="E25" i="4"/>
  <c r="F25" i="4" s="1"/>
  <c r="E65" i="4"/>
  <c r="F65" i="4" s="1"/>
  <c r="F20" i="4"/>
  <c r="E13" i="4"/>
  <c r="F13" i="4" s="1"/>
  <c r="E12" i="4"/>
  <c r="F12" i="4" s="1"/>
  <c r="E6" i="4"/>
  <c r="F6" i="4" s="1"/>
  <c r="E22" i="4"/>
  <c r="F22" i="4" s="1"/>
  <c r="D28" i="4"/>
  <c r="F28" i="4" s="1"/>
  <c r="D52" i="4"/>
  <c r="F52" i="4" s="1"/>
  <c r="D64" i="4"/>
  <c r="F64" i="4" s="1"/>
  <c r="D67" i="4"/>
  <c r="F67" i="4" s="1"/>
  <c r="D66" i="4"/>
  <c r="F66" i="4" s="1"/>
  <c r="F68" i="4"/>
  <c r="E61" i="4"/>
  <c r="F61" i="4" s="1"/>
  <c r="D10" i="4"/>
  <c r="F10" i="4" s="1"/>
  <c r="E32" i="4"/>
  <c r="F32" i="4" s="1"/>
  <c r="F7" i="4"/>
  <c r="E50" i="4"/>
  <c r="F50" i="4" s="1"/>
  <c r="D15" i="4"/>
  <c r="F15" i="4" s="1"/>
  <c r="E24" i="4"/>
  <c r="F24" i="4" s="1"/>
  <c r="E19" i="4"/>
  <c r="F19" i="4" s="1"/>
  <c r="D29" i="4"/>
  <c r="F29" i="4" s="1"/>
  <c r="D45" i="4"/>
  <c r="D34" i="4"/>
  <c r="F34" i="4" s="1"/>
  <c r="D9" i="4"/>
  <c r="F9" i="4" s="1"/>
  <c r="D40" i="4"/>
  <c r="F40" i="4" s="1"/>
  <c r="E59" i="4"/>
  <c r="F59" i="4" s="1"/>
  <c r="F4" i="4"/>
  <c r="E45" i="4"/>
  <c r="E17" i="4"/>
  <c r="F17" i="4" s="1"/>
  <c r="D3" i="4"/>
  <c r="F3" i="4" s="1"/>
  <c r="D46" i="4"/>
  <c r="F46" i="4" s="1"/>
  <c r="E48" i="4"/>
  <c r="F48" i="4" s="1"/>
  <c r="F69" i="4"/>
  <c r="F30" i="4"/>
  <c r="E18" i="4"/>
  <c r="F18" i="4" s="1"/>
  <c r="E56" i="4"/>
  <c r="F56" i="4" s="1"/>
  <c r="E26" i="4"/>
  <c r="F26" i="4" s="1"/>
  <c r="D47" i="4"/>
  <c r="D63" i="4"/>
  <c r="F63" i="4" s="1"/>
  <c r="D54" i="4"/>
  <c r="F54" i="4" s="1"/>
  <c r="E47" i="4"/>
  <c r="F27" i="4"/>
  <c r="H1002" i="3"/>
  <c r="B4" i="1" s="1"/>
  <c r="C2" i="4"/>
  <c r="F45" i="4" l="1"/>
  <c r="F47" i="4"/>
  <c r="C1002" i="4"/>
  <c r="E2" i="4"/>
  <c r="E1002" i="4" s="1"/>
  <c r="B6" i="1" s="1"/>
  <c r="D2" i="4"/>
  <c r="D1002" i="4" s="1"/>
  <c r="B5" i="1" s="1"/>
  <c r="F2" i="4" l="1"/>
  <c r="F1002" i="4" s="1"/>
  <c r="B7" i="1" s="1"/>
  <c r="B10" i="6"/>
  <c r="B9" i="6"/>
  <c r="J3" i="7" l="1"/>
  <c r="J2" i="7"/>
  <c r="J4" i="7" l="1"/>
  <c r="J5" i="7" l="1"/>
  <c r="J6" i="7"/>
  <c r="J7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<sst xmlns="http://schemas.openxmlformats.org/spreadsheetml/2006/main" count="154" uniqueCount="117">
  <si>
    <t>Resumen de Negocio</t>
  </si>
  <si>
    <t>Total vendido</t>
  </si>
  <si>
    <t>Dinero para resurtir</t>
  </si>
  <si>
    <t>Ganancia pura</t>
  </si>
  <si>
    <t>Fernando</t>
  </si>
  <si>
    <t>Roberto</t>
  </si>
  <si>
    <t>Isak</t>
  </si>
  <si>
    <t>ID</t>
  </si>
  <si>
    <t>Producto</t>
  </si>
  <si>
    <t>Lotes</t>
  </si>
  <si>
    <t>Piezas por producto</t>
  </si>
  <si>
    <t>Costo por producto</t>
  </si>
  <si>
    <t>Costo por pieza</t>
  </si>
  <si>
    <t>Precio al público</t>
  </si>
  <si>
    <t>Stock inicial</t>
  </si>
  <si>
    <t>AN ABE ENERGY DRINK 11.2 OZ 12PK TANG ORANGE</t>
  </si>
  <si>
    <t>BLOOM 25 SERV PAQUETE</t>
  </si>
  <si>
    <t>BLOOM SPAERKALING ENERGY 12OZ PEACH WATERMELON</t>
  </si>
  <si>
    <t>BLOOM SPARKLING ENERGY 12OZ PEACH MANGO</t>
  </si>
  <si>
    <t>BLOOM SPEARKLING ENERGY 12OZ PEACH LEMONS</t>
  </si>
  <si>
    <t>BLOOM SURTIDO</t>
  </si>
  <si>
    <t>CBUM ESSENTIAL PWO 30 SERV BLUE RASPBERRY</t>
  </si>
  <si>
    <t>CBUM ESSENTIAL PWO 30 SERV GUAVA</t>
  </si>
  <si>
    <t>CBUM ESSENTIAL PWO 30 SERV LYCHEE</t>
  </si>
  <si>
    <t>CBUM ESSENTIAL PWO 30SER GUAVA FRUIT</t>
  </si>
  <si>
    <t>CREATINA BIRDMAN</t>
  </si>
  <si>
    <t xml:space="preserve">CREATINA DRAGON PHARMACREATINE MONOHYDRATE 300 GRS UNFLAVORED </t>
  </si>
  <si>
    <t>CREATINA MONOHYDRATADA CAT 1000GR</t>
  </si>
  <si>
    <t>ENERGY 16 OZ 12 PK BLUE RASPBERRY "NUEVO SABOR</t>
  </si>
  <si>
    <t>FUEL DRINK 16 OZ/12PACK RING POP CHERRY</t>
  </si>
  <si>
    <t>GAT SPORT GLUTAMINA 300G</t>
  </si>
  <si>
    <t>GHOST ENERGY 16 OZ 12PK PEACHES</t>
  </si>
  <si>
    <t>ISO 100 1.3 LBS 20 SERV DUNKIN CAPPUCCIONO</t>
  </si>
  <si>
    <t>ISO 100 1.3 LBS 20 SERV DUNKIN GLAZED DONUT</t>
  </si>
  <si>
    <t>ISO 100 1.3 LBS 20 SERV DUNKIN GLAZED DONUT OFERTA</t>
  </si>
  <si>
    <t>ISOPHORM 5 LIBS VAINILLA SOFT</t>
  </si>
  <si>
    <t xml:space="preserve">OUTLET ISOFLEX 5LB CHOCOLATE PEANUT BUTTER </t>
  </si>
  <si>
    <t>PREENTRENO CBUM ESSENTIAL PWO 30 SERV ORANGE</t>
  </si>
  <si>
    <t>PREENTRENO HYDE NIGHTWARE PWO 30 SERV JAWBREAKER</t>
  </si>
  <si>
    <t>PREENTRENO PANDA</t>
  </si>
  <si>
    <t>PREENTRENO VENOM</t>
  </si>
  <si>
    <t>PREETRENO RYSE GODZILLA BACK BERRY LEMONADE</t>
  </si>
  <si>
    <t>PROTEIN BAR 12 PCK DOUBLE FUDGE BROWNIE</t>
  </si>
  <si>
    <t>PROTEINA ISIPHORM 5 LBS VAINILLA</t>
  </si>
  <si>
    <t>PROTEINA ISO HD 5 LBS COOKIES BUTTER</t>
  </si>
  <si>
    <t>PROTEINA ISO-HD 5 LBS COOKIES BUTTER</t>
  </si>
  <si>
    <t>PROTEINA ISOFIT 5 LBS STRAWBERRY AND CREAM</t>
  </si>
  <si>
    <t>PREENTRENO CBUM ESSENTIAL PWO 30 SERV RED WHITE AND BUM</t>
  </si>
  <si>
    <t>CREATINA MONOHIDRATADA CAT 300GR</t>
  </si>
  <si>
    <t>Piezas vendidas</t>
  </si>
  <si>
    <t>Stock actual</t>
  </si>
  <si>
    <t>TOTAL</t>
  </si>
  <si>
    <t>📖 Cómo usar este archivo</t>
  </si>
  <si>
    <t>✅ AGREGAR NUEVO PRODUCTO:</t>
  </si>
  <si>
    <t>1. Ve a la hoja "Productos"</t>
  </si>
  <si>
    <t>2. En la siguiente fila vacía, ingresa el nombre del producto en columna B</t>
  </si>
  <si>
    <t>3. El ID se genera AUTOMÁTICAMENTE (P010, P011, etc.)</t>
  </si>
  <si>
    <t>4. Llena: Lotes, Piezas por producto, Costo, Precio y Stock inicial</t>
  </si>
  <si>
    <t>5. ¡El producto aparecerá automáticamente en Ventas y Reparto!</t>
  </si>
  <si>
    <t>📝 REGISTRAR VENTAS:</t>
  </si>
  <si>
    <t>• En la hoja "Ventas", solo edita la columna "Piezas vendidas" (D)</t>
  </si>
  <si>
    <t>• Todo lo demás se calcula automáticamente</t>
  </si>
  <si>
    <t>⚠️ ALERTAS:</t>
  </si>
  <si>
    <t>• Cuando el Stock actual sea 2 o menos, la celda se pone ROJA</t>
  </si>
  <si>
    <t>📊 Seguimiento Semanal de Cortes</t>
  </si>
  <si>
    <t>Concepto</t>
  </si>
  <si>
    <t>Semana 1</t>
  </si>
  <si>
    <t>Fecha</t>
  </si>
  <si>
    <t>Semana 2</t>
  </si>
  <si>
    <t>Semana 3</t>
  </si>
  <si>
    <t>Semana 4</t>
  </si>
  <si>
    <t>💰 Ganancia</t>
  </si>
  <si>
    <t>🛒 Total Vendido</t>
  </si>
  <si>
    <t>📈 ACUMULADOS</t>
  </si>
  <si>
    <t>Ganancia Total:</t>
  </si>
  <si>
    <t>Ventas Total:</t>
  </si>
  <si>
    <t>📝 Instrucciones:</t>
  </si>
  <si>
    <t>• Ingresa la ganancia y total vendido de cada semana cuando hagas corte</t>
  </si>
  <si>
    <t>• Registra la fecha del corte en la columna correspondiente</t>
  </si>
  <si>
    <t>• Los acumulados se calculan automáticamente</t>
  </si>
  <si>
    <t>VASOS SHAKERS</t>
  </si>
  <si>
    <t>PREENTRENO BUCKED UP MOTHER BUCKER 20 SRV MIAMI</t>
  </si>
  <si>
    <t>PREENTRENO HYDE NIGHTMARE PWO 30 SERV BLOOD BERRY</t>
  </si>
  <si>
    <t>PREENTRENO HYDE NIGHTMARE PWO 30 SERV JAWBREAKER</t>
  </si>
  <si>
    <t>CREATINA DRAGON PHARMA MONOHYDRATE 1KG</t>
  </si>
  <si>
    <t>DIPS DRAGON PHARMA</t>
  </si>
  <si>
    <t>PREENTRENO BLACK MAMBA 20 SERV GRAPE BUBLEGUM</t>
  </si>
  <si>
    <t>PROTEINA ISOPURE ZERO CARB 4.5 LBS VAINILLA</t>
  </si>
  <si>
    <t>PROTEINA ISOPHORM 5 LBS BLUEBERR ICE CREAM</t>
  </si>
  <si>
    <t>PRODUCTOS VENDIDOS</t>
  </si>
  <si>
    <t>Costo del producto</t>
  </si>
  <si>
    <t>Ganancia</t>
  </si>
  <si>
    <t>PREENTRENO VENOM (unidad)</t>
  </si>
  <si>
    <t>PREENTRENO RYSE LOADED PRE 30 SERV KOOL AID TROPICAL PUNCH</t>
  </si>
  <si>
    <t>BEBIDA CELSIUS</t>
  </si>
  <si>
    <t>PROTEINA RAW CBUM ITHOLATE 5 LBS COOKIES &amp; CREAM (UND)</t>
  </si>
  <si>
    <t>Estado</t>
  </si>
  <si>
    <t>TESTROL GOGA TESTROL GOLD 60 TABSLD</t>
  </si>
  <si>
    <t>DRAGON L-CARNITINE 32 SERV BLUE RASPBERRY</t>
  </si>
  <si>
    <t>HTP LIPODRENE AMARILLO 90 TABS</t>
  </si>
  <si>
    <t>RAW CREATINE MONOHYDRATE 250 SERV UNFLAVORED *NUEVO*</t>
  </si>
  <si>
    <t>RAW CREATINE MONOHYDRATE 100 SERV UNFLAVORED</t>
  </si>
  <si>
    <t>BSN NO-XPLODE VASO PUMP 24 SERV PINEAPPLE PUMP</t>
  </si>
  <si>
    <t>THINK HIGH PROTEIN 10 BARS CHUNKY PEANUT BUTTER</t>
  </si>
  <si>
    <t>THINK HIGH PROTEIN 10 BARS COOKIES &amp; CREAM</t>
  </si>
  <si>
    <t>PROTEINA BAR 12PACK DOUBLE FUDGE BRWNIE</t>
  </si>
  <si>
    <t>PREENTRENO BLACK MAMBA 20 SERV GRAPE BUBLEGUM (UND)</t>
  </si>
  <si>
    <t>PREENTRENO CBUM THAVAGE PWO 40 SERV 6 PEAT</t>
  </si>
  <si>
    <t>BSN PROTEIN CRIPS 12 BARS VANILLA MARSHMALLOW *OFERTA*</t>
  </si>
  <si>
    <t>ARMADA CITRATO DE MAGNESIO 1000 MG 100 CAPS</t>
  </si>
  <si>
    <t>ARMADA ASHWAGANDHA + L-TEANINA 600 MG 90 CAPS</t>
  </si>
  <si>
    <t>CREATINA BIRDMAN CON ELECTROLIT</t>
  </si>
  <si>
    <t>TOTAL WAR BLACK OPS 20 SERV TIGERS BLOOD *CAD 07/27*</t>
  </si>
  <si>
    <t>RAW CBUM ESSENTIAL PWO 30 SERV JAMAICA *EDICION LIMITADA*</t>
  </si>
  <si>
    <t>PREENTRENO PANDA FIRST BLOOD PWO 20 SERV SOUR BLUE RASPBERRY</t>
  </si>
  <si>
    <t xml:space="preserve">RAW MY COOKIE DEALER 113 G 12 PACK MILK &amp; COOKIES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</si>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</sst>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.00"/>
    <numFmt numFmtId="166" formatCode="dd/mm/yyyy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2E7D32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0" xfId="0" applyFont="1" applyFill="1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165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7" borderId="0" xfId="0" applyFont="1" applyFill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15" fontId="11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0" fontId="10" fillId="6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0" fontId="0" fillId="9" borderId="2" xfId="0" applyFill="1" applyBorder="1"/>
    <xf numFmtId="0" fontId="0" fillId="8" borderId="2" xfId="0" applyFill="1" applyBorder="1"/>
    <xf numFmtId="1" fontId="0" fillId="8" borderId="2" xfId="0" applyNumberFormat="1" applyFill="1" applyBorder="1"/>
    <xf numFmtId="164" fontId="0" fillId="8" borderId="2" xfId="0" applyNumberFormat="1" applyFill="1" applyBorder="1"/>
    <xf numFmtId="0" fontId="8" fillId="0" borderId="2" xfId="0" applyFont="1" applyBorder="1"/>
    <xf numFmtId="165" fontId="0" fillId="0" borderId="2" xfId="0" applyNumberFormat="1" applyBorder="1"/>
    <xf numFmtId="0" fontId="2" fillId="4" borderId="2" xfId="0" applyFont="1" applyFill="1" applyBorder="1"/>
    <xf numFmtId="0" fontId="13" fillId="10" borderId="3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3" fillId="11" borderId="0" xfId="0" applyFont="1" applyFill="1"/>
    <xf numFmtId="165" fontId="15" fillId="0" borderId="0" xfId="0" applyNumberFormat="1" applyFont="1"/>
    <xf numFmtId="0" fontId="13" fillId="11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66" fontId="10" fillId="0" borderId="0" xfId="0" applyNumberFormat="1" applyFont="1"/>
    <xf numFmtId="164" fontId="0" fillId="0" borderId="4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2" fillId="10" borderId="3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4" fillId="5" borderId="0" xfId="0" applyFont="1" applyFill="1"/>
    <xf numFmtId="0" fontId="9" fillId="5" borderId="0" xfId="0" applyFont="1" applyFill="1" applyAlignment="1">
      <alignment horizontal="center"/>
    </xf>
    <xf numFmtId="0" fontId="11" fillId="0" borderId="0" xfId="0" applyFont="1"/>
    <xf numFmtId="0" fontId="8" fillId="0" borderId="5" xfId="0" applyFont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6" xfId="0" applyFill="1" applyBorder="1"/>
    <xf numFmtId="1" fontId="16" fillId="0" borderId="2" xfId="0" applyNumberFormat="1" applyFont="1" applyBorder="1"/>
    <xf numFmtId="0" fontId="16" fillId="0" borderId="2" xfId="0" applyFont="1" applyBorder="1"/>
    <xf numFmtId="0" fontId="16" fillId="0" borderId="6" xfId="0" applyFont="1" applyFill="1" applyBorder="1"/>
    <xf numFmtId="0" fontId="8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165" fontId="3" fillId="0" borderId="0" xfId="0" applyNumberFormat="1" applyFont="1" applyFill="1" applyBorder="1"/>
    <xf numFmtId="165" fontId="3" fillId="0" borderId="0" xfId="0" applyNumberFormat="1" applyFont="1"/>
    <xf numFmtId="1" fontId="3" fillId="0" borderId="0" xfId="0" applyNumberFormat="1" applyFont="1" applyFill="1" applyBorder="1"/>
  </cellXfs>
  <cellStyles count="1">
    <cellStyle name="Normal" xfId="0" builtinId="0"/>
  </cellStyles>
  <dxfs count="1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E6B3B3"/>
          <bgColor rgb="FFE6B3B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6B3B3"/>
          <bgColor rgb="FFE6B3B3"/>
        </patternFill>
      </fill>
    </dxf>
    <dxf>
      <fill>
        <patternFill patternType="solid">
          <fgColor rgb="FFE6B3B3"/>
          <bgColor rgb="FFE6B3B3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6B3B3"/>
          <bgColor rgb="FFE6B3B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A962F9D-BFF3-3441-96E7-2E59089B49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fe122fd-efab-4c03-8f52-d9a79e30a8f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3A9F754-2017-184C-9580-A6D5524E816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c551381-fa04-42ef-b5c8-9d8fa1d0fc9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zoomScale="257" zoomScaleNormal="257" workbookViewId="0">
      <selection activeCell="A19" sqref="A19"/>
    </sheetView>
  </sheetViews>
  <sheetFormatPr baseColWidth="10" defaultColWidth="8.6640625" defaultRowHeight="15" x14ac:dyDescent="0.2"/>
  <cols>
    <col min="1" max="1" width="24" customWidth="1"/>
    <col min="2" max="2" width="21.5" customWidth="1"/>
    <col min="3" max="3" width="12.5" customWidth="1"/>
    <col min="4" max="4" width="11.6640625" customWidth="1"/>
    <col min="5" max="5" width="14.1640625" customWidth="1"/>
    <col min="6" max="6" width="14.5" customWidth="1"/>
    <col min="8" max="8" width="13" customWidth="1"/>
  </cols>
  <sheetData>
    <row r="1" spans="1:2" x14ac:dyDescent="0.2">
      <c r="A1" s="37" t="s">
        <v>0</v>
      </c>
      <c r="B1" s="38"/>
    </row>
    <row r="2" spans="1:2" x14ac:dyDescent="0.2">
      <c r="A2" s="1" t="s">
        <v>1</v>
      </c>
      <c r="B2" s="2">
        <f>Ventas!F1002</f>
        <v>8840</v>
      </c>
    </row>
    <row r="3" spans="1:2" x14ac:dyDescent="0.2">
      <c r="A3" s="1" t="s">
        <v>2</v>
      </c>
      <c r="B3" s="2">
        <f>Ventas!G1002</f>
        <v>6529.0914124635065</v>
      </c>
    </row>
    <row r="4" spans="1:2" x14ac:dyDescent="0.2">
      <c r="A4" s="1" t="s">
        <v>3</v>
      </c>
      <c r="B4" s="2">
        <f>Ventas!H1002</f>
        <v>2310.9085875364945</v>
      </c>
    </row>
    <row r="5" spans="1:2" x14ac:dyDescent="0.2">
      <c r="A5" s="1" t="s">
        <v>4</v>
      </c>
      <c r="B5" s="2">
        <f>Reparto!D1002</f>
        <v>770.30999999999983</v>
      </c>
    </row>
    <row r="6" spans="1:2" x14ac:dyDescent="0.2">
      <c r="A6" s="1" t="s">
        <v>5</v>
      </c>
      <c r="B6" s="2">
        <f>Reparto!E1002</f>
        <v>770.30999999999983</v>
      </c>
    </row>
    <row r="7" spans="1:2" x14ac:dyDescent="0.2">
      <c r="A7" s="1" t="s">
        <v>6</v>
      </c>
      <c r="B7" s="2">
        <f>Reparto!F1002</f>
        <v>770.28858753649467</v>
      </c>
    </row>
    <row r="19" spans="1:1" x14ac:dyDescent="0.2">
      <c r="A19" t="s">
        <v>116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000"/>
  <sheetViews>
    <sheetView showGridLines="0" topLeftCell="C1" zoomScale="180" zoomScaleNormal="180" workbookViewId="0">
      <pane ySplit="1" topLeftCell="A3" activePane="bottomLeft" state="frozen"/>
      <selection activeCell="C1" sqref="C1"/>
      <selection pane="bottomLeft" activeCell="G41" sqref="G41"/>
    </sheetView>
  </sheetViews>
  <sheetFormatPr baseColWidth="10" defaultColWidth="8.6640625" defaultRowHeight="15" x14ac:dyDescent="0.2"/>
  <cols>
    <col min="1" max="1" width="9.1640625" customWidth="1"/>
    <col min="2" max="2" width="59.83203125" customWidth="1"/>
    <col min="3" max="3" width="11.6640625" customWidth="1"/>
    <col min="4" max="4" width="15" customWidth="1"/>
    <col min="5" max="5" width="15.83203125" customWidth="1"/>
    <col min="6" max="6" width="15" customWidth="1"/>
    <col min="7" max="7" width="15.83203125" customWidth="1"/>
    <col min="8" max="8" width="13.33203125" customWidth="1"/>
    <col min="9" max="9" width="11.6640625" customWidth="1"/>
    <col min="10" max="10" width="9" customWidth="1"/>
  </cols>
  <sheetData>
    <row r="1" spans="1:10" x14ac:dyDescent="0.2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50</v>
      </c>
      <c r="J1" s="17" t="s">
        <v>96</v>
      </c>
    </row>
    <row r="2" spans="1:10" hidden="1" x14ac:dyDescent="0.2">
      <c r="A2" s="18" t="str">
        <f>IF(B2="","","P"&amp;TEXT(ROW()-1,"000"))</f>
        <v>P001</v>
      </c>
      <c r="B2" s="18" t="s">
        <v>15</v>
      </c>
      <c r="C2" s="19">
        <v>1</v>
      </c>
      <c r="D2" s="19">
        <v>12</v>
      </c>
      <c r="E2" s="20">
        <v>540</v>
      </c>
      <c r="F2" s="20">
        <f>IF(OR(E2="",D2="",D2=0),"",E2/D2)</f>
        <v>45</v>
      </c>
      <c r="G2" s="20">
        <f>IF(F2="","",ROUND(F2*1.33,0))</f>
        <v>60</v>
      </c>
      <c r="H2" s="19">
        <v>0</v>
      </c>
      <c r="I2" s="18">
        <f>IF($B2="","",H2-IF(Ventas!D2="",0,Ventas!D2))</f>
        <v>0</v>
      </c>
      <c r="J2" t="str">
        <f>IF($B2="","",IF(N(I2)=0,"Agotado","Activo"))</f>
        <v>Agotado</v>
      </c>
    </row>
    <row r="3" spans="1:10" x14ac:dyDescent="0.2">
      <c r="A3" s="18" t="str">
        <f t="shared" ref="A3:A66" si="0">IF(B3="","","P"&amp;TEXT(ROW()-1,"000"))</f>
        <v>P002</v>
      </c>
      <c r="B3" s="18" t="s">
        <v>110</v>
      </c>
      <c r="C3" s="19">
        <v>1</v>
      </c>
      <c r="D3" s="19">
        <v>1</v>
      </c>
      <c r="E3" s="20">
        <v>280</v>
      </c>
      <c r="F3" s="20">
        <f>IF(OR(E3="",D3="",D3=0),"",E3/D3)</f>
        <v>280</v>
      </c>
      <c r="G3" s="20">
        <v>350</v>
      </c>
      <c r="H3" s="47">
        <v>1</v>
      </c>
      <c r="I3" s="18">
        <f>IF($B3="","",H3-IF(Ventas!D3="",0,Ventas!D3))</f>
        <v>1</v>
      </c>
      <c r="J3" t="str">
        <f t="shared" ref="J3:J66" si="1">IF($B3="","",IF(N(I3)=0,"Agotado","Activo"))</f>
        <v>Activo</v>
      </c>
    </row>
    <row r="4" spans="1:10" x14ac:dyDescent="0.2">
      <c r="A4" s="18" t="str">
        <f t="shared" si="0"/>
        <v>P003</v>
      </c>
      <c r="B4" s="18" t="s">
        <v>109</v>
      </c>
      <c r="C4" s="19">
        <v>1</v>
      </c>
      <c r="D4" s="19">
        <v>1</v>
      </c>
      <c r="E4" s="20">
        <v>260</v>
      </c>
      <c r="F4" s="20">
        <f>IF(OR(E4="",D4="",D4=0),"",E4/D4)</f>
        <v>260</v>
      </c>
      <c r="G4" s="20">
        <v>350</v>
      </c>
      <c r="H4" s="19">
        <v>1</v>
      </c>
      <c r="I4" s="18">
        <f>IF($B4="","",H4-IF(Ventas!D4="",0,Ventas!D4))</f>
        <v>1</v>
      </c>
      <c r="J4" t="str">
        <f t="shared" si="1"/>
        <v>Activo</v>
      </c>
    </row>
    <row r="5" spans="1:10" x14ac:dyDescent="0.2">
      <c r="A5" s="18" t="str">
        <f t="shared" si="0"/>
        <v>P004</v>
      </c>
      <c r="B5" s="18" t="s">
        <v>94</v>
      </c>
      <c r="C5" s="19">
        <v>1</v>
      </c>
      <c r="D5" s="19">
        <v>12</v>
      </c>
      <c r="E5" s="20">
        <v>600</v>
      </c>
      <c r="F5" s="20">
        <f>IF(OR(E5="",D5="",D5=0),"",E5/D5)</f>
        <v>50</v>
      </c>
      <c r="G5" s="20">
        <v>70</v>
      </c>
      <c r="H5" s="19">
        <v>14</v>
      </c>
      <c r="I5" s="18">
        <f>IF($B5="","",H5-IF(Ventas!D5="",0,Ventas!D5))</f>
        <v>12</v>
      </c>
      <c r="J5" t="str">
        <f t="shared" si="1"/>
        <v>Activo</v>
      </c>
    </row>
    <row r="6" spans="1:10" x14ac:dyDescent="0.2">
      <c r="A6" s="18" t="str">
        <f t="shared" si="0"/>
        <v>P005</v>
      </c>
      <c r="B6" s="18" t="s">
        <v>16</v>
      </c>
      <c r="C6" s="19">
        <v>1</v>
      </c>
      <c r="D6" s="19">
        <v>1</v>
      </c>
      <c r="E6" s="20">
        <v>400</v>
      </c>
      <c r="F6" s="20">
        <f>IF(OR(E6="",D6="",D6=0),"",E6/D6)</f>
        <v>400</v>
      </c>
      <c r="G6" s="20">
        <v>450</v>
      </c>
      <c r="H6" s="19">
        <v>1</v>
      </c>
      <c r="I6" s="18">
        <f>IF($B6="","",H6-IF(Ventas!D6="",0,Ventas!D6))</f>
        <v>1</v>
      </c>
      <c r="J6" t="str">
        <f t="shared" si="1"/>
        <v>Activo</v>
      </c>
    </row>
    <row r="7" spans="1:10" hidden="1" x14ac:dyDescent="0.2">
      <c r="A7" s="18" t="str">
        <f t="shared" si="0"/>
        <v>P006</v>
      </c>
      <c r="B7" s="18" t="s">
        <v>17</v>
      </c>
      <c r="C7" s="19">
        <v>1</v>
      </c>
      <c r="D7" s="19">
        <v>12</v>
      </c>
      <c r="E7" s="20">
        <v>542</v>
      </c>
      <c r="F7" s="20">
        <f>IF(OR(E7="",D7="",D7=0),"",E7/D7)</f>
        <v>45.166666666666664</v>
      </c>
      <c r="G7" s="20">
        <v>65</v>
      </c>
      <c r="H7" s="47">
        <v>0</v>
      </c>
      <c r="I7" s="18">
        <f>IF($B7="","",H7-IF(Ventas!D7="",0,Ventas!D7))</f>
        <v>0</v>
      </c>
      <c r="J7" t="str">
        <f t="shared" si="1"/>
        <v>Agotado</v>
      </c>
    </row>
    <row r="8" spans="1:10" hidden="1" x14ac:dyDescent="0.2">
      <c r="A8" s="18" t="str">
        <f t="shared" si="0"/>
        <v>P007</v>
      </c>
      <c r="B8" s="18" t="s">
        <v>18</v>
      </c>
      <c r="C8" s="19">
        <v>1</v>
      </c>
      <c r="D8" s="19">
        <v>12</v>
      </c>
      <c r="E8" s="20">
        <v>542</v>
      </c>
      <c r="F8" s="20">
        <f>IF(OR(E8="",D8="",D8=0),"",E8/D8)</f>
        <v>45.166666666666664</v>
      </c>
      <c r="G8" s="20">
        <v>65</v>
      </c>
      <c r="H8" s="19">
        <v>0</v>
      </c>
      <c r="I8" s="18">
        <f>IF($B8="","",H8-IF(Ventas!D8="",0,Ventas!D8))</f>
        <v>0</v>
      </c>
      <c r="J8" t="str">
        <f t="shared" si="1"/>
        <v>Agotado</v>
      </c>
    </row>
    <row r="9" spans="1:10" hidden="1" x14ac:dyDescent="0.2">
      <c r="A9" s="18" t="str">
        <f t="shared" si="0"/>
        <v>P008</v>
      </c>
      <c r="B9" s="18" t="s">
        <v>19</v>
      </c>
      <c r="C9" s="19">
        <v>1</v>
      </c>
      <c r="D9" s="19">
        <v>12</v>
      </c>
      <c r="E9" s="20">
        <v>542</v>
      </c>
      <c r="F9" s="20">
        <f>IF(OR(E9="",D9="",D9=0),"",E9/D9)</f>
        <v>45.166666666666664</v>
      </c>
      <c r="G9" s="20">
        <v>65</v>
      </c>
      <c r="H9" s="19">
        <v>0</v>
      </c>
      <c r="I9" s="18">
        <f>IF($B9="","",H9-IF(Ventas!D9="",0,Ventas!D9))</f>
        <v>0</v>
      </c>
      <c r="J9" t="str">
        <f t="shared" si="1"/>
        <v>Agotado</v>
      </c>
    </row>
    <row r="10" spans="1:10" x14ac:dyDescent="0.2">
      <c r="A10" s="18" t="str">
        <f t="shared" si="0"/>
        <v>P009</v>
      </c>
      <c r="B10" s="18" t="s">
        <v>20</v>
      </c>
      <c r="C10" s="19">
        <v>1</v>
      </c>
      <c r="D10" s="19">
        <v>12</v>
      </c>
      <c r="E10" s="20">
        <v>550</v>
      </c>
      <c r="F10" s="20">
        <f>IF(OR(E10="",D10="",D10=0),"",E10/D10)</f>
        <v>45.833333333333336</v>
      </c>
      <c r="G10" s="20">
        <v>65</v>
      </c>
      <c r="H10" s="19">
        <v>11</v>
      </c>
      <c r="I10" s="18">
        <f>IF($B10="","",H10-IF(Ventas!D10="",0,Ventas!D10))</f>
        <v>1</v>
      </c>
      <c r="J10" t="str">
        <f t="shared" si="1"/>
        <v>Activo</v>
      </c>
    </row>
    <row r="11" spans="1:10" x14ac:dyDescent="0.2">
      <c r="A11" s="18" t="str">
        <f t="shared" si="0"/>
        <v>P010</v>
      </c>
      <c r="B11" s="18" t="s">
        <v>102</v>
      </c>
      <c r="C11" s="19">
        <v>1</v>
      </c>
      <c r="D11" s="19">
        <v>1</v>
      </c>
      <c r="E11" s="20">
        <v>411</v>
      </c>
      <c r="F11" s="20">
        <f>IF(OR(E11="",D11="",D11=0),"",E11/D11)</f>
        <v>411</v>
      </c>
      <c r="G11" s="20">
        <v>600</v>
      </c>
      <c r="H11" s="19">
        <v>1</v>
      </c>
      <c r="I11" s="18">
        <f>IF($B11="","",H11-IF(Ventas!D11="",0,Ventas!D11))</f>
        <v>1</v>
      </c>
      <c r="J11" t="str">
        <f t="shared" si="1"/>
        <v>Activo</v>
      </c>
    </row>
    <row r="12" spans="1:10" hidden="1" x14ac:dyDescent="0.2">
      <c r="A12" s="18" t="str">
        <f t="shared" si="0"/>
        <v>P011</v>
      </c>
      <c r="B12" s="18" t="s">
        <v>108</v>
      </c>
      <c r="C12" s="19">
        <v>1</v>
      </c>
      <c r="D12" s="19">
        <v>12</v>
      </c>
      <c r="E12" s="20">
        <v>600</v>
      </c>
      <c r="F12" s="20">
        <f>IF(OR(E12="",D12="",D12=0),"",E12/D12)</f>
        <v>50</v>
      </c>
      <c r="G12" s="20">
        <v>65</v>
      </c>
      <c r="H12" s="47">
        <v>12</v>
      </c>
      <c r="I12" s="18">
        <f>IF($B12="","",H12-IF(Ventas!D12="",0,Ventas!D12))</f>
        <v>0</v>
      </c>
      <c r="J12" t="str">
        <f t="shared" si="1"/>
        <v>Agotado</v>
      </c>
    </row>
    <row r="13" spans="1:10" hidden="1" x14ac:dyDescent="0.2">
      <c r="A13" s="18" t="str">
        <f t="shared" si="0"/>
        <v>P012</v>
      </c>
      <c r="B13" s="18" t="s">
        <v>21</v>
      </c>
      <c r="C13" s="19">
        <v>1</v>
      </c>
      <c r="D13" s="19">
        <v>30</v>
      </c>
      <c r="E13" s="20">
        <v>410</v>
      </c>
      <c r="F13" s="20">
        <f>IF(OR(E13="",D13="",D13=0),"",E13/D13)</f>
        <v>13.666666666666666</v>
      </c>
      <c r="G13" s="20">
        <v>25</v>
      </c>
      <c r="H13" s="47">
        <v>0</v>
      </c>
      <c r="I13" s="18">
        <f>IF($B13="","",H13-IF(Ventas!D13="",0,Ventas!D13))</f>
        <v>0</v>
      </c>
      <c r="J13" t="str">
        <f t="shared" si="1"/>
        <v>Agotado</v>
      </c>
    </row>
    <row r="14" spans="1:10" hidden="1" x14ac:dyDescent="0.2">
      <c r="A14" s="18" t="str">
        <f t="shared" si="0"/>
        <v>P013</v>
      </c>
      <c r="B14" s="18" t="s">
        <v>22</v>
      </c>
      <c r="C14" s="19">
        <v>1</v>
      </c>
      <c r="D14" s="19">
        <v>1</v>
      </c>
      <c r="E14" s="20">
        <v>355</v>
      </c>
      <c r="F14" s="20">
        <f>IF(OR(E14="",D14="",D14=0),"",E14/D14)</f>
        <v>355</v>
      </c>
      <c r="G14" s="20">
        <v>500</v>
      </c>
      <c r="H14" s="19">
        <v>0</v>
      </c>
      <c r="I14" s="18">
        <f>IF($B14="","",H14-IF(Ventas!D14="",0,Ventas!D14))</f>
        <v>0</v>
      </c>
      <c r="J14" t="str">
        <f t="shared" si="1"/>
        <v>Agotado</v>
      </c>
    </row>
    <row r="15" spans="1:10" hidden="1" x14ac:dyDescent="0.2">
      <c r="A15" s="18" t="str">
        <f t="shared" si="0"/>
        <v>P014</v>
      </c>
      <c r="B15" s="18" t="s">
        <v>23</v>
      </c>
      <c r="C15" s="19">
        <v>1</v>
      </c>
      <c r="D15" s="19">
        <v>33</v>
      </c>
      <c r="E15" s="36">
        <v>396</v>
      </c>
      <c r="F15" s="20">
        <f>IF(OR(E15="",D15="",D15=0),"",E15/D15)</f>
        <v>12</v>
      </c>
      <c r="G15" s="20">
        <v>25</v>
      </c>
      <c r="H15" s="47">
        <v>0</v>
      </c>
      <c r="I15" s="18">
        <f>IF($B15="","",H15-IF(Ventas!D15="",0,Ventas!D15))</f>
        <v>0</v>
      </c>
      <c r="J15" t="str">
        <f t="shared" si="1"/>
        <v>Agotado</v>
      </c>
    </row>
    <row r="16" spans="1:10" hidden="1" x14ac:dyDescent="0.2">
      <c r="A16" s="18" t="str">
        <f t="shared" si="0"/>
        <v>P015</v>
      </c>
      <c r="B16" s="22" t="s">
        <v>24</v>
      </c>
      <c r="C16" s="23">
        <v>1</v>
      </c>
      <c r="D16" s="23">
        <v>21</v>
      </c>
      <c r="E16" s="24">
        <v>400</v>
      </c>
      <c r="F16" s="20">
        <f>IF(OR(E16="",D16="",D16=0),"",E16/D16)</f>
        <v>19.047619047619047</v>
      </c>
      <c r="G16" s="24">
        <v>25</v>
      </c>
      <c r="H16" s="47">
        <v>0</v>
      </c>
      <c r="I16" s="18">
        <f>IF($B16="","",H16-IF(Ventas!D16="",0,Ventas!D16))</f>
        <v>0</v>
      </c>
      <c r="J16" t="str">
        <f t="shared" si="1"/>
        <v>Agotado</v>
      </c>
    </row>
    <row r="17" spans="1:10" x14ac:dyDescent="0.2">
      <c r="A17" s="18" t="str">
        <f t="shared" si="0"/>
        <v>P016</v>
      </c>
      <c r="B17" s="22" t="s">
        <v>25</v>
      </c>
      <c r="C17" s="23">
        <v>1</v>
      </c>
      <c r="D17" s="23">
        <v>2</v>
      </c>
      <c r="E17" s="24">
        <v>780</v>
      </c>
      <c r="F17" s="20">
        <f>IF(OR(E17="",D17="",D17=0),"",E17/D17)</f>
        <v>390</v>
      </c>
      <c r="G17" s="24">
        <v>430</v>
      </c>
      <c r="H17" s="47">
        <v>3</v>
      </c>
      <c r="I17" s="18">
        <v>3</v>
      </c>
      <c r="J17" t="str">
        <f t="shared" si="1"/>
        <v>Activo</v>
      </c>
    </row>
    <row r="18" spans="1:10" x14ac:dyDescent="0.2">
      <c r="A18" s="18" t="str">
        <f t="shared" si="0"/>
        <v>P017</v>
      </c>
      <c r="B18" s="18" t="s">
        <v>111</v>
      </c>
      <c r="C18" s="19">
        <v>1</v>
      </c>
      <c r="D18" s="19">
        <v>1</v>
      </c>
      <c r="E18" s="20">
        <v>350</v>
      </c>
      <c r="F18" s="20">
        <f>IF(OR(E18="",D18="",D18=0),"",E18/D18)</f>
        <v>350</v>
      </c>
      <c r="G18" s="20">
        <v>430</v>
      </c>
      <c r="H18" s="19">
        <v>2</v>
      </c>
      <c r="I18" s="18">
        <f>IF($B18="","",H18-IF(Ventas!D18="",0,Ventas!D18))</f>
        <v>1</v>
      </c>
      <c r="J18" t="str">
        <f t="shared" si="1"/>
        <v>Activo</v>
      </c>
    </row>
    <row r="19" spans="1:10" x14ac:dyDescent="0.2">
      <c r="A19" s="18" t="str">
        <f t="shared" si="0"/>
        <v>P018</v>
      </c>
      <c r="B19" s="18" t="s">
        <v>84</v>
      </c>
      <c r="C19" s="19">
        <v>1</v>
      </c>
      <c r="D19" s="19">
        <v>1</v>
      </c>
      <c r="E19" s="20">
        <v>458</v>
      </c>
      <c r="F19" s="20">
        <f>IF(OR(E19="",D19="",D19=0),"",E19/D19)</f>
        <v>458</v>
      </c>
      <c r="G19" s="20">
        <v>700</v>
      </c>
      <c r="H19" s="47">
        <v>2</v>
      </c>
      <c r="I19" s="18">
        <f>IF($B19="","",H19-IF(Ventas!D19="",0,Ventas!D19))</f>
        <v>2</v>
      </c>
      <c r="J19" t="str">
        <f t="shared" si="1"/>
        <v>Activo</v>
      </c>
    </row>
    <row r="20" spans="1:10" hidden="1" x14ac:dyDescent="0.2">
      <c r="A20" s="18" t="str">
        <f t="shared" si="0"/>
        <v>P019</v>
      </c>
      <c r="B20" s="21" t="s">
        <v>26</v>
      </c>
      <c r="C20" s="19">
        <v>1</v>
      </c>
      <c r="D20" s="19">
        <v>1</v>
      </c>
      <c r="E20" s="20">
        <v>300</v>
      </c>
      <c r="F20" s="20">
        <f>IF(OR(E20="",D20="",D20=0),"",E20/D20)</f>
        <v>300</v>
      </c>
      <c r="G20" s="20">
        <v>400</v>
      </c>
      <c r="H20" s="19">
        <v>0</v>
      </c>
      <c r="I20" s="18">
        <f>IF($B20="","",H20-IF(Ventas!D20="",0,Ventas!D20))</f>
        <v>0</v>
      </c>
      <c r="J20" t="str">
        <f t="shared" si="1"/>
        <v>Agotado</v>
      </c>
    </row>
    <row r="21" spans="1:10" x14ac:dyDescent="0.2">
      <c r="A21" s="18" t="str">
        <f t="shared" si="0"/>
        <v>P020</v>
      </c>
      <c r="B21" s="22" t="s">
        <v>48</v>
      </c>
      <c r="C21" s="19">
        <v>1</v>
      </c>
      <c r="D21" s="19">
        <v>1</v>
      </c>
      <c r="E21" s="20">
        <v>320</v>
      </c>
      <c r="F21" s="20">
        <f>IF(OR(E21="",D21="",D21=0),"",E21/D21)</f>
        <v>320</v>
      </c>
      <c r="G21" s="20">
        <v>350</v>
      </c>
      <c r="H21" s="47">
        <v>1</v>
      </c>
      <c r="I21" s="18">
        <f>IF($B21="","",H21-IF(Ventas!D21="",0,Ventas!D21))</f>
        <v>1</v>
      </c>
      <c r="J21" t="str">
        <f t="shared" si="1"/>
        <v>Activo</v>
      </c>
    </row>
    <row r="22" spans="1:10" x14ac:dyDescent="0.2">
      <c r="A22" s="18" t="str">
        <f t="shared" si="0"/>
        <v>P021</v>
      </c>
      <c r="B22" s="18" t="s">
        <v>27</v>
      </c>
      <c r="C22" s="19">
        <v>1</v>
      </c>
      <c r="D22" s="19">
        <v>1</v>
      </c>
      <c r="E22" s="20">
        <v>610</v>
      </c>
      <c r="F22" s="20">
        <f>IF(OR(E22="",D22="",D22=0),"",E22/D22)</f>
        <v>610</v>
      </c>
      <c r="G22" s="20">
        <v>700</v>
      </c>
      <c r="H22" s="19">
        <v>2</v>
      </c>
      <c r="I22" s="18">
        <f>IF($B22="","",H22-IF(Ventas!D22="",0,Ventas!D22))</f>
        <v>2</v>
      </c>
      <c r="J22" t="str">
        <f t="shared" si="1"/>
        <v>Activo</v>
      </c>
    </row>
    <row r="23" spans="1:10" x14ac:dyDescent="0.2">
      <c r="A23" s="18" t="str">
        <f t="shared" si="0"/>
        <v>P022</v>
      </c>
      <c r="B23" s="18" t="s">
        <v>85</v>
      </c>
      <c r="C23" s="19">
        <v>1</v>
      </c>
      <c r="D23" s="19">
        <v>1</v>
      </c>
      <c r="E23" s="20">
        <v>188</v>
      </c>
      <c r="F23" s="20">
        <f>IF(OR(E23="",D23="",D23=0),"",E23/D23)</f>
        <v>188</v>
      </c>
      <c r="G23" s="20">
        <v>280</v>
      </c>
      <c r="H23" s="19">
        <v>4</v>
      </c>
      <c r="I23" s="18">
        <f>IF($B23="","",H23-IF(Ventas!D23="",0,Ventas!D23))</f>
        <v>4</v>
      </c>
      <c r="J23" t="str">
        <f t="shared" si="1"/>
        <v>Activo</v>
      </c>
    </row>
    <row r="24" spans="1:10" x14ac:dyDescent="0.2">
      <c r="A24" s="18" t="str">
        <f t="shared" si="0"/>
        <v>P023</v>
      </c>
      <c r="B24" s="18" t="s">
        <v>98</v>
      </c>
      <c r="C24" s="19">
        <v>1</v>
      </c>
      <c r="D24" s="19">
        <v>1</v>
      </c>
      <c r="E24" s="20">
        <v>306</v>
      </c>
      <c r="F24" s="20">
        <f>IF(OR(E24="",D24="",D24=0),"",E24/D24)</f>
        <v>306</v>
      </c>
      <c r="G24" s="20">
        <v>400</v>
      </c>
      <c r="H24" s="47">
        <v>1</v>
      </c>
      <c r="I24" s="18">
        <f>IF($B24="","",H24-IF(Ventas!D24="",0,Ventas!D24))</f>
        <v>1</v>
      </c>
      <c r="J24" t="str">
        <f t="shared" si="1"/>
        <v>Activo</v>
      </c>
    </row>
    <row r="25" spans="1:10" hidden="1" x14ac:dyDescent="0.2">
      <c r="A25" s="18" t="str">
        <f t="shared" si="0"/>
        <v>P024</v>
      </c>
      <c r="B25" s="22" t="s">
        <v>28</v>
      </c>
      <c r="C25" s="23">
        <v>1</v>
      </c>
      <c r="D25" s="23">
        <v>12</v>
      </c>
      <c r="E25" s="24">
        <v>622</v>
      </c>
      <c r="F25" s="20">
        <f>IF(OR(E25="",D25="",D25=0),"",E25/D25)</f>
        <v>51.833333333333336</v>
      </c>
      <c r="G25" s="20">
        <v>70</v>
      </c>
      <c r="H25" s="19">
        <v>0</v>
      </c>
      <c r="I25" s="18">
        <f>IF($B25="","",H25-IF(Ventas!D25="",0,Ventas!D25))</f>
        <v>0</v>
      </c>
      <c r="J25" t="str">
        <f t="shared" si="1"/>
        <v>Agotado</v>
      </c>
    </row>
    <row r="26" spans="1:10" x14ac:dyDescent="0.2">
      <c r="A26" s="18" t="str">
        <f t="shared" si="0"/>
        <v>P025</v>
      </c>
      <c r="B26" s="22" t="s">
        <v>29</v>
      </c>
      <c r="C26" s="23">
        <v>1</v>
      </c>
      <c r="D26" s="23">
        <v>12</v>
      </c>
      <c r="E26" s="24">
        <v>591</v>
      </c>
      <c r="F26" s="20">
        <f>IF(OR(E26="",D26="",D26=0),"",E26/D26)</f>
        <v>49.25</v>
      </c>
      <c r="G26" s="20">
        <v>70</v>
      </c>
      <c r="H26" s="19">
        <v>12</v>
      </c>
      <c r="I26" s="18">
        <f>IF($B26="","",H26-IF(Ventas!D26="",0,Ventas!D26))</f>
        <v>12</v>
      </c>
      <c r="J26" t="str">
        <f t="shared" si="1"/>
        <v>Activo</v>
      </c>
    </row>
    <row r="27" spans="1:10" hidden="1" x14ac:dyDescent="0.2">
      <c r="A27" s="18" t="str">
        <f t="shared" si="0"/>
        <v>P026</v>
      </c>
      <c r="B27" s="18" t="s">
        <v>30</v>
      </c>
      <c r="C27" s="19">
        <v>1</v>
      </c>
      <c r="D27" s="19">
        <v>1</v>
      </c>
      <c r="E27" s="20">
        <v>330</v>
      </c>
      <c r="F27" s="20">
        <f>IF(OR(E27="",D27="",D27=0),"",E27/D27)</f>
        <v>330</v>
      </c>
      <c r="G27" s="20">
        <v>400</v>
      </c>
      <c r="H27" s="47">
        <v>0</v>
      </c>
      <c r="I27" s="18">
        <f>IF($B27="","",H27-IF(Ventas!D27="",0,Ventas!D27))</f>
        <v>0</v>
      </c>
      <c r="J27" t="str">
        <f t="shared" si="1"/>
        <v>Agotado</v>
      </c>
    </row>
    <row r="28" spans="1:10" x14ac:dyDescent="0.2">
      <c r="A28" s="18" t="str">
        <f t="shared" si="0"/>
        <v>P027</v>
      </c>
      <c r="B28" s="18" t="s">
        <v>31</v>
      </c>
      <c r="C28" s="19">
        <v>1</v>
      </c>
      <c r="D28" s="19">
        <v>12</v>
      </c>
      <c r="E28" s="20">
        <v>632</v>
      </c>
      <c r="F28" s="20">
        <f>IF(OR(E28="",D28="",D28=0),"",E28/D28)</f>
        <v>52.666666666666664</v>
      </c>
      <c r="G28" s="20">
        <v>70</v>
      </c>
      <c r="H28" s="47">
        <v>2</v>
      </c>
      <c r="I28" s="18">
        <f>IF($B28="","",H28-IF(Ventas!D28="",0,Ventas!D28))</f>
        <v>2</v>
      </c>
      <c r="J28" t="str">
        <f t="shared" si="1"/>
        <v>Activo</v>
      </c>
    </row>
    <row r="29" spans="1:10" hidden="1" x14ac:dyDescent="0.2">
      <c r="A29" s="18" t="str">
        <f t="shared" si="0"/>
        <v>P028</v>
      </c>
      <c r="B29" s="18" t="s">
        <v>99</v>
      </c>
      <c r="C29" s="19">
        <v>1</v>
      </c>
      <c r="D29" s="19">
        <v>1</v>
      </c>
      <c r="E29" s="20">
        <v>490</v>
      </c>
      <c r="F29" s="20">
        <f>IF(OR(E29="",D29="",D29=0),"",E29/D29)</f>
        <v>490</v>
      </c>
      <c r="G29" s="20">
        <v>550</v>
      </c>
      <c r="H29" s="19">
        <v>0</v>
      </c>
      <c r="I29" s="18">
        <f>IF($B29="","",H29-IF(Ventas!D29="",0,Ventas!D29))</f>
        <v>0</v>
      </c>
      <c r="J29" t="str">
        <f t="shared" si="1"/>
        <v>Agotado</v>
      </c>
    </row>
    <row r="30" spans="1:10" hidden="1" x14ac:dyDescent="0.2">
      <c r="A30" s="18" t="str">
        <f t="shared" si="0"/>
        <v>P029</v>
      </c>
      <c r="B30" s="18" t="s">
        <v>32</v>
      </c>
      <c r="C30" s="19">
        <v>2</v>
      </c>
      <c r="D30" s="19">
        <v>2</v>
      </c>
      <c r="E30" s="20">
        <v>1358</v>
      </c>
      <c r="F30" s="20">
        <f>IF(OR(E30="",D30="",D30=0),"",E30/D30)</f>
        <v>679</v>
      </c>
      <c r="G30" s="20">
        <v>820</v>
      </c>
      <c r="H30" s="47">
        <v>0</v>
      </c>
      <c r="I30" s="18">
        <f>IF($B30="","",H30-IF(Ventas!D30="",0,Ventas!D30))</f>
        <v>0</v>
      </c>
      <c r="J30" t="str">
        <f t="shared" si="1"/>
        <v>Agotado</v>
      </c>
    </row>
    <row r="31" spans="1:10" hidden="1" x14ac:dyDescent="0.2">
      <c r="A31" s="18" t="str">
        <f t="shared" si="0"/>
        <v>P030</v>
      </c>
      <c r="B31" s="18" t="s">
        <v>33</v>
      </c>
      <c r="C31" s="19">
        <v>1</v>
      </c>
      <c r="D31" s="19">
        <v>1</v>
      </c>
      <c r="E31" s="20">
        <v>658</v>
      </c>
      <c r="F31" s="20">
        <f>IF(OR(E31="",D31="",D31=0),"",E31/D31)</f>
        <v>658</v>
      </c>
      <c r="G31" s="20">
        <v>820</v>
      </c>
      <c r="H31" s="47">
        <v>0</v>
      </c>
      <c r="I31" s="18">
        <f>IF($B31="","",H31-IF(Ventas!D31="",0,Ventas!D31))</f>
        <v>0</v>
      </c>
      <c r="J31" t="str">
        <f t="shared" si="1"/>
        <v>Agotado</v>
      </c>
    </row>
    <row r="32" spans="1:10" x14ac:dyDescent="0.2">
      <c r="A32" s="18" t="str">
        <f t="shared" si="0"/>
        <v>P031</v>
      </c>
      <c r="B32" s="18" t="s">
        <v>34</v>
      </c>
      <c r="C32" s="19">
        <v>1</v>
      </c>
      <c r="D32" s="19">
        <v>1</v>
      </c>
      <c r="E32" s="20">
        <v>658</v>
      </c>
      <c r="F32" s="20">
        <f>IF(OR(E32="",D32="",D32=0),"",E32/D32)</f>
        <v>658</v>
      </c>
      <c r="G32" s="20">
        <v>820</v>
      </c>
      <c r="H32" s="19">
        <v>1</v>
      </c>
      <c r="I32" s="18">
        <f>IF($B32="","",H32-IF(Ventas!D32="",0,Ventas!D32))</f>
        <v>1</v>
      </c>
      <c r="J32" t="str">
        <f t="shared" si="1"/>
        <v>Activo</v>
      </c>
    </row>
    <row r="33" spans="1:10" hidden="1" x14ac:dyDescent="0.2">
      <c r="A33" s="18" t="str">
        <f t="shared" si="0"/>
        <v>P032</v>
      </c>
      <c r="B33" s="18" t="s">
        <v>35</v>
      </c>
      <c r="C33" s="19">
        <v>1</v>
      </c>
      <c r="D33" s="19">
        <v>73</v>
      </c>
      <c r="E33" s="20">
        <v>1501</v>
      </c>
      <c r="F33" s="20">
        <f>IF(OR(E33="",D33="",D33=0),"",E33/D33)</f>
        <v>20.561643835616437</v>
      </c>
      <c r="G33" s="20">
        <v>35</v>
      </c>
      <c r="H33" s="47">
        <v>0</v>
      </c>
      <c r="I33" s="18">
        <f>IF($B33="","",H33-IF(Ventas!D33="",0,Ventas!D33))</f>
        <v>0</v>
      </c>
      <c r="J33" t="str">
        <f t="shared" si="1"/>
        <v>Agotado</v>
      </c>
    </row>
    <row r="34" spans="1:10" hidden="1" x14ac:dyDescent="0.2">
      <c r="A34" s="18" t="str">
        <f t="shared" si="0"/>
        <v>P033</v>
      </c>
      <c r="B34" s="18" t="s">
        <v>36</v>
      </c>
      <c r="C34" s="19">
        <v>1</v>
      </c>
      <c r="D34" s="19">
        <v>75</v>
      </c>
      <c r="E34" s="20">
        <v>1300</v>
      </c>
      <c r="F34" s="20">
        <f>IF(OR(E34="",D34="",D34=0),"",E34/D34)</f>
        <v>17.333333333333332</v>
      </c>
      <c r="G34" s="20">
        <v>35</v>
      </c>
      <c r="H34" s="47">
        <v>0</v>
      </c>
      <c r="I34" s="18">
        <f>IF($B34="","",H34-IF(Ventas!D34="",0,Ventas!D34))</f>
        <v>0</v>
      </c>
      <c r="J34" t="str">
        <f t="shared" si="1"/>
        <v>Agotado</v>
      </c>
    </row>
    <row r="35" spans="1:10" x14ac:dyDescent="0.2">
      <c r="A35" s="18" t="str">
        <f t="shared" si="0"/>
        <v>P034</v>
      </c>
      <c r="B35" s="25" t="s">
        <v>36</v>
      </c>
      <c r="C35" s="19">
        <v>1</v>
      </c>
      <c r="D35" s="19">
        <v>70</v>
      </c>
      <c r="E35" s="20">
        <v>1120</v>
      </c>
      <c r="F35" s="20">
        <f>IF(OR(E35="",D35="",D35=0),"",E35/D35)</f>
        <v>16</v>
      </c>
      <c r="G35" s="18">
        <v>35</v>
      </c>
      <c r="H35" s="19">
        <v>20</v>
      </c>
      <c r="I35" s="18">
        <f>IF($B35="","",H35-IF(Ventas!D35="",0,Ventas!D35))</f>
        <v>10</v>
      </c>
      <c r="J35" t="str">
        <f t="shared" si="1"/>
        <v>Activo</v>
      </c>
    </row>
    <row r="36" spans="1:10" x14ac:dyDescent="0.2">
      <c r="A36" s="18" t="str">
        <f t="shared" si="0"/>
        <v>P035</v>
      </c>
      <c r="B36" s="25" t="s">
        <v>86</v>
      </c>
      <c r="C36" s="19">
        <v>1</v>
      </c>
      <c r="D36" s="19">
        <v>1</v>
      </c>
      <c r="E36" s="20">
        <v>570</v>
      </c>
      <c r="F36" s="20">
        <f>IF(OR(E36="",D36="",D36=0),"",E36/D36)</f>
        <v>570</v>
      </c>
      <c r="G36" s="20">
        <v>750</v>
      </c>
      <c r="H36" s="47">
        <v>1</v>
      </c>
      <c r="I36" s="18">
        <f>IF($B36="","",H36-IF(Ventas!D36="",0,Ventas!D36))</f>
        <v>1</v>
      </c>
      <c r="J36" t="str">
        <f t="shared" si="1"/>
        <v>Activo</v>
      </c>
    </row>
    <row r="37" spans="1:10" x14ac:dyDescent="0.2">
      <c r="A37" s="18" t="str">
        <f t="shared" si="0"/>
        <v>P036</v>
      </c>
      <c r="B37" s="25" t="s">
        <v>106</v>
      </c>
      <c r="C37" s="19">
        <v>1</v>
      </c>
      <c r="D37" s="19">
        <v>32</v>
      </c>
      <c r="E37" s="20">
        <v>650</v>
      </c>
      <c r="F37" s="20">
        <f>IF(OR(E37="",D37="",D37=0),"",E37/D37)</f>
        <v>20.3125</v>
      </c>
      <c r="G37" s="20">
        <v>40</v>
      </c>
      <c r="H37" s="47">
        <v>15</v>
      </c>
      <c r="I37" s="18">
        <f>IF($B37="","",H37-IF(Ventas!D37="",0,Ventas!D37))</f>
        <v>15</v>
      </c>
      <c r="J37" t="str">
        <f t="shared" si="1"/>
        <v>Activo</v>
      </c>
    </row>
    <row r="38" spans="1:10" x14ac:dyDescent="0.2">
      <c r="A38" s="18" t="str">
        <f t="shared" si="0"/>
        <v>P037</v>
      </c>
      <c r="B38" s="25" t="s">
        <v>81</v>
      </c>
      <c r="C38" s="19">
        <v>1</v>
      </c>
      <c r="D38" s="19">
        <v>22</v>
      </c>
      <c r="E38" s="20">
        <v>537</v>
      </c>
      <c r="F38" s="20">
        <f>IF(OR(E38="",D38="",D38=0),"",E38/D38)</f>
        <v>24.40909090909091</v>
      </c>
      <c r="G38" s="20">
        <v>40</v>
      </c>
      <c r="H38" s="19">
        <v>20</v>
      </c>
      <c r="I38" s="18">
        <f>IF($B38="","",H38-IF(Ventas!D38="",0,Ventas!D38))</f>
        <v>20</v>
      </c>
      <c r="J38" t="str">
        <f t="shared" si="1"/>
        <v>Activo</v>
      </c>
    </row>
    <row r="39" spans="1:10" hidden="1" x14ac:dyDescent="0.2">
      <c r="A39" s="18" t="str">
        <f t="shared" si="0"/>
        <v>P038</v>
      </c>
      <c r="B39" s="25" t="s">
        <v>37</v>
      </c>
      <c r="C39" s="19">
        <v>1</v>
      </c>
      <c r="D39" s="19">
        <v>34</v>
      </c>
      <c r="E39" s="20">
        <v>400</v>
      </c>
      <c r="F39" s="20">
        <f>IF(OR(E39="",D39="",D39=0),"",E39/D39)</f>
        <v>11.764705882352942</v>
      </c>
      <c r="G39" s="20">
        <v>25</v>
      </c>
      <c r="H39" s="47">
        <v>0</v>
      </c>
      <c r="I39" s="18">
        <f>IF($B39="","",H39-IF(Ventas!D39="",0,Ventas!D39))</f>
        <v>0</v>
      </c>
      <c r="J39" t="str">
        <f t="shared" si="1"/>
        <v>Agotado</v>
      </c>
    </row>
    <row r="40" spans="1:10" x14ac:dyDescent="0.2">
      <c r="A40" s="18" t="str">
        <f t="shared" si="0"/>
        <v>P039</v>
      </c>
      <c r="B40" s="25" t="s">
        <v>47</v>
      </c>
      <c r="C40" s="19">
        <v>1</v>
      </c>
      <c r="D40" s="19">
        <v>34</v>
      </c>
      <c r="E40" s="20">
        <v>420</v>
      </c>
      <c r="F40" s="20">
        <f>IF(OR(E40="",D40="",D40=0),"",E40/D40)</f>
        <v>12.352941176470589</v>
      </c>
      <c r="G40" s="20">
        <v>25</v>
      </c>
      <c r="H40" s="47">
        <v>25</v>
      </c>
      <c r="I40" s="18">
        <f>IF($B40="","",H40-IF(Ventas!D40="",0,Ventas!D40))</f>
        <v>25</v>
      </c>
      <c r="J40" t="str">
        <f t="shared" si="1"/>
        <v>Activo</v>
      </c>
    </row>
    <row r="41" spans="1:10" x14ac:dyDescent="0.2">
      <c r="A41" s="18" t="str">
        <f t="shared" si="0"/>
        <v>P040</v>
      </c>
      <c r="B41" s="18" t="s">
        <v>107</v>
      </c>
      <c r="C41" s="19">
        <v>1</v>
      </c>
      <c r="D41" s="19">
        <v>43</v>
      </c>
      <c r="E41" s="20">
        <v>600</v>
      </c>
      <c r="F41" s="20">
        <f>IF(OR(E41="",D41="",D41=0),"",E41/D41)</f>
        <v>13.953488372093023</v>
      </c>
      <c r="G41" s="20">
        <v>25</v>
      </c>
      <c r="H41" s="47">
        <v>20</v>
      </c>
      <c r="I41" s="18">
        <v>20</v>
      </c>
      <c r="J41" t="str">
        <f t="shared" si="1"/>
        <v>Activo</v>
      </c>
    </row>
    <row r="42" spans="1:10" x14ac:dyDescent="0.2">
      <c r="A42" s="18" t="str">
        <f t="shared" si="0"/>
        <v>P041</v>
      </c>
      <c r="B42" s="18" t="s">
        <v>82</v>
      </c>
      <c r="C42" s="19">
        <v>1</v>
      </c>
      <c r="D42" s="19">
        <v>30</v>
      </c>
      <c r="E42" s="20">
        <v>420</v>
      </c>
      <c r="F42" s="20">
        <f>IF(OR(E42="",D42="",D42=0),"",E42/D42)</f>
        <v>14</v>
      </c>
      <c r="G42" s="20">
        <v>30</v>
      </c>
      <c r="H42" s="19">
        <v>30</v>
      </c>
      <c r="I42" s="18">
        <f>IF($B42="","",H42-IF(Ventas!D42="",0,Ventas!D42))</f>
        <v>30</v>
      </c>
      <c r="J42" t="str">
        <f t="shared" si="1"/>
        <v>Activo</v>
      </c>
    </row>
    <row r="43" spans="1:10" hidden="1" x14ac:dyDescent="0.2">
      <c r="A43" s="18" t="str">
        <f t="shared" si="0"/>
        <v>P042</v>
      </c>
      <c r="B43" s="30" t="s">
        <v>83</v>
      </c>
      <c r="C43" s="19">
        <v>1</v>
      </c>
      <c r="D43" s="19">
        <v>33</v>
      </c>
      <c r="E43" s="20">
        <v>420</v>
      </c>
      <c r="F43" s="20">
        <f>IF(OR(E43="",D43="",D43=0),"",E43/D43)</f>
        <v>12.727272727272727</v>
      </c>
      <c r="G43" s="20">
        <v>30</v>
      </c>
      <c r="H43" s="47">
        <v>0</v>
      </c>
      <c r="I43" s="18">
        <f>IF($B43="","",H43-IF(Ventas!D43="",0,Ventas!D43))</f>
        <v>0</v>
      </c>
      <c r="J43" t="str">
        <f t="shared" si="1"/>
        <v>Agotado</v>
      </c>
    </row>
    <row r="44" spans="1:10" x14ac:dyDescent="0.2">
      <c r="A44" s="18" t="str">
        <f t="shared" si="0"/>
        <v>P043</v>
      </c>
      <c r="B44" s="30" t="s">
        <v>38</v>
      </c>
      <c r="C44" s="19">
        <v>1</v>
      </c>
      <c r="D44" s="19">
        <v>1</v>
      </c>
      <c r="E44" s="20">
        <v>390</v>
      </c>
      <c r="F44" s="20">
        <f>IF(OR(E44="",D44="",D44=0),"",E44/D44)</f>
        <v>390</v>
      </c>
      <c r="G44" s="20">
        <v>550</v>
      </c>
      <c r="H44" s="47">
        <v>1</v>
      </c>
      <c r="I44" s="18">
        <f>IF($B44="","",H44-IF(Ventas!D44="",0,Ventas!D44))</f>
        <v>1</v>
      </c>
      <c r="J44" t="str">
        <f t="shared" si="1"/>
        <v>Activo</v>
      </c>
    </row>
    <row r="45" spans="1:10" x14ac:dyDescent="0.2">
      <c r="A45" s="18" t="str">
        <f t="shared" si="0"/>
        <v>P044</v>
      </c>
      <c r="B45" s="30" t="s">
        <v>39</v>
      </c>
      <c r="C45" s="19">
        <v>1</v>
      </c>
      <c r="D45" s="19">
        <v>1</v>
      </c>
      <c r="E45" s="20">
        <v>490</v>
      </c>
      <c r="F45" s="20">
        <f>IF(OR(E45="",D45="",D45=0),"",E45/D45)</f>
        <v>490</v>
      </c>
      <c r="G45" s="20">
        <v>600</v>
      </c>
      <c r="H45" s="47">
        <v>1</v>
      </c>
      <c r="I45" s="18">
        <f>IF($B45="","",H45-IF(Ventas!D45="",0,Ventas!D45))</f>
        <v>1</v>
      </c>
      <c r="J45" t="str">
        <f t="shared" si="1"/>
        <v>Activo</v>
      </c>
    </row>
    <row r="46" spans="1:10" x14ac:dyDescent="0.2">
      <c r="A46" s="18" t="str">
        <f t="shared" si="0"/>
        <v>P045</v>
      </c>
      <c r="B46" s="30" t="s">
        <v>114</v>
      </c>
      <c r="C46" s="19">
        <v>1</v>
      </c>
      <c r="D46" s="19">
        <v>25</v>
      </c>
      <c r="E46" s="20">
        <v>700</v>
      </c>
      <c r="F46" s="20">
        <f>IF(OR(E46="",D46="",D46=0),"",E46/D46)</f>
        <v>28</v>
      </c>
      <c r="G46" s="20">
        <f>IF(F46="","",ROUND(F46*1.33,0))</f>
        <v>37</v>
      </c>
      <c r="H46" s="47">
        <v>50</v>
      </c>
      <c r="I46" s="18">
        <v>25</v>
      </c>
      <c r="J46" t="str">
        <f t="shared" si="1"/>
        <v>Activo</v>
      </c>
    </row>
    <row r="47" spans="1:10" x14ac:dyDescent="0.2">
      <c r="A47" s="18" t="str">
        <f t="shared" si="0"/>
        <v>P046</v>
      </c>
      <c r="B47" s="30" t="s">
        <v>93</v>
      </c>
      <c r="C47" s="19">
        <v>1</v>
      </c>
      <c r="D47" s="19">
        <v>30</v>
      </c>
      <c r="E47" s="20">
        <v>500</v>
      </c>
      <c r="F47" s="20">
        <f>IF(OR(E47="",D47="",D47=0),"",E47/D47)</f>
        <v>16.666666666666668</v>
      </c>
      <c r="G47" s="20">
        <v>25</v>
      </c>
      <c r="H47" s="47">
        <v>13</v>
      </c>
      <c r="I47" s="18">
        <f>IF($B47="","",H47-IF(Ventas!D47="",0,Ventas!D47))</f>
        <v>13</v>
      </c>
      <c r="J47" t="str">
        <f t="shared" si="1"/>
        <v>Activo</v>
      </c>
    </row>
    <row r="48" spans="1:10" hidden="1" x14ac:dyDescent="0.2">
      <c r="A48" s="18" t="str">
        <f t="shared" si="0"/>
        <v>P047</v>
      </c>
      <c r="B48" s="34" t="s">
        <v>40</v>
      </c>
      <c r="C48" s="18">
        <v>1</v>
      </c>
      <c r="D48" s="18">
        <v>1</v>
      </c>
      <c r="E48" s="18">
        <v>520</v>
      </c>
      <c r="F48" s="20">
        <f>IF(OR(E48="",D48="",D48=0),"",E48/D48)</f>
        <v>520</v>
      </c>
      <c r="G48" s="18">
        <v>600</v>
      </c>
      <c r="H48" s="47">
        <v>0</v>
      </c>
      <c r="I48" s="18">
        <f>IF($B48="","",H48-IF(Ventas!D48="",0,Ventas!D48))</f>
        <v>0</v>
      </c>
      <c r="J48" t="str">
        <f t="shared" si="1"/>
        <v>Agotado</v>
      </c>
    </row>
    <row r="49" spans="1:10" x14ac:dyDescent="0.2">
      <c r="A49" s="18" t="str">
        <f t="shared" si="0"/>
        <v>P048</v>
      </c>
      <c r="B49" s="18" t="s">
        <v>92</v>
      </c>
      <c r="C49" s="18">
        <v>1</v>
      </c>
      <c r="D49" s="18">
        <v>27</v>
      </c>
      <c r="E49" s="18">
        <v>520</v>
      </c>
      <c r="F49" s="20">
        <f>IF(OR(E49="",D49="",D49=0),"",E49/D49)</f>
        <v>19.25925925925926</v>
      </c>
      <c r="G49" s="18">
        <v>40</v>
      </c>
      <c r="H49" s="47">
        <v>17</v>
      </c>
      <c r="I49" s="18">
        <f>IF($B49="","",H49-IF(Ventas!D49="",0,Ventas!D49))</f>
        <v>17</v>
      </c>
      <c r="J49" t="str">
        <f t="shared" si="1"/>
        <v>Activo</v>
      </c>
    </row>
    <row r="50" spans="1:10" hidden="1" x14ac:dyDescent="0.2">
      <c r="A50" s="18" t="str">
        <f t="shared" si="0"/>
        <v>P049</v>
      </c>
      <c r="B50" s="34" t="s">
        <v>41</v>
      </c>
      <c r="C50" s="18">
        <v>1</v>
      </c>
      <c r="D50" s="18">
        <v>30</v>
      </c>
      <c r="E50" s="18">
        <v>629</v>
      </c>
      <c r="F50" s="20">
        <f>IF(OR(E50="",D50="",D50=0),"",E50/D50)</f>
        <v>20.966666666666665</v>
      </c>
      <c r="G50" s="18">
        <v>40</v>
      </c>
      <c r="H50" s="47">
        <v>0</v>
      </c>
      <c r="I50" s="18">
        <f>IF($B50="","",H50-IF(Ventas!D50="",0,Ventas!D50))</f>
        <v>0</v>
      </c>
      <c r="J50" t="str">
        <f t="shared" si="1"/>
        <v>Agotado</v>
      </c>
    </row>
    <row r="51" spans="1:10" x14ac:dyDescent="0.2">
      <c r="A51" s="18" t="str">
        <f t="shared" si="0"/>
        <v>P050</v>
      </c>
      <c r="B51" s="34" t="s">
        <v>41</v>
      </c>
      <c r="C51" s="18">
        <v>1</v>
      </c>
      <c r="D51" s="18">
        <v>1</v>
      </c>
      <c r="E51" s="18">
        <v>650</v>
      </c>
      <c r="F51" s="20">
        <f>IF(OR(E51="",D51="",D51=0),"",E51/D51)</f>
        <v>650</v>
      </c>
      <c r="G51" s="18">
        <v>750</v>
      </c>
      <c r="H51" s="47">
        <v>1</v>
      </c>
      <c r="I51" s="18">
        <f>IF($B51="","",H51-IF(Ventas!D51="",0,Ventas!D51))</f>
        <v>1</v>
      </c>
      <c r="J51" t="str">
        <f t="shared" si="1"/>
        <v>Activo</v>
      </c>
    </row>
    <row r="52" spans="1:10" x14ac:dyDescent="0.2">
      <c r="A52" s="18" t="str">
        <f t="shared" si="0"/>
        <v>P051</v>
      </c>
      <c r="B52" s="34" t="s">
        <v>42</v>
      </c>
      <c r="C52" s="18">
        <v>1</v>
      </c>
      <c r="D52" s="18">
        <v>12</v>
      </c>
      <c r="E52" s="18">
        <v>526</v>
      </c>
      <c r="F52" s="20">
        <f>IF(OR(E52="",D52="",D52=0),"",E52/D52)</f>
        <v>43.833333333333336</v>
      </c>
      <c r="G52" s="18">
        <v>60</v>
      </c>
      <c r="H52" s="47">
        <v>13</v>
      </c>
      <c r="I52" s="18">
        <f>IF($B52="","",H52-IF(Ventas!D52="",0,Ventas!D52))</f>
        <v>13</v>
      </c>
      <c r="J52" t="str">
        <f t="shared" si="1"/>
        <v>Activo</v>
      </c>
    </row>
    <row r="53" spans="1:10" x14ac:dyDescent="0.2">
      <c r="A53" s="18" t="str">
        <f t="shared" si="0"/>
        <v>P052</v>
      </c>
      <c r="B53" s="34" t="s">
        <v>105</v>
      </c>
      <c r="C53" s="18">
        <v>1</v>
      </c>
      <c r="D53" s="18">
        <v>12</v>
      </c>
      <c r="E53" s="18">
        <v>560</v>
      </c>
      <c r="F53" s="20">
        <f>IF(OR(E53="",D53="",D53=0),"",E53/D53)</f>
        <v>46.666666666666664</v>
      </c>
      <c r="G53" s="18">
        <v>60</v>
      </c>
      <c r="H53" s="47">
        <v>12</v>
      </c>
      <c r="I53" s="18">
        <f>IF($B53="","",H53-IF(Ventas!D53="",0,Ventas!D53))</f>
        <v>12</v>
      </c>
      <c r="J53" t="str">
        <f t="shared" si="1"/>
        <v>Activo</v>
      </c>
    </row>
    <row r="54" spans="1:10" x14ac:dyDescent="0.2">
      <c r="A54" s="18" t="str">
        <f t="shared" si="0"/>
        <v>P053</v>
      </c>
      <c r="B54" s="34" t="s">
        <v>43</v>
      </c>
      <c r="C54" s="18">
        <v>1</v>
      </c>
      <c r="D54" s="18">
        <v>1</v>
      </c>
      <c r="E54" s="18">
        <v>1590</v>
      </c>
      <c r="F54" s="20">
        <f>IF(OR(E54="",D54="",D54=0),"",E54/D54)</f>
        <v>1590</v>
      </c>
      <c r="G54" s="18">
        <v>1750</v>
      </c>
      <c r="H54" s="47">
        <v>1</v>
      </c>
      <c r="I54" s="18">
        <f>IF($B54="","",H54-IF(Ventas!D54="",0,Ventas!D54))</f>
        <v>1</v>
      </c>
      <c r="J54" t="str">
        <f t="shared" si="1"/>
        <v>Activo</v>
      </c>
    </row>
    <row r="55" spans="1:10" hidden="1" x14ac:dyDescent="0.2">
      <c r="A55" s="18" t="str">
        <f t="shared" si="0"/>
        <v>P054</v>
      </c>
      <c r="B55" s="34" t="s">
        <v>44</v>
      </c>
      <c r="C55" s="18">
        <v>1</v>
      </c>
      <c r="D55" s="18">
        <v>1</v>
      </c>
      <c r="E55" s="18">
        <v>1029</v>
      </c>
      <c r="F55" s="20">
        <f>IF(OR(E55="",D55="",D55=0),"",E55/D55)</f>
        <v>1029</v>
      </c>
      <c r="G55" s="18">
        <v>1300</v>
      </c>
      <c r="H55" s="47">
        <v>0</v>
      </c>
      <c r="I55" s="18">
        <f>IF($B55="","",H55-IF(Ventas!D55="",0,Ventas!D55))</f>
        <v>0</v>
      </c>
      <c r="J55" t="str">
        <f t="shared" si="1"/>
        <v>Agotado</v>
      </c>
    </row>
    <row r="56" spans="1:10" x14ac:dyDescent="0.2">
      <c r="A56" s="18" t="str">
        <f t="shared" si="0"/>
        <v>P055</v>
      </c>
      <c r="B56" s="34" t="s">
        <v>45</v>
      </c>
      <c r="C56" s="18">
        <v>1</v>
      </c>
      <c r="D56" s="18">
        <v>70</v>
      </c>
      <c r="E56" s="18">
        <v>1100</v>
      </c>
      <c r="F56" s="20">
        <f>IF(OR(E56="",D56="",D56=0),"",E56/D56)</f>
        <v>15.714285714285714</v>
      </c>
      <c r="G56" s="18">
        <v>35</v>
      </c>
      <c r="H56" s="47">
        <v>60</v>
      </c>
      <c r="I56" s="18">
        <f>IF($B56="","",H56-IF(Ventas!D56="",0,Ventas!D56))</f>
        <v>50</v>
      </c>
      <c r="J56" t="str">
        <f t="shared" si="1"/>
        <v>Activo</v>
      </c>
    </row>
    <row r="57" spans="1:10" x14ac:dyDescent="0.2">
      <c r="A57" s="18" t="str">
        <f t="shared" si="0"/>
        <v>P056</v>
      </c>
      <c r="B57" s="34" t="s">
        <v>46</v>
      </c>
      <c r="C57" s="18">
        <v>1</v>
      </c>
      <c r="D57" s="18">
        <v>1</v>
      </c>
      <c r="E57" s="18">
        <v>1200</v>
      </c>
      <c r="F57" s="20">
        <f>IF(OR(E57="",D57="",D57=0),"",E57/D57)</f>
        <v>1200</v>
      </c>
      <c r="G57" s="18">
        <v>1400</v>
      </c>
      <c r="H57" s="47">
        <v>1</v>
      </c>
      <c r="I57" s="18">
        <f>IF($B57="","",H57-IF(Ventas!D57="",0,Ventas!D57))</f>
        <v>1</v>
      </c>
      <c r="J57" t="str">
        <f t="shared" si="1"/>
        <v>Activo</v>
      </c>
    </row>
    <row r="58" spans="1:10" x14ac:dyDescent="0.2">
      <c r="A58" s="18" t="str">
        <f t="shared" si="0"/>
        <v>P057</v>
      </c>
      <c r="B58" s="34" t="s">
        <v>88</v>
      </c>
      <c r="C58" s="18">
        <v>1</v>
      </c>
      <c r="D58" s="18">
        <v>1</v>
      </c>
      <c r="E58" s="18">
        <v>1600</v>
      </c>
      <c r="F58" s="20">
        <f>IF(OR(E58="",D58="",D58=0),"",E58/D58)</f>
        <v>1600</v>
      </c>
      <c r="G58" s="18">
        <v>1750</v>
      </c>
      <c r="H58" s="47">
        <v>1</v>
      </c>
      <c r="I58" s="18">
        <f>IF($B58="","",H58-IF(Ventas!D58="",0,Ventas!D58))</f>
        <v>1</v>
      </c>
      <c r="J58" t="str">
        <f t="shared" si="1"/>
        <v>Activo</v>
      </c>
    </row>
    <row r="59" spans="1:10" hidden="1" x14ac:dyDescent="0.2">
      <c r="A59" s="18" t="str">
        <f t="shared" si="0"/>
        <v>P058</v>
      </c>
      <c r="B59" s="34" t="s">
        <v>87</v>
      </c>
      <c r="C59" s="18">
        <v>1</v>
      </c>
      <c r="D59" s="18">
        <v>1</v>
      </c>
      <c r="E59" s="18">
        <v>1500</v>
      </c>
      <c r="F59" s="20">
        <f>IF(OR(E59="",D59="",D59=0),"",E59/D59)</f>
        <v>1500</v>
      </c>
      <c r="G59" s="18">
        <v>1700</v>
      </c>
      <c r="H59" s="47">
        <v>1</v>
      </c>
      <c r="I59" s="18">
        <f>IF($B59="","",H59-IF(Ventas!D59="",0,Ventas!D59))</f>
        <v>0</v>
      </c>
      <c r="J59" t="str">
        <f t="shared" si="1"/>
        <v>Agotado</v>
      </c>
    </row>
    <row r="60" spans="1:10" x14ac:dyDescent="0.2">
      <c r="A60" s="18" t="str">
        <f t="shared" si="0"/>
        <v>P059</v>
      </c>
      <c r="B60" s="34" t="s">
        <v>95</v>
      </c>
      <c r="C60" s="18">
        <v>1</v>
      </c>
      <c r="D60" s="18">
        <v>70</v>
      </c>
      <c r="E60" s="18">
        <v>1400</v>
      </c>
      <c r="F60" s="20">
        <f>IF(OR(E60="",D60="",D60=0),"",E60/D60)</f>
        <v>20</v>
      </c>
      <c r="G60" s="18">
        <v>35</v>
      </c>
      <c r="H60" s="47">
        <v>20</v>
      </c>
      <c r="I60" s="18">
        <f>IF($B60="","",H60-IF(Ventas!D60="",0,Ventas!D60))</f>
        <v>10</v>
      </c>
      <c r="J60" t="str">
        <f t="shared" si="1"/>
        <v>Activo</v>
      </c>
    </row>
    <row r="61" spans="1:10" x14ac:dyDescent="0.2">
      <c r="A61" s="18" t="str">
        <f t="shared" si="0"/>
        <v>P060</v>
      </c>
      <c r="B61" s="34" t="s">
        <v>113</v>
      </c>
      <c r="C61" s="18">
        <v>1</v>
      </c>
      <c r="D61" s="18">
        <v>33</v>
      </c>
      <c r="E61" s="18">
        <v>420</v>
      </c>
      <c r="F61" s="20">
        <f>IF(OR(E61="",D61="",D61=0),"",E61/D61)</f>
        <v>12.727272727272727</v>
      </c>
      <c r="G61" s="18">
        <v>25</v>
      </c>
      <c r="H61" s="47">
        <v>33</v>
      </c>
      <c r="I61" s="18">
        <f>IF($B61="","",H61-IF(Ventas!D61="",0,Ventas!D61))</f>
        <v>13</v>
      </c>
      <c r="J61" t="str">
        <f t="shared" si="1"/>
        <v>Activo</v>
      </c>
    </row>
    <row r="62" spans="1:10" x14ac:dyDescent="0.2">
      <c r="A62" s="18" t="str">
        <f t="shared" si="0"/>
        <v>P061</v>
      </c>
      <c r="B62" s="34" t="s">
        <v>101</v>
      </c>
      <c r="C62" s="18">
        <v>1</v>
      </c>
      <c r="D62" s="18">
        <v>1</v>
      </c>
      <c r="E62" s="18">
        <v>387</v>
      </c>
      <c r="F62" s="20">
        <f>IF(OR(E62="",D62="",D62=0),"",E62/D62)</f>
        <v>387</v>
      </c>
      <c r="G62" s="18">
        <v>500</v>
      </c>
      <c r="H62" s="47">
        <v>1</v>
      </c>
      <c r="I62" s="18">
        <f>IF($B62="","",H62-IF(Ventas!D62="",0,Ventas!D62))</f>
        <v>1</v>
      </c>
      <c r="J62" t="str">
        <f t="shared" si="1"/>
        <v>Activo</v>
      </c>
    </row>
    <row r="63" spans="1:10" hidden="1" x14ac:dyDescent="0.2">
      <c r="A63" s="18" t="str">
        <f t="shared" si="0"/>
        <v>P062</v>
      </c>
      <c r="B63" s="50" t="s">
        <v>100</v>
      </c>
      <c r="C63" s="18">
        <v>1</v>
      </c>
      <c r="D63" s="18">
        <v>1</v>
      </c>
      <c r="E63" s="18">
        <v>640</v>
      </c>
      <c r="F63" s="20">
        <f>IF(OR(E63="",D63="",D63=0),"",E63/D63)</f>
        <v>640</v>
      </c>
      <c r="G63" s="18">
        <v>780</v>
      </c>
      <c r="H63" s="48">
        <v>0</v>
      </c>
      <c r="I63" s="18">
        <f>IF($B63="","",H63-IF(Ventas!D63="",0,Ventas!D63))</f>
        <v>0</v>
      </c>
      <c r="J63" t="str">
        <f t="shared" si="1"/>
        <v>Agotado</v>
      </c>
    </row>
    <row r="64" spans="1:10" x14ac:dyDescent="0.2">
      <c r="A64" s="18" t="str">
        <f t="shared" si="0"/>
        <v>P063</v>
      </c>
      <c r="B64" s="51" t="s">
        <v>115</v>
      </c>
      <c r="C64" s="18">
        <v>1</v>
      </c>
      <c r="D64" s="18">
        <v>12</v>
      </c>
      <c r="E64" s="18">
        <v>600</v>
      </c>
      <c r="F64" s="20">
        <f>IF(OR(E64="",D64="",D64=0),"",E64/D64)</f>
        <v>50</v>
      </c>
      <c r="G64" s="18">
        <v>70</v>
      </c>
      <c r="H64" s="48">
        <v>22</v>
      </c>
      <c r="I64" s="18">
        <v>22</v>
      </c>
      <c r="J64" t="str">
        <f t="shared" si="1"/>
        <v>Activo</v>
      </c>
    </row>
    <row r="65" spans="1:10" x14ac:dyDescent="0.2">
      <c r="A65" s="18" t="str">
        <f t="shared" si="0"/>
        <v>P064</v>
      </c>
      <c r="B65" s="51" t="s">
        <v>97</v>
      </c>
      <c r="C65" s="18">
        <v>1</v>
      </c>
      <c r="D65" s="18">
        <v>1</v>
      </c>
      <c r="E65" s="18">
        <v>275</v>
      </c>
      <c r="F65" s="20">
        <f>IF(OR(E65="",D65="",D65=0),"",E65/D65)</f>
        <v>275</v>
      </c>
      <c r="G65" s="18">
        <v>480</v>
      </c>
      <c r="H65" s="48">
        <v>1</v>
      </c>
      <c r="I65" s="18">
        <f>IF($B65="","",H65-IF(Ventas!D65="",0,Ventas!D65))</f>
        <v>1</v>
      </c>
      <c r="J65" t="str">
        <f t="shared" si="1"/>
        <v>Activo</v>
      </c>
    </row>
    <row r="66" spans="1:10" hidden="1" x14ac:dyDescent="0.2">
      <c r="A66" s="18" t="str">
        <f t="shared" si="0"/>
        <v>P065</v>
      </c>
      <c r="B66" s="51" t="s">
        <v>103</v>
      </c>
      <c r="C66" s="18">
        <v>1</v>
      </c>
      <c r="D66" s="18">
        <v>10</v>
      </c>
      <c r="E66" s="18">
        <v>400</v>
      </c>
      <c r="F66" s="20">
        <f>IF(OR(E66="",D66="",D66=0),"",E66/D66)</f>
        <v>40</v>
      </c>
      <c r="G66" s="18">
        <v>50</v>
      </c>
      <c r="H66" s="48">
        <v>0</v>
      </c>
      <c r="I66" s="18">
        <f>IF($B66="","",H66-IF(Ventas!D66="",0,Ventas!D66))</f>
        <v>0</v>
      </c>
      <c r="J66" t="str">
        <f t="shared" si="1"/>
        <v>Agotado</v>
      </c>
    </row>
    <row r="67" spans="1:10" hidden="1" x14ac:dyDescent="0.2">
      <c r="A67" s="18" t="str">
        <f t="shared" ref="A67:A130" si="2">IF(B67="","","P"&amp;TEXT(ROW()-1,"000"))</f>
        <v>P066</v>
      </c>
      <c r="B67" s="18" t="s">
        <v>104</v>
      </c>
      <c r="C67" s="18">
        <v>1</v>
      </c>
      <c r="D67" s="18">
        <v>10</v>
      </c>
      <c r="E67" s="18">
        <v>400</v>
      </c>
      <c r="F67" s="20">
        <f>IF(OR(E67="",D67="",D67=0),"",E67/D67)</f>
        <v>40</v>
      </c>
      <c r="G67" s="18">
        <v>50</v>
      </c>
      <c r="H67" s="18">
        <v>0</v>
      </c>
      <c r="I67" s="18">
        <f>IF($B67="","",H67-IF(Ventas!D67="",0,Ventas!D67))</f>
        <v>0</v>
      </c>
      <c r="J67" t="str">
        <f t="shared" ref="J67:J130" si="3">IF($B67="","",IF(N(I67)=0,"Agotado","Activo"))</f>
        <v>Agotado</v>
      </c>
    </row>
    <row r="68" spans="1:10" x14ac:dyDescent="0.2">
      <c r="A68" s="18" t="str">
        <f t="shared" si="2"/>
        <v>P067</v>
      </c>
      <c r="B68" s="18" t="s">
        <v>112</v>
      </c>
      <c r="C68" s="18">
        <v>1</v>
      </c>
      <c r="D68" s="18">
        <v>25</v>
      </c>
      <c r="E68" s="18">
        <v>550</v>
      </c>
      <c r="F68" s="20">
        <f>IF(OR(E68="",D68="",D68=0),"",E68/D68)</f>
        <v>22</v>
      </c>
      <c r="G68" s="18">
        <v>40</v>
      </c>
      <c r="H68" s="18">
        <v>25</v>
      </c>
      <c r="I68" s="18">
        <f>IF($B68="","",H68-IF(Ventas!D68="",0,Ventas!D68))</f>
        <v>25</v>
      </c>
      <c r="J68" t="str">
        <f t="shared" si="3"/>
        <v>Activo</v>
      </c>
    </row>
    <row r="69" spans="1:10" x14ac:dyDescent="0.2">
      <c r="A69" s="18" t="str">
        <f>IF(B69="","","P"&amp;TEXT(ROW()-1,"000"))</f>
        <v>P068</v>
      </c>
      <c r="B69" s="50" t="s">
        <v>80</v>
      </c>
      <c r="C69" s="18">
        <v>1</v>
      </c>
      <c r="D69" s="18">
        <v>3</v>
      </c>
      <c r="E69" s="18">
        <v>300</v>
      </c>
      <c r="F69" s="20">
        <f>IF(OR(E69="",D69="",D69=0),"",E69/D69)</f>
        <v>100</v>
      </c>
      <c r="G69" s="18">
        <v>130</v>
      </c>
      <c r="H69" s="18">
        <v>3</v>
      </c>
      <c r="I69" s="18">
        <f>IF($B69="","",H69-IF(Ventas!D69="",0,Ventas!D69))</f>
        <v>1</v>
      </c>
      <c r="J69" t="str">
        <f t="shared" si="3"/>
        <v>Activo</v>
      </c>
    </row>
    <row r="70" spans="1:10" hidden="1" x14ac:dyDescent="0.2">
      <c r="A70" s="18" t="str">
        <f>IF(B70="","","P"&amp;TEXT(ROW()-1,"000"))</f>
        <v/>
      </c>
      <c r="B70" s="44"/>
      <c r="C70" s="18">
        <v>1</v>
      </c>
      <c r="D70" s="18">
        <v>27</v>
      </c>
      <c r="E70" s="18">
        <v>490</v>
      </c>
      <c r="F70" s="20">
        <f>IF(OR(E70="",D70="",D70=0),"",E70/D70)</f>
        <v>18.148148148148149</v>
      </c>
      <c r="G70" s="18">
        <v>40</v>
      </c>
      <c r="H70" s="18"/>
      <c r="I70" s="18" t="str">
        <f>IF($B70="","",H70-IF(Ventas!D70="",0,Ventas!D70))</f>
        <v/>
      </c>
      <c r="J70" t="str">
        <f t="shared" si="3"/>
        <v/>
      </c>
    </row>
    <row r="71" spans="1:10" hidden="1" x14ac:dyDescent="0.2">
      <c r="A71" s="18" t="str">
        <f t="shared" si="2"/>
        <v/>
      </c>
      <c r="B71" s="18"/>
      <c r="C71" s="18"/>
      <c r="D71" s="18"/>
      <c r="E71" s="18"/>
      <c r="F71" s="20" t="str">
        <f t="shared" ref="F67:F130" si="4">IF(OR(E71="",D71="",D71=0),"",E71/D71)</f>
        <v/>
      </c>
      <c r="G71" s="18" t="str">
        <f t="shared" ref="G70:G133" si="5">IF(F71="","",ROUND(F71*1.33,0))</f>
        <v/>
      </c>
      <c r="H71" s="18"/>
      <c r="I71" s="18" t="str">
        <f>IF($B71="","",H71-IF(Ventas!D71="",0,Ventas!D71))</f>
        <v/>
      </c>
      <c r="J71" t="str">
        <f t="shared" si="3"/>
        <v/>
      </c>
    </row>
    <row r="72" spans="1:10" hidden="1" x14ac:dyDescent="0.2">
      <c r="A72" s="18" t="str">
        <f t="shared" si="2"/>
        <v/>
      </c>
      <c r="B72" s="18"/>
      <c r="C72" s="18"/>
      <c r="D72" s="18"/>
      <c r="E72" s="18"/>
      <c r="F72" s="20" t="str">
        <f t="shared" si="4"/>
        <v/>
      </c>
      <c r="G72" s="18" t="str">
        <f t="shared" si="5"/>
        <v/>
      </c>
      <c r="H72" s="18"/>
      <c r="I72" s="18" t="str">
        <f>IF($B72="","",H72-IF(Ventas!D72="",0,Ventas!D72))</f>
        <v/>
      </c>
      <c r="J72" t="str">
        <f t="shared" si="3"/>
        <v/>
      </c>
    </row>
    <row r="73" spans="1:10" hidden="1" x14ac:dyDescent="0.2">
      <c r="A73" s="18" t="str">
        <f t="shared" si="2"/>
        <v/>
      </c>
      <c r="B73" s="18"/>
      <c r="C73" s="18"/>
      <c r="D73" s="18"/>
      <c r="E73" s="18"/>
      <c r="F73" s="20" t="str">
        <f t="shared" si="4"/>
        <v/>
      </c>
      <c r="G73" s="18" t="str">
        <f t="shared" si="5"/>
        <v/>
      </c>
      <c r="H73" s="18"/>
      <c r="I73" s="18" t="str">
        <f>IF($B73="","",H73-IF(Ventas!D73="",0,Ventas!D73))</f>
        <v/>
      </c>
      <c r="J73" t="str">
        <f t="shared" si="3"/>
        <v/>
      </c>
    </row>
    <row r="74" spans="1:10" hidden="1" x14ac:dyDescent="0.2">
      <c r="A74" s="18" t="str">
        <f t="shared" si="2"/>
        <v/>
      </c>
      <c r="B74" s="18"/>
      <c r="C74" s="18"/>
      <c r="D74" s="18"/>
      <c r="E74" s="18"/>
      <c r="F74" s="20" t="str">
        <f t="shared" si="4"/>
        <v/>
      </c>
      <c r="G74" s="18" t="str">
        <f t="shared" si="5"/>
        <v/>
      </c>
      <c r="H74" s="18"/>
      <c r="I74" s="18" t="str">
        <f>IF($B74="","",H74-IF(Ventas!D74="",0,Ventas!D74))</f>
        <v/>
      </c>
      <c r="J74" t="str">
        <f t="shared" si="3"/>
        <v/>
      </c>
    </row>
    <row r="75" spans="1:10" hidden="1" x14ac:dyDescent="0.2">
      <c r="A75" s="18" t="str">
        <f t="shared" si="2"/>
        <v/>
      </c>
      <c r="B75" s="18"/>
      <c r="C75" s="18"/>
      <c r="D75" s="18"/>
      <c r="E75" s="18"/>
      <c r="F75" s="20" t="str">
        <f t="shared" si="4"/>
        <v/>
      </c>
      <c r="G75" s="18" t="str">
        <f t="shared" si="5"/>
        <v/>
      </c>
      <c r="H75" s="18"/>
      <c r="I75" s="18" t="str">
        <f>IF($B75="","",H75-IF(Ventas!D75="",0,Ventas!D75))</f>
        <v/>
      </c>
      <c r="J75" t="str">
        <f t="shared" si="3"/>
        <v/>
      </c>
    </row>
    <row r="76" spans="1:10" hidden="1" x14ac:dyDescent="0.2">
      <c r="A76" s="18" t="str">
        <f t="shared" si="2"/>
        <v/>
      </c>
      <c r="B76" s="18"/>
      <c r="C76" s="18"/>
      <c r="D76" s="18"/>
      <c r="E76" s="18"/>
      <c r="F76" s="20" t="str">
        <f t="shared" si="4"/>
        <v/>
      </c>
      <c r="G76" s="18" t="str">
        <f t="shared" si="5"/>
        <v/>
      </c>
      <c r="H76" s="18"/>
      <c r="I76" s="18" t="str">
        <f>IF($B76="","",H76-IF(Ventas!D76="",0,Ventas!D76))</f>
        <v/>
      </c>
      <c r="J76" t="str">
        <f t="shared" si="3"/>
        <v/>
      </c>
    </row>
    <row r="77" spans="1:10" hidden="1" x14ac:dyDescent="0.2">
      <c r="A77" s="18" t="str">
        <f t="shared" si="2"/>
        <v/>
      </c>
      <c r="B77" s="18"/>
      <c r="C77" s="18"/>
      <c r="D77" s="18"/>
      <c r="E77" s="18"/>
      <c r="F77" s="20" t="str">
        <f t="shared" si="4"/>
        <v/>
      </c>
      <c r="G77" s="18" t="str">
        <f t="shared" si="5"/>
        <v/>
      </c>
      <c r="H77" s="18"/>
      <c r="I77" s="18" t="str">
        <f>IF($B77="","",H77-IF(Ventas!D77="",0,Ventas!D77))</f>
        <v/>
      </c>
      <c r="J77" t="str">
        <f t="shared" si="3"/>
        <v/>
      </c>
    </row>
    <row r="78" spans="1:10" hidden="1" x14ac:dyDescent="0.2">
      <c r="A78" s="18" t="str">
        <f t="shared" si="2"/>
        <v/>
      </c>
      <c r="B78" s="18"/>
      <c r="C78" s="18"/>
      <c r="D78" s="18"/>
      <c r="E78" s="18"/>
      <c r="F78" s="20" t="str">
        <f t="shared" si="4"/>
        <v/>
      </c>
      <c r="G78" s="18" t="str">
        <f t="shared" si="5"/>
        <v/>
      </c>
      <c r="H78" s="18"/>
      <c r="I78" s="18" t="str">
        <f>IF($B78="","",H78-IF(Ventas!D78="",0,Ventas!D78))</f>
        <v/>
      </c>
      <c r="J78" t="str">
        <f t="shared" si="3"/>
        <v/>
      </c>
    </row>
    <row r="79" spans="1:10" hidden="1" x14ac:dyDescent="0.2">
      <c r="A79" s="18" t="str">
        <f t="shared" si="2"/>
        <v/>
      </c>
      <c r="B79" s="18"/>
      <c r="C79" s="18"/>
      <c r="D79" s="18"/>
      <c r="E79" s="18"/>
      <c r="F79" s="20" t="str">
        <f t="shared" si="4"/>
        <v/>
      </c>
      <c r="G79" s="18" t="str">
        <f t="shared" si="5"/>
        <v/>
      </c>
      <c r="H79" s="18"/>
      <c r="I79" s="18" t="str">
        <f>IF($B79="","",H79-IF(Ventas!D79="",0,Ventas!D79))</f>
        <v/>
      </c>
      <c r="J79" t="str">
        <f t="shared" si="3"/>
        <v/>
      </c>
    </row>
    <row r="80" spans="1:10" hidden="1" x14ac:dyDescent="0.2">
      <c r="A80" s="18" t="str">
        <f t="shared" si="2"/>
        <v/>
      </c>
      <c r="B80" s="18"/>
      <c r="C80" s="18"/>
      <c r="D80" s="18"/>
      <c r="E80" s="18"/>
      <c r="F80" s="20" t="str">
        <f t="shared" si="4"/>
        <v/>
      </c>
      <c r="G80" s="18" t="str">
        <f t="shared" si="5"/>
        <v/>
      </c>
      <c r="H80" s="18"/>
      <c r="I80" s="18" t="str">
        <f>IF($B80="","",H80-IF(Ventas!D80="",0,Ventas!D80))</f>
        <v/>
      </c>
      <c r="J80" t="str">
        <f t="shared" si="3"/>
        <v/>
      </c>
    </row>
    <row r="81" spans="1:10" hidden="1" x14ac:dyDescent="0.2">
      <c r="A81" s="18" t="str">
        <f t="shared" si="2"/>
        <v/>
      </c>
      <c r="B81" s="18"/>
      <c r="C81" s="18"/>
      <c r="D81" s="18"/>
      <c r="E81" s="18"/>
      <c r="F81" s="20" t="str">
        <f t="shared" si="4"/>
        <v/>
      </c>
      <c r="G81" s="18" t="str">
        <f t="shared" si="5"/>
        <v/>
      </c>
      <c r="H81" s="18"/>
      <c r="I81" s="18" t="str">
        <f>IF($B81="","",H81-IF(Ventas!D81="",0,Ventas!D81))</f>
        <v/>
      </c>
      <c r="J81" t="str">
        <f t="shared" si="3"/>
        <v/>
      </c>
    </row>
    <row r="82" spans="1:10" hidden="1" x14ac:dyDescent="0.2">
      <c r="A82" s="18" t="str">
        <f t="shared" si="2"/>
        <v/>
      </c>
      <c r="B82" s="18"/>
      <c r="C82" s="18"/>
      <c r="D82" s="18"/>
      <c r="E82" s="18"/>
      <c r="F82" s="20" t="str">
        <f t="shared" si="4"/>
        <v/>
      </c>
      <c r="G82" s="18" t="str">
        <f t="shared" si="5"/>
        <v/>
      </c>
      <c r="H82" s="18"/>
      <c r="I82" s="18" t="str">
        <f>IF($B82="","",H82-IF(Ventas!D82="",0,Ventas!D82))</f>
        <v/>
      </c>
      <c r="J82" t="str">
        <f t="shared" si="3"/>
        <v/>
      </c>
    </row>
    <row r="83" spans="1:10" hidden="1" x14ac:dyDescent="0.2">
      <c r="A83" s="18" t="str">
        <f t="shared" si="2"/>
        <v/>
      </c>
      <c r="B83" s="18"/>
      <c r="C83" s="18"/>
      <c r="D83" s="18"/>
      <c r="E83" s="18"/>
      <c r="F83" s="20" t="str">
        <f t="shared" si="4"/>
        <v/>
      </c>
      <c r="G83" s="18" t="str">
        <f t="shared" si="5"/>
        <v/>
      </c>
      <c r="H83" s="18"/>
      <c r="I83" s="18" t="str">
        <f>IF($B83="","",H83-IF(Ventas!D83="",0,Ventas!D83))</f>
        <v/>
      </c>
      <c r="J83" t="str">
        <f t="shared" si="3"/>
        <v/>
      </c>
    </row>
    <row r="84" spans="1:10" hidden="1" x14ac:dyDescent="0.2">
      <c r="A84" s="18" t="str">
        <f t="shared" si="2"/>
        <v/>
      </c>
      <c r="B84" s="18"/>
      <c r="C84" s="18"/>
      <c r="D84" s="18"/>
      <c r="E84" s="18"/>
      <c r="F84" s="20" t="str">
        <f t="shared" si="4"/>
        <v/>
      </c>
      <c r="G84" s="18" t="str">
        <f t="shared" si="5"/>
        <v/>
      </c>
      <c r="H84" s="18"/>
      <c r="I84" s="18" t="str">
        <f>IF($B84="","",H84-IF(Ventas!D84="",0,Ventas!D84))</f>
        <v/>
      </c>
      <c r="J84" t="str">
        <f t="shared" si="3"/>
        <v/>
      </c>
    </row>
    <row r="85" spans="1:10" hidden="1" x14ac:dyDescent="0.2">
      <c r="A85" s="18" t="str">
        <f t="shared" si="2"/>
        <v/>
      </c>
      <c r="B85" s="18"/>
      <c r="C85" s="18"/>
      <c r="D85" s="18"/>
      <c r="E85" s="18"/>
      <c r="F85" s="20" t="str">
        <f t="shared" si="4"/>
        <v/>
      </c>
      <c r="G85" s="18" t="str">
        <f t="shared" si="5"/>
        <v/>
      </c>
      <c r="H85" s="18"/>
      <c r="I85" s="18" t="str">
        <f>IF($B85="","",H85-IF(Ventas!D85="",0,Ventas!D85))</f>
        <v/>
      </c>
      <c r="J85" t="str">
        <f t="shared" si="3"/>
        <v/>
      </c>
    </row>
    <row r="86" spans="1:10" hidden="1" x14ac:dyDescent="0.2">
      <c r="A86" s="18" t="str">
        <f t="shared" si="2"/>
        <v/>
      </c>
      <c r="B86" s="18"/>
      <c r="C86" s="18"/>
      <c r="D86" s="18"/>
      <c r="E86" s="18"/>
      <c r="F86" s="20" t="str">
        <f t="shared" si="4"/>
        <v/>
      </c>
      <c r="G86" s="18" t="str">
        <f t="shared" si="5"/>
        <v/>
      </c>
      <c r="H86" s="18"/>
      <c r="I86" s="18" t="str">
        <f>IF($B86="","",H86-IF(Ventas!D86="",0,Ventas!D86))</f>
        <v/>
      </c>
      <c r="J86" t="str">
        <f t="shared" si="3"/>
        <v/>
      </c>
    </row>
    <row r="87" spans="1:10" hidden="1" x14ac:dyDescent="0.2">
      <c r="A87" s="18" t="str">
        <f t="shared" si="2"/>
        <v/>
      </c>
      <c r="B87" s="18"/>
      <c r="C87" s="18"/>
      <c r="D87" s="18"/>
      <c r="E87" s="18"/>
      <c r="F87" s="20" t="str">
        <f t="shared" si="4"/>
        <v/>
      </c>
      <c r="G87" s="18" t="str">
        <f t="shared" si="5"/>
        <v/>
      </c>
      <c r="H87" s="18"/>
      <c r="I87" s="18" t="str">
        <f>IF($B87="","",H87-IF(Ventas!D87="",0,Ventas!D87))</f>
        <v/>
      </c>
      <c r="J87" t="str">
        <f t="shared" si="3"/>
        <v/>
      </c>
    </row>
    <row r="88" spans="1:10" hidden="1" x14ac:dyDescent="0.2">
      <c r="A88" s="18" t="str">
        <f t="shared" si="2"/>
        <v/>
      </c>
      <c r="B88" s="18"/>
      <c r="C88" s="18"/>
      <c r="D88" s="18"/>
      <c r="E88" s="18"/>
      <c r="F88" s="20" t="str">
        <f t="shared" si="4"/>
        <v/>
      </c>
      <c r="G88" s="18" t="str">
        <f t="shared" si="5"/>
        <v/>
      </c>
      <c r="H88" s="18"/>
      <c r="I88" s="18" t="str">
        <f>IF($B88="","",H88-IF(Ventas!D88="",0,Ventas!D88))</f>
        <v/>
      </c>
      <c r="J88" t="str">
        <f t="shared" si="3"/>
        <v/>
      </c>
    </row>
    <row r="89" spans="1:10" hidden="1" x14ac:dyDescent="0.2">
      <c r="A89" s="18" t="str">
        <f t="shared" si="2"/>
        <v/>
      </c>
      <c r="B89" s="18"/>
      <c r="C89" s="18"/>
      <c r="D89" s="18"/>
      <c r="E89" s="18"/>
      <c r="F89" s="20" t="str">
        <f t="shared" si="4"/>
        <v/>
      </c>
      <c r="G89" s="18" t="str">
        <f t="shared" si="5"/>
        <v/>
      </c>
      <c r="H89" s="18"/>
      <c r="I89" s="18" t="str">
        <f>IF($B89="","",H89-IF(Ventas!D89="",0,Ventas!D89))</f>
        <v/>
      </c>
      <c r="J89" t="str">
        <f t="shared" si="3"/>
        <v/>
      </c>
    </row>
    <row r="90" spans="1:10" hidden="1" x14ac:dyDescent="0.2">
      <c r="A90" s="18" t="str">
        <f t="shared" si="2"/>
        <v/>
      </c>
      <c r="B90" s="18"/>
      <c r="C90" s="18"/>
      <c r="D90" s="18"/>
      <c r="E90" s="18"/>
      <c r="F90" s="20" t="str">
        <f t="shared" si="4"/>
        <v/>
      </c>
      <c r="G90" s="18" t="str">
        <f t="shared" si="5"/>
        <v/>
      </c>
      <c r="H90" s="18"/>
      <c r="I90" s="18" t="str">
        <f>IF($B90="","",H90-IF(Ventas!D90="",0,Ventas!D90))</f>
        <v/>
      </c>
      <c r="J90" t="str">
        <f t="shared" si="3"/>
        <v/>
      </c>
    </row>
    <row r="91" spans="1:10" hidden="1" x14ac:dyDescent="0.2">
      <c r="A91" s="18" t="str">
        <f t="shared" si="2"/>
        <v/>
      </c>
      <c r="B91" s="18"/>
      <c r="C91" s="18"/>
      <c r="D91" s="18"/>
      <c r="E91" s="18"/>
      <c r="F91" s="20" t="str">
        <f t="shared" si="4"/>
        <v/>
      </c>
      <c r="G91" s="18" t="str">
        <f t="shared" si="5"/>
        <v/>
      </c>
      <c r="H91" s="18"/>
      <c r="I91" s="18" t="str">
        <f>IF($B91="","",H91-IF(Ventas!D91="",0,Ventas!D91))</f>
        <v/>
      </c>
      <c r="J91" t="str">
        <f t="shared" si="3"/>
        <v/>
      </c>
    </row>
    <row r="92" spans="1:10" hidden="1" x14ac:dyDescent="0.2">
      <c r="A92" s="18" t="str">
        <f t="shared" si="2"/>
        <v/>
      </c>
      <c r="B92" s="18"/>
      <c r="C92" s="18"/>
      <c r="D92" s="18"/>
      <c r="E92" s="18"/>
      <c r="F92" s="20" t="str">
        <f t="shared" si="4"/>
        <v/>
      </c>
      <c r="G92" s="18" t="str">
        <f t="shared" si="5"/>
        <v/>
      </c>
      <c r="H92" s="18"/>
      <c r="I92" s="18" t="str">
        <f>IF($B92="","",H92-IF(Ventas!D92="",0,Ventas!D92))</f>
        <v/>
      </c>
      <c r="J92" t="str">
        <f t="shared" si="3"/>
        <v/>
      </c>
    </row>
    <row r="93" spans="1:10" hidden="1" x14ac:dyDescent="0.2">
      <c r="A93" s="18" t="str">
        <f t="shared" si="2"/>
        <v/>
      </c>
      <c r="B93" s="18"/>
      <c r="C93" s="18"/>
      <c r="D93" s="18"/>
      <c r="E93" s="18"/>
      <c r="F93" s="20" t="str">
        <f t="shared" si="4"/>
        <v/>
      </c>
      <c r="G93" s="18" t="str">
        <f t="shared" si="5"/>
        <v/>
      </c>
      <c r="H93" s="18"/>
      <c r="I93" s="18" t="str">
        <f>IF($B93="","",H93-IF(Ventas!D93="",0,Ventas!D93))</f>
        <v/>
      </c>
      <c r="J93" t="str">
        <f t="shared" si="3"/>
        <v/>
      </c>
    </row>
    <row r="94" spans="1:10" hidden="1" x14ac:dyDescent="0.2">
      <c r="A94" s="18" t="str">
        <f t="shared" si="2"/>
        <v/>
      </c>
      <c r="B94" s="18"/>
      <c r="C94" s="18"/>
      <c r="D94" s="18"/>
      <c r="E94" s="18"/>
      <c r="F94" s="20" t="str">
        <f t="shared" si="4"/>
        <v/>
      </c>
      <c r="G94" s="18" t="str">
        <f t="shared" si="5"/>
        <v/>
      </c>
      <c r="H94" s="18"/>
      <c r="I94" s="18" t="str">
        <f>IF($B94="","",H94-IF(Ventas!D94="",0,Ventas!D94))</f>
        <v/>
      </c>
      <c r="J94" t="str">
        <f t="shared" si="3"/>
        <v/>
      </c>
    </row>
    <row r="95" spans="1:10" hidden="1" x14ac:dyDescent="0.2">
      <c r="A95" s="18" t="str">
        <f t="shared" si="2"/>
        <v/>
      </c>
      <c r="B95" s="18"/>
      <c r="C95" s="18"/>
      <c r="D95" s="18"/>
      <c r="E95" s="18"/>
      <c r="F95" s="20" t="str">
        <f t="shared" si="4"/>
        <v/>
      </c>
      <c r="G95" s="18" t="str">
        <f t="shared" si="5"/>
        <v/>
      </c>
      <c r="H95" s="18"/>
      <c r="I95" s="18" t="str">
        <f>IF($B95="","",H95-IF(Ventas!D95="",0,Ventas!D95))</f>
        <v/>
      </c>
      <c r="J95" t="str">
        <f t="shared" si="3"/>
        <v/>
      </c>
    </row>
    <row r="96" spans="1:10" hidden="1" x14ac:dyDescent="0.2">
      <c r="A96" s="18" t="str">
        <f t="shared" si="2"/>
        <v/>
      </c>
      <c r="B96" s="18"/>
      <c r="C96" s="18"/>
      <c r="D96" s="18"/>
      <c r="E96" s="18"/>
      <c r="F96" s="20" t="str">
        <f t="shared" si="4"/>
        <v/>
      </c>
      <c r="G96" s="18" t="str">
        <f t="shared" si="5"/>
        <v/>
      </c>
      <c r="H96" s="18"/>
      <c r="I96" s="18" t="str">
        <f>IF($B96="","",H96-IF(Ventas!D96="",0,Ventas!D96))</f>
        <v/>
      </c>
      <c r="J96" t="str">
        <f t="shared" si="3"/>
        <v/>
      </c>
    </row>
    <row r="97" spans="1:10" hidden="1" x14ac:dyDescent="0.2">
      <c r="A97" s="18" t="str">
        <f t="shared" si="2"/>
        <v/>
      </c>
      <c r="B97" s="18"/>
      <c r="C97" s="18"/>
      <c r="D97" s="18"/>
      <c r="E97" s="18"/>
      <c r="F97" s="20" t="str">
        <f t="shared" si="4"/>
        <v/>
      </c>
      <c r="G97" s="18" t="str">
        <f t="shared" si="5"/>
        <v/>
      </c>
      <c r="H97" s="18"/>
      <c r="I97" s="18" t="str">
        <f>IF($B97="","",H97-IF(Ventas!D97="",0,Ventas!D97))</f>
        <v/>
      </c>
      <c r="J97" t="str">
        <f t="shared" si="3"/>
        <v/>
      </c>
    </row>
    <row r="98" spans="1:10" hidden="1" x14ac:dyDescent="0.2">
      <c r="A98" s="18" t="str">
        <f t="shared" si="2"/>
        <v/>
      </c>
      <c r="B98" s="18"/>
      <c r="C98" s="18"/>
      <c r="D98" s="18"/>
      <c r="E98" s="18"/>
      <c r="F98" s="20" t="str">
        <f t="shared" si="4"/>
        <v/>
      </c>
      <c r="G98" s="18" t="str">
        <f t="shared" si="5"/>
        <v/>
      </c>
      <c r="H98" s="18"/>
      <c r="I98" s="18" t="str">
        <f>IF($B98="","",H98-IF(Ventas!D98="",0,Ventas!D98))</f>
        <v/>
      </c>
      <c r="J98" t="str">
        <f t="shared" si="3"/>
        <v/>
      </c>
    </row>
    <row r="99" spans="1:10" hidden="1" x14ac:dyDescent="0.2">
      <c r="A99" s="18" t="str">
        <f t="shared" si="2"/>
        <v/>
      </c>
      <c r="B99" s="18"/>
      <c r="C99" s="18"/>
      <c r="D99" s="18"/>
      <c r="E99" s="18"/>
      <c r="F99" s="20" t="str">
        <f t="shared" si="4"/>
        <v/>
      </c>
      <c r="G99" s="18" t="str">
        <f t="shared" si="5"/>
        <v/>
      </c>
      <c r="H99" s="18"/>
      <c r="I99" s="18" t="str">
        <f>IF($B99="","",H99-IF(Ventas!D99="",0,Ventas!D99))</f>
        <v/>
      </c>
      <c r="J99" t="str">
        <f t="shared" si="3"/>
        <v/>
      </c>
    </row>
    <row r="100" spans="1:10" hidden="1" x14ac:dyDescent="0.2">
      <c r="A100" s="18" t="str">
        <f t="shared" si="2"/>
        <v/>
      </c>
      <c r="B100" s="18"/>
      <c r="C100" s="18"/>
      <c r="D100" s="18"/>
      <c r="E100" s="18"/>
      <c r="F100" s="20" t="str">
        <f t="shared" si="4"/>
        <v/>
      </c>
      <c r="G100" s="18" t="str">
        <f t="shared" si="5"/>
        <v/>
      </c>
      <c r="H100" s="18"/>
      <c r="I100" s="18" t="str">
        <f>IF($B100="","",H100-IF(Ventas!D100="",0,Ventas!D100))</f>
        <v/>
      </c>
      <c r="J100" t="str">
        <f t="shared" si="3"/>
        <v/>
      </c>
    </row>
    <row r="101" spans="1:10" hidden="1" x14ac:dyDescent="0.2">
      <c r="A101" s="18" t="str">
        <f t="shared" si="2"/>
        <v/>
      </c>
      <c r="B101" s="18"/>
      <c r="C101" s="18"/>
      <c r="D101" s="18"/>
      <c r="E101" s="18"/>
      <c r="F101" s="20" t="str">
        <f t="shared" si="4"/>
        <v/>
      </c>
      <c r="G101" s="18" t="str">
        <f t="shared" si="5"/>
        <v/>
      </c>
      <c r="H101" s="18"/>
      <c r="I101" s="18" t="str">
        <f>IF($B101="","",H101-IF(Ventas!D101="",0,Ventas!D101))</f>
        <v/>
      </c>
      <c r="J101" t="str">
        <f t="shared" si="3"/>
        <v/>
      </c>
    </row>
    <row r="102" spans="1:10" hidden="1" x14ac:dyDescent="0.2">
      <c r="A102" s="18" t="str">
        <f t="shared" si="2"/>
        <v/>
      </c>
      <c r="B102" s="18"/>
      <c r="C102" s="18"/>
      <c r="D102" s="18"/>
      <c r="E102" s="18"/>
      <c r="F102" s="20" t="str">
        <f t="shared" si="4"/>
        <v/>
      </c>
      <c r="G102" s="18" t="str">
        <f t="shared" si="5"/>
        <v/>
      </c>
      <c r="H102" s="18"/>
      <c r="I102" s="18" t="str">
        <f>IF($B102="","",H102-IF(Ventas!D102="",0,Ventas!D102))</f>
        <v/>
      </c>
      <c r="J102" t="str">
        <f t="shared" si="3"/>
        <v/>
      </c>
    </row>
    <row r="103" spans="1:10" hidden="1" x14ac:dyDescent="0.2">
      <c r="A103" s="18" t="str">
        <f t="shared" si="2"/>
        <v/>
      </c>
      <c r="B103" s="18"/>
      <c r="C103" s="18"/>
      <c r="D103" s="18"/>
      <c r="E103" s="18"/>
      <c r="F103" s="20" t="str">
        <f t="shared" si="4"/>
        <v/>
      </c>
      <c r="G103" s="18" t="str">
        <f t="shared" si="5"/>
        <v/>
      </c>
      <c r="H103" s="18"/>
      <c r="I103" s="18" t="str">
        <f>IF($B103="","",H103-IF(Ventas!D103="",0,Ventas!D103))</f>
        <v/>
      </c>
      <c r="J103" t="str">
        <f t="shared" si="3"/>
        <v/>
      </c>
    </row>
    <row r="104" spans="1:10" hidden="1" x14ac:dyDescent="0.2">
      <c r="A104" s="18" t="str">
        <f t="shared" si="2"/>
        <v/>
      </c>
      <c r="B104" s="18"/>
      <c r="C104" s="18"/>
      <c r="D104" s="18"/>
      <c r="E104" s="18"/>
      <c r="F104" s="20" t="str">
        <f t="shared" si="4"/>
        <v/>
      </c>
      <c r="G104" s="18" t="str">
        <f t="shared" si="5"/>
        <v/>
      </c>
      <c r="H104" s="18"/>
      <c r="I104" s="18" t="str">
        <f>IF($B104="","",H104-IF(Ventas!D104="",0,Ventas!D104))</f>
        <v/>
      </c>
      <c r="J104" t="str">
        <f t="shared" si="3"/>
        <v/>
      </c>
    </row>
    <row r="105" spans="1:10" hidden="1" x14ac:dyDescent="0.2">
      <c r="A105" s="18" t="str">
        <f t="shared" si="2"/>
        <v/>
      </c>
      <c r="B105" s="18"/>
      <c r="C105" s="18"/>
      <c r="D105" s="18"/>
      <c r="E105" s="18"/>
      <c r="F105" s="20" t="str">
        <f t="shared" si="4"/>
        <v/>
      </c>
      <c r="G105" s="18" t="str">
        <f t="shared" si="5"/>
        <v/>
      </c>
      <c r="H105" s="18"/>
      <c r="I105" s="18" t="str">
        <f>IF($B105="","",H105-IF(Ventas!D105="",0,Ventas!D105))</f>
        <v/>
      </c>
      <c r="J105" t="str">
        <f t="shared" si="3"/>
        <v/>
      </c>
    </row>
    <row r="106" spans="1:10" hidden="1" x14ac:dyDescent="0.2">
      <c r="A106" s="18" t="str">
        <f t="shared" si="2"/>
        <v/>
      </c>
      <c r="B106" s="18"/>
      <c r="C106" s="18"/>
      <c r="D106" s="18"/>
      <c r="E106" s="18"/>
      <c r="F106" s="20" t="str">
        <f t="shared" si="4"/>
        <v/>
      </c>
      <c r="G106" s="18" t="str">
        <f t="shared" si="5"/>
        <v/>
      </c>
      <c r="H106" s="18"/>
      <c r="I106" s="18" t="str">
        <f>IF($B106="","",H106-IF(Ventas!D106="",0,Ventas!D106))</f>
        <v/>
      </c>
      <c r="J106" t="str">
        <f t="shared" si="3"/>
        <v/>
      </c>
    </row>
    <row r="107" spans="1:10" hidden="1" x14ac:dyDescent="0.2">
      <c r="A107" s="18" t="str">
        <f t="shared" si="2"/>
        <v/>
      </c>
      <c r="B107" s="18"/>
      <c r="C107" s="18"/>
      <c r="D107" s="18"/>
      <c r="E107" s="18"/>
      <c r="F107" s="20" t="str">
        <f t="shared" si="4"/>
        <v/>
      </c>
      <c r="G107" s="18" t="str">
        <f t="shared" si="5"/>
        <v/>
      </c>
      <c r="H107" s="18"/>
      <c r="I107" s="18" t="str">
        <f>IF($B107="","",H107-IF(Ventas!D107="",0,Ventas!D107))</f>
        <v/>
      </c>
      <c r="J107" t="str">
        <f t="shared" si="3"/>
        <v/>
      </c>
    </row>
    <row r="108" spans="1:10" hidden="1" x14ac:dyDescent="0.2">
      <c r="A108" s="18" t="str">
        <f t="shared" si="2"/>
        <v/>
      </c>
      <c r="B108" s="18"/>
      <c r="C108" s="18"/>
      <c r="D108" s="18"/>
      <c r="E108" s="18"/>
      <c r="F108" s="20" t="str">
        <f t="shared" si="4"/>
        <v/>
      </c>
      <c r="G108" s="18" t="str">
        <f t="shared" si="5"/>
        <v/>
      </c>
      <c r="H108" s="18"/>
      <c r="I108" s="18" t="str">
        <f>IF($B108="","",H108-IF(Ventas!D108="",0,Ventas!D108))</f>
        <v/>
      </c>
      <c r="J108" t="str">
        <f t="shared" si="3"/>
        <v/>
      </c>
    </row>
    <row r="109" spans="1:10" hidden="1" x14ac:dyDescent="0.2">
      <c r="A109" s="18" t="str">
        <f t="shared" si="2"/>
        <v/>
      </c>
      <c r="B109" s="18"/>
      <c r="C109" s="18"/>
      <c r="D109" s="18"/>
      <c r="E109" s="18"/>
      <c r="F109" s="20" t="str">
        <f t="shared" si="4"/>
        <v/>
      </c>
      <c r="G109" s="18" t="str">
        <f t="shared" si="5"/>
        <v/>
      </c>
      <c r="H109" s="18"/>
      <c r="I109" s="18" t="str">
        <f>IF($B109="","",H109-IF(Ventas!D109="",0,Ventas!D109))</f>
        <v/>
      </c>
      <c r="J109" t="str">
        <f t="shared" si="3"/>
        <v/>
      </c>
    </row>
    <row r="110" spans="1:10" hidden="1" x14ac:dyDescent="0.2">
      <c r="A110" s="18" t="str">
        <f t="shared" si="2"/>
        <v/>
      </c>
      <c r="B110" s="18"/>
      <c r="C110" s="18"/>
      <c r="D110" s="18"/>
      <c r="E110" s="18"/>
      <c r="F110" s="20" t="str">
        <f t="shared" si="4"/>
        <v/>
      </c>
      <c r="G110" s="18" t="str">
        <f t="shared" si="5"/>
        <v/>
      </c>
      <c r="H110" s="18"/>
      <c r="I110" s="18" t="str">
        <f>IF($B110="","",H110-IF(Ventas!D110="",0,Ventas!D110))</f>
        <v/>
      </c>
      <c r="J110" t="str">
        <f t="shared" si="3"/>
        <v/>
      </c>
    </row>
    <row r="111" spans="1:10" hidden="1" x14ac:dyDescent="0.2">
      <c r="A111" s="18" t="str">
        <f t="shared" si="2"/>
        <v/>
      </c>
      <c r="B111" s="18"/>
      <c r="C111" s="18"/>
      <c r="D111" s="18"/>
      <c r="E111" s="18"/>
      <c r="F111" s="20" t="str">
        <f t="shared" si="4"/>
        <v/>
      </c>
      <c r="G111" s="18" t="str">
        <f t="shared" si="5"/>
        <v/>
      </c>
      <c r="H111" s="18"/>
      <c r="I111" s="18" t="str">
        <f>IF($B111="","",H111-IF(Ventas!D111="",0,Ventas!D111))</f>
        <v/>
      </c>
      <c r="J111" t="str">
        <f t="shared" si="3"/>
        <v/>
      </c>
    </row>
    <row r="112" spans="1:10" hidden="1" x14ac:dyDescent="0.2">
      <c r="A112" s="18" t="str">
        <f t="shared" si="2"/>
        <v/>
      </c>
      <c r="B112" s="18"/>
      <c r="C112" s="18"/>
      <c r="D112" s="18"/>
      <c r="E112" s="18"/>
      <c r="F112" s="20" t="str">
        <f t="shared" si="4"/>
        <v/>
      </c>
      <c r="G112" s="18" t="str">
        <f t="shared" si="5"/>
        <v/>
      </c>
      <c r="H112" s="18"/>
      <c r="I112" s="18" t="str">
        <f>IF($B112="","",H112-IF(Ventas!D112="",0,Ventas!D112))</f>
        <v/>
      </c>
      <c r="J112" t="str">
        <f t="shared" si="3"/>
        <v/>
      </c>
    </row>
    <row r="113" spans="1:10" hidden="1" x14ac:dyDescent="0.2">
      <c r="A113" s="18" t="str">
        <f t="shared" si="2"/>
        <v/>
      </c>
      <c r="B113" s="18"/>
      <c r="C113" s="18"/>
      <c r="D113" s="18"/>
      <c r="E113" s="18"/>
      <c r="F113" s="20" t="str">
        <f t="shared" si="4"/>
        <v/>
      </c>
      <c r="G113" s="18" t="str">
        <f t="shared" si="5"/>
        <v/>
      </c>
      <c r="H113" s="18"/>
      <c r="I113" s="18" t="str">
        <f>IF($B113="","",H113-IF(Ventas!D113="",0,Ventas!D113))</f>
        <v/>
      </c>
      <c r="J113" t="str">
        <f t="shared" si="3"/>
        <v/>
      </c>
    </row>
    <row r="114" spans="1:10" hidden="1" x14ac:dyDescent="0.2">
      <c r="A114" s="18" t="str">
        <f t="shared" si="2"/>
        <v/>
      </c>
      <c r="B114" s="18"/>
      <c r="C114" s="18"/>
      <c r="D114" s="18"/>
      <c r="E114" s="18"/>
      <c r="F114" s="20" t="str">
        <f t="shared" si="4"/>
        <v/>
      </c>
      <c r="G114" s="18" t="str">
        <f t="shared" si="5"/>
        <v/>
      </c>
      <c r="H114" s="18"/>
      <c r="I114" s="18" t="str">
        <f>IF($B114="","",H114-IF(Ventas!D114="",0,Ventas!D114))</f>
        <v/>
      </c>
      <c r="J114" t="str">
        <f t="shared" si="3"/>
        <v/>
      </c>
    </row>
    <row r="115" spans="1:10" hidden="1" x14ac:dyDescent="0.2">
      <c r="A115" s="18" t="str">
        <f t="shared" si="2"/>
        <v/>
      </c>
      <c r="B115" s="18"/>
      <c r="C115" s="18"/>
      <c r="D115" s="18"/>
      <c r="E115" s="18"/>
      <c r="F115" s="20" t="str">
        <f t="shared" si="4"/>
        <v/>
      </c>
      <c r="G115" s="18" t="str">
        <f t="shared" si="5"/>
        <v/>
      </c>
      <c r="H115" s="18"/>
      <c r="I115" s="18" t="str">
        <f>IF($B115="","",H115-IF(Ventas!D115="",0,Ventas!D115))</f>
        <v/>
      </c>
      <c r="J115" t="str">
        <f t="shared" si="3"/>
        <v/>
      </c>
    </row>
    <row r="116" spans="1:10" hidden="1" x14ac:dyDescent="0.2">
      <c r="A116" s="18" t="str">
        <f t="shared" si="2"/>
        <v/>
      </c>
      <c r="B116" s="18"/>
      <c r="C116" s="18"/>
      <c r="D116" s="18"/>
      <c r="E116" s="18"/>
      <c r="F116" s="20" t="str">
        <f t="shared" si="4"/>
        <v/>
      </c>
      <c r="G116" s="18" t="str">
        <f t="shared" si="5"/>
        <v/>
      </c>
      <c r="H116" s="18"/>
      <c r="I116" s="18" t="str">
        <f>IF($B116="","",H116-IF(Ventas!D116="",0,Ventas!D116))</f>
        <v/>
      </c>
      <c r="J116" t="str">
        <f t="shared" si="3"/>
        <v/>
      </c>
    </row>
    <row r="117" spans="1:10" hidden="1" x14ac:dyDescent="0.2">
      <c r="A117" s="18" t="str">
        <f t="shared" si="2"/>
        <v/>
      </c>
      <c r="B117" s="18"/>
      <c r="C117" s="18"/>
      <c r="D117" s="18"/>
      <c r="E117" s="18"/>
      <c r="F117" s="20" t="str">
        <f t="shared" si="4"/>
        <v/>
      </c>
      <c r="G117" s="18" t="str">
        <f t="shared" si="5"/>
        <v/>
      </c>
      <c r="H117" s="18"/>
      <c r="I117" s="18" t="str">
        <f>IF($B117="","",H117-IF(Ventas!D117="",0,Ventas!D117))</f>
        <v/>
      </c>
      <c r="J117" t="str">
        <f t="shared" si="3"/>
        <v/>
      </c>
    </row>
    <row r="118" spans="1:10" hidden="1" x14ac:dyDescent="0.2">
      <c r="A118" s="18" t="str">
        <f t="shared" si="2"/>
        <v/>
      </c>
      <c r="B118" s="18"/>
      <c r="C118" s="18"/>
      <c r="D118" s="18"/>
      <c r="E118" s="18"/>
      <c r="F118" s="20" t="str">
        <f t="shared" si="4"/>
        <v/>
      </c>
      <c r="G118" s="18" t="str">
        <f t="shared" si="5"/>
        <v/>
      </c>
      <c r="H118" s="18"/>
      <c r="I118" s="18" t="str">
        <f>IF($B118="","",H118-IF(Ventas!D118="",0,Ventas!D118))</f>
        <v/>
      </c>
      <c r="J118" t="str">
        <f t="shared" si="3"/>
        <v/>
      </c>
    </row>
    <row r="119" spans="1:10" hidden="1" x14ac:dyDescent="0.2">
      <c r="A119" s="18" t="str">
        <f t="shared" si="2"/>
        <v/>
      </c>
      <c r="B119" s="18"/>
      <c r="C119" s="18"/>
      <c r="D119" s="18"/>
      <c r="E119" s="18"/>
      <c r="F119" s="20" t="str">
        <f t="shared" si="4"/>
        <v/>
      </c>
      <c r="G119" s="18" t="str">
        <f t="shared" si="5"/>
        <v/>
      </c>
      <c r="H119" s="18"/>
      <c r="I119" s="18" t="str">
        <f>IF($B119="","",H119-IF(Ventas!D119="",0,Ventas!D119))</f>
        <v/>
      </c>
      <c r="J119" t="str">
        <f t="shared" si="3"/>
        <v/>
      </c>
    </row>
    <row r="120" spans="1:10" hidden="1" x14ac:dyDescent="0.2">
      <c r="A120" s="18" t="str">
        <f t="shared" si="2"/>
        <v/>
      </c>
      <c r="B120" s="18"/>
      <c r="C120" s="18"/>
      <c r="D120" s="18"/>
      <c r="E120" s="18"/>
      <c r="F120" s="20" t="str">
        <f t="shared" si="4"/>
        <v/>
      </c>
      <c r="G120" s="18" t="str">
        <f t="shared" si="5"/>
        <v/>
      </c>
      <c r="H120" s="18"/>
      <c r="I120" s="18" t="str">
        <f>IF($B120="","",H120-IF(Ventas!D120="",0,Ventas!D120))</f>
        <v/>
      </c>
      <c r="J120" t="str">
        <f t="shared" si="3"/>
        <v/>
      </c>
    </row>
    <row r="121" spans="1:10" hidden="1" x14ac:dyDescent="0.2">
      <c r="A121" s="18" t="str">
        <f t="shared" si="2"/>
        <v/>
      </c>
      <c r="B121" s="18"/>
      <c r="C121" s="18"/>
      <c r="D121" s="18"/>
      <c r="E121" s="18"/>
      <c r="F121" s="20" t="str">
        <f t="shared" si="4"/>
        <v/>
      </c>
      <c r="G121" s="18" t="str">
        <f t="shared" si="5"/>
        <v/>
      </c>
      <c r="H121" s="18"/>
      <c r="I121" s="18" t="str">
        <f>IF($B121="","",H121-IF(Ventas!D121="",0,Ventas!D121))</f>
        <v/>
      </c>
      <c r="J121" t="str">
        <f t="shared" si="3"/>
        <v/>
      </c>
    </row>
    <row r="122" spans="1:10" hidden="1" x14ac:dyDescent="0.2">
      <c r="A122" s="18" t="str">
        <f t="shared" si="2"/>
        <v/>
      </c>
      <c r="B122" s="18"/>
      <c r="C122" s="18"/>
      <c r="D122" s="18"/>
      <c r="E122" s="18"/>
      <c r="F122" s="20" t="str">
        <f t="shared" si="4"/>
        <v/>
      </c>
      <c r="G122" s="18" t="str">
        <f t="shared" si="5"/>
        <v/>
      </c>
      <c r="H122" s="18"/>
      <c r="I122" s="18" t="str">
        <f>IF($B122="","",H122-IF(Ventas!D122="",0,Ventas!D122))</f>
        <v/>
      </c>
      <c r="J122" t="str">
        <f t="shared" si="3"/>
        <v/>
      </c>
    </row>
    <row r="123" spans="1:10" hidden="1" x14ac:dyDescent="0.2">
      <c r="A123" s="18" t="str">
        <f t="shared" si="2"/>
        <v/>
      </c>
      <c r="B123" s="18"/>
      <c r="C123" s="18"/>
      <c r="D123" s="18"/>
      <c r="E123" s="18"/>
      <c r="F123" s="20" t="str">
        <f t="shared" si="4"/>
        <v/>
      </c>
      <c r="G123" s="18" t="str">
        <f t="shared" si="5"/>
        <v/>
      </c>
      <c r="H123" s="18"/>
      <c r="I123" s="18" t="str">
        <f>IF($B123="","",H123-IF(Ventas!D123="",0,Ventas!D123))</f>
        <v/>
      </c>
      <c r="J123" t="str">
        <f t="shared" si="3"/>
        <v/>
      </c>
    </row>
    <row r="124" spans="1:10" hidden="1" x14ac:dyDescent="0.2">
      <c r="A124" s="18" t="str">
        <f t="shared" si="2"/>
        <v/>
      </c>
      <c r="B124" s="18"/>
      <c r="C124" s="18"/>
      <c r="D124" s="18"/>
      <c r="E124" s="18"/>
      <c r="F124" s="20" t="str">
        <f t="shared" si="4"/>
        <v/>
      </c>
      <c r="G124" s="18" t="str">
        <f t="shared" si="5"/>
        <v/>
      </c>
      <c r="H124" s="18"/>
      <c r="I124" s="18" t="str">
        <f>IF($B124="","",H124-IF(Ventas!D124="",0,Ventas!D124))</f>
        <v/>
      </c>
      <c r="J124" t="str">
        <f t="shared" si="3"/>
        <v/>
      </c>
    </row>
    <row r="125" spans="1:10" hidden="1" x14ac:dyDescent="0.2">
      <c r="A125" s="18" t="str">
        <f t="shared" si="2"/>
        <v/>
      </c>
      <c r="B125" s="18"/>
      <c r="C125" s="18"/>
      <c r="D125" s="18"/>
      <c r="E125" s="18"/>
      <c r="F125" s="20" t="str">
        <f t="shared" si="4"/>
        <v/>
      </c>
      <c r="G125" s="18" t="str">
        <f t="shared" si="5"/>
        <v/>
      </c>
      <c r="H125" s="18"/>
      <c r="I125" s="18" t="str">
        <f>IF($B125="","",H125-IF(Ventas!D125="",0,Ventas!D125))</f>
        <v/>
      </c>
      <c r="J125" t="str">
        <f t="shared" si="3"/>
        <v/>
      </c>
    </row>
    <row r="126" spans="1:10" hidden="1" x14ac:dyDescent="0.2">
      <c r="A126" s="18" t="str">
        <f t="shared" si="2"/>
        <v/>
      </c>
      <c r="B126" s="18"/>
      <c r="C126" s="18"/>
      <c r="D126" s="18"/>
      <c r="E126" s="18"/>
      <c r="F126" s="20" t="str">
        <f t="shared" si="4"/>
        <v/>
      </c>
      <c r="G126" s="18" t="str">
        <f t="shared" si="5"/>
        <v/>
      </c>
      <c r="H126" s="18"/>
      <c r="I126" s="18" t="str">
        <f>IF($B126="","",H126-IF(Ventas!D126="",0,Ventas!D126))</f>
        <v/>
      </c>
      <c r="J126" t="str">
        <f t="shared" si="3"/>
        <v/>
      </c>
    </row>
    <row r="127" spans="1:10" hidden="1" x14ac:dyDescent="0.2">
      <c r="A127" s="18" t="str">
        <f t="shared" si="2"/>
        <v/>
      </c>
      <c r="B127" s="18"/>
      <c r="C127" s="18"/>
      <c r="D127" s="18"/>
      <c r="E127" s="18"/>
      <c r="F127" s="20" t="str">
        <f t="shared" si="4"/>
        <v/>
      </c>
      <c r="G127" s="18" t="str">
        <f t="shared" si="5"/>
        <v/>
      </c>
      <c r="H127" s="18"/>
      <c r="I127" s="18" t="str">
        <f>IF($B127="","",H127-IF(Ventas!D127="",0,Ventas!D127))</f>
        <v/>
      </c>
      <c r="J127" t="str">
        <f t="shared" si="3"/>
        <v/>
      </c>
    </row>
    <row r="128" spans="1:10" hidden="1" x14ac:dyDescent="0.2">
      <c r="A128" s="18" t="str">
        <f t="shared" si="2"/>
        <v/>
      </c>
      <c r="B128" s="18"/>
      <c r="C128" s="18"/>
      <c r="D128" s="18"/>
      <c r="E128" s="18"/>
      <c r="F128" s="20" t="str">
        <f t="shared" si="4"/>
        <v/>
      </c>
      <c r="G128" s="18" t="str">
        <f t="shared" si="5"/>
        <v/>
      </c>
      <c r="H128" s="18"/>
      <c r="I128" s="18" t="str">
        <f>IF($B128="","",H128-IF(Ventas!D128="",0,Ventas!D128))</f>
        <v/>
      </c>
      <c r="J128" t="str">
        <f t="shared" si="3"/>
        <v/>
      </c>
    </row>
    <row r="129" spans="1:10" hidden="1" x14ac:dyDescent="0.2">
      <c r="A129" s="18" t="str">
        <f t="shared" si="2"/>
        <v/>
      </c>
      <c r="B129" s="18"/>
      <c r="C129" s="18"/>
      <c r="D129" s="18"/>
      <c r="E129" s="18"/>
      <c r="F129" s="20" t="str">
        <f t="shared" si="4"/>
        <v/>
      </c>
      <c r="G129" s="18" t="str">
        <f t="shared" si="5"/>
        <v/>
      </c>
      <c r="H129" s="18"/>
      <c r="I129" s="18" t="str">
        <f>IF($B129="","",H129-IF(Ventas!D129="",0,Ventas!D129))</f>
        <v/>
      </c>
      <c r="J129" t="str">
        <f t="shared" si="3"/>
        <v/>
      </c>
    </row>
    <row r="130" spans="1:10" hidden="1" x14ac:dyDescent="0.2">
      <c r="A130" s="18" t="str">
        <f t="shared" si="2"/>
        <v/>
      </c>
      <c r="B130" s="18"/>
      <c r="C130" s="18"/>
      <c r="D130" s="18"/>
      <c r="E130" s="18"/>
      <c r="F130" s="20" t="str">
        <f t="shared" si="4"/>
        <v/>
      </c>
      <c r="G130" s="18" t="str">
        <f t="shared" si="5"/>
        <v/>
      </c>
      <c r="H130" s="18"/>
      <c r="I130" s="18" t="str">
        <f>IF($B130="","",H130-IF(Ventas!D130="",0,Ventas!D130))</f>
        <v/>
      </c>
      <c r="J130" t="str">
        <f t="shared" si="3"/>
        <v/>
      </c>
    </row>
    <row r="131" spans="1:10" hidden="1" x14ac:dyDescent="0.2">
      <c r="A131" s="18" t="str">
        <f t="shared" ref="A131:A194" si="6">IF(B131="","","P"&amp;TEXT(ROW()-1,"000"))</f>
        <v/>
      </c>
      <c r="B131" s="18"/>
      <c r="C131" s="18"/>
      <c r="D131" s="18"/>
      <c r="E131" s="18"/>
      <c r="F131" s="20" t="str">
        <f t="shared" ref="F131:F194" si="7">IF(OR(E131="",D131="",D131=0),"",E131/D131)</f>
        <v/>
      </c>
      <c r="G131" s="18" t="str">
        <f t="shared" si="5"/>
        <v/>
      </c>
      <c r="H131" s="18"/>
      <c r="I131" s="18" t="str">
        <f>IF($B131="","",H131-IF(Ventas!D131="",0,Ventas!D131))</f>
        <v/>
      </c>
      <c r="J131" t="str">
        <f t="shared" ref="J131:J194" si="8">IF($B131="","",IF(N(I131)=0,"Agotado","Activo"))</f>
        <v/>
      </c>
    </row>
    <row r="132" spans="1:10" hidden="1" x14ac:dyDescent="0.2">
      <c r="A132" s="18" t="str">
        <f t="shared" si="6"/>
        <v/>
      </c>
      <c r="B132" s="18"/>
      <c r="C132" s="18"/>
      <c r="D132" s="18"/>
      <c r="E132" s="18"/>
      <c r="F132" s="20" t="str">
        <f t="shared" si="7"/>
        <v/>
      </c>
      <c r="G132" s="18" t="str">
        <f t="shared" si="5"/>
        <v/>
      </c>
      <c r="H132" s="18"/>
      <c r="I132" s="18" t="str">
        <f>IF($B132="","",H132-IF(Ventas!D132="",0,Ventas!D132))</f>
        <v/>
      </c>
      <c r="J132" t="str">
        <f t="shared" si="8"/>
        <v/>
      </c>
    </row>
    <row r="133" spans="1:10" hidden="1" x14ac:dyDescent="0.2">
      <c r="A133" s="18" t="str">
        <f t="shared" si="6"/>
        <v/>
      </c>
      <c r="B133" s="18"/>
      <c r="C133" s="18"/>
      <c r="D133" s="18"/>
      <c r="E133" s="18"/>
      <c r="F133" s="20" t="str">
        <f t="shared" si="7"/>
        <v/>
      </c>
      <c r="G133" s="18" t="str">
        <f t="shared" si="5"/>
        <v/>
      </c>
      <c r="H133" s="18"/>
      <c r="I133" s="18" t="str">
        <f>IF($B133="","",H133-IF(Ventas!D133="",0,Ventas!D133))</f>
        <v/>
      </c>
      <c r="J133" t="str">
        <f t="shared" si="8"/>
        <v/>
      </c>
    </row>
    <row r="134" spans="1:10" hidden="1" x14ac:dyDescent="0.2">
      <c r="A134" s="18" t="str">
        <f t="shared" si="6"/>
        <v/>
      </c>
      <c r="B134" s="18"/>
      <c r="C134" s="18"/>
      <c r="D134" s="18"/>
      <c r="E134" s="18"/>
      <c r="F134" s="20" t="str">
        <f t="shared" si="7"/>
        <v/>
      </c>
      <c r="G134" s="18" t="str">
        <f t="shared" ref="G134:G197" si="9">IF(F134="","",ROUND(F134*1.33,0))</f>
        <v/>
      </c>
      <c r="H134" s="18"/>
      <c r="I134" s="18" t="str">
        <f>IF($B134="","",H134-IF(Ventas!D134="",0,Ventas!D134))</f>
        <v/>
      </c>
      <c r="J134" t="str">
        <f t="shared" si="8"/>
        <v/>
      </c>
    </row>
    <row r="135" spans="1:10" hidden="1" x14ac:dyDescent="0.2">
      <c r="A135" s="18" t="str">
        <f t="shared" si="6"/>
        <v/>
      </c>
      <c r="B135" s="18"/>
      <c r="C135" s="18"/>
      <c r="D135" s="18"/>
      <c r="E135" s="18"/>
      <c r="F135" s="20" t="str">
        <f t="shared" si="7"/>
        <v/>
      </c>
      <c r="G135" s="18" t="str">
        <f t="shared" si="9"/>
        <v/>
      </c>
      <c r="H135" s="18"/>
      <c r="I135" s="18" t="str">
        <f>IF($B135="","",H135-IF(Ventas!D135="",0,Ventas!D135))</f>
        <v/>
      </c>
      <c r="J135" t="str">
        <f t="shared" si="8"/>
        <v/>
      </c>
    </row>
    <row r="136" spans="1:10" hidden="1" x14ac:dyDescent="0.2">
      <c r="A136" s="18" t="str">
        <f t="shared" si="6"/>
        <v/>
      </c>
      <c r="B136" s="18"/>
      <c r="C136" s="18"/>
      <c r="D136" s="18"/>
      <c r="E136" s="18"/>
      <c r="F136" s="20" t="str">
        <f t="shared" si="7"/>
        <v/>
      </c>
      <c r="G136" s="18" t="str">
        <f t="shared" si="9"/>
        <v/>
      </c>
      <c r="H136" s="18"/>
      <c r="I136" s="18" t="str">
        <f>IF($B136="","",H136-IF(Ventas!D136="",0,Ventas!D136))</f>
        <v/>
      </c>
      <c r="J136" t="str">
        <f t="shared" si="8"/>
        <v/>
      </c>
    </row>
    <row r="137" spans="1:10" hidden="1" x14ac:dyDescent="0.2">
      <c r="A137" s="18" t="str">
        <f t="shared" si="6"/>
        <v/>
      </c>
      <c r="B137" s="18"/>
      <c r="C137" s="18"/>
      <c r="D137" s="18"/>
      <c r="E137" s="18"/>
      <c r="F137" s="20" t="str">
        <f t="shared" si="7"/>
        <v/>
      </c>
      <c r="G137" s="18" t="str">
        <f t="shared" si="9"/>
        <v/>
      </c>
      <c r="H137" s="18"/>
      <c r="I137" s="18" t="str">
        <f>IF($B137="","",H137-IF(Ventas!D137="",0,Ventas!D137))</f>
        <v/>
      </c>
      <c r="J137" t="str">
        <f t="shared" si="8"/>
        <v/>
      </c>
    </row>
    <row r="138" spans="1:10" hidden="1" x14ac:dyDescent="0.2">
      <c r="A138" s="18" t="str">
        <f t="shared" si="6"/>
        <v/>
      </c>
      <c r="B138" s="18"/>
      <c r="C138" s="18"/>
      <c r="D138" s="18"/>
      <c r="E138" s="18"/>
      <c r="F138" s="20" t="str">
        <f t="shared" si="7"/>
        <v/>
      </c>
      <c r="G138" s="18" t="str">
        <f t="shared" si="9"/>
        <v/>
      </c>
      <c r="H138" s="18"/>
      <c r="I138" s="18" t="str">
        <f>IF($B138="","",H138-IF(Ventas!D138="",0,Ventas!D138))</f>
        <v/>
      </c>
      <c r="J138" t="str">
        <f t="shared" si="8"/>
        <v/>
      </c>
    </row>
    <row r="139" spans="1:10" hidden="1" x14ac:dyDescent="0.2">
      <c r="A139" s="18" t="str">
        <f t="shared" si="6"/>
        <v/>
      </c>
      <c r="B139" s="18"/>
      <c r="C139" s="18"/>
      <c r="D139" s="18"/>
      <c r="E139" s="18"/>
      <c r="F139" s="20" t="str">
        <f t="shared" si="7"/>
        <v/>
      </c>
      <c r="G139" s="18" t="str">
        <f t="shared" si="9"/>
        <v/>
      </c>
      <c r="H139" s="18"/>
      <c r="I139" s="18" t="str">
        <f>IF($B139="","",H139-IF(Ventas!D139="",0,Ventas!D139))</f>
        <v/>
      </c>
      <c r="J139" t="str">
        <f t="shared" si="8"/>
        <v/>
      </c>
    </row>
    <row r="140" spans="1:10" hidden="1" x14ac:dyDescent="0.2">
      <c r="A140" s="18" t="str">
        <f t="shared" si="6"/>
        <v/>
      </c>
      <c r="B140" s="18"/>
      <c r="C140" s="18"/>
      <c r="D140" s="18"/>
      <c r="E140" s="18"/>
      <c r="F140" s="20" t="str">
        <f t="shared" si="7"/>
        <v/>
      </c>
      <c r="G140" s="18" t="str">
        <f t="shared" si="9"/>
        <v/>
      </c>
      <c r="H140" s="18"/>
      <c r="I140" s="18" t="str">
        <f>IF($B140="","",H140-IF(Ventas!D140="",0,Ventas!D140))</f>
        <v/>
      </c>
      <c r="J140" t="str">
        <f t="shared" si="8"/>
        <v/>
      </c>
    </row>
    <row r="141" spans="1:10" hidden="1" x14ac:dyDescent="0.2">
      <c r="A141" s="18" t="str">
        <f t="shared" si="6"/>
        <v/>
      </c>
      <c r="B141" s="18"/>
      <c r="C141" s="18"/>
      <c r="D141" s="18"/>
      <c r="E141" s="18"/>
      <c r="F141" s="20" t="str">
        <f t="shared" si="7"/>
        <v/>
      </c>
      <c r="G141" s="18" t="str">
        <f t="shared" si="9"/>
        <v/>
      </c>
      <c r="H141" s="18"/>
      <c r="I141" s="18" t="str">
        <f>IF($B141="","",H141-IF(Ventas!D141="",0,Ventas!D141))</f>
        <v/>
      </c>
      <c r="J141" t="str">
        <f t="shared" si="8"/>
        <v/>
      </c>
    </row>
    <row r="142" spans="1:10" hidden="1" x14ac:dyDescent="0.2">
      <c r="A142" s="18" t="str">
        <f t="shared" si="6"/>
        <v/>
      </c>
      <c r="B142" s="18"/>
      <c r="C142" s="18"/>
      <c r="D142" s="18"/>
      <c r="E142" s="18"/>
      <c r="F142" s="20" t="str">
        <f t="shared" si="7"/>
        <v/>
      </c>
      <c r="G142" s="18" t="str">
        <f t="shared" si="9"/>
        <v/>
      </c>
      <c r="H142" s="18"/>
      <c r="I142" s="18" t="str">
        <f>IF($B142="","",H142-IF(Ventas!D142="",0,Ventas!D142))</f>
        <v/>
      </c>
      <c r="J142" t="str">
        <f t="shared" si="8"/>
        <v/>
      </c>
    </row>
    <row r="143" spans="1:10" hidden="1" x14ac:dyDescent="0.2">
      <c r="A143" s="18" t="str">
        <f t="shared" si="6"/>
        <v/>
      </c>
      <c r="B143" s="18"/>
      <c r="C143" s="18"/>
      <c r="D143" s="18"/>
      <c r="E143" s="18"/>
      <c r="F143" s="20" t="str">
        <f t="shared" si="7"/>
        <v/>
      </c>
      <c r="G143" s="18" t="str">
        <f t="shared" si="9"/>
        <v/>
      </c>
      <c r="H143" s="18"/>
      <c r="I143" s="18" t="str">
        <f>IF($B143="","",H143-IF(Ventas!D143="",0,Ventas!D143))</f>
        <v/>
      </c>
      <c r="J143" t="str">
        <f t="shared" si="8"/>
        <v/>
      </c>
    </row>
    <row r="144" spans="1:10" hidden="1" x14ac:dyDescent="0.2">
      <c r="A144" s="18" t="str">
        <f t="shared" si="6"/>
        <v/>
      </c>
      <c r="B144" s="18"/>
      <c r="C144" s="18"/>
      <c r="D144" s="18"/>
      <c r="E144" s="18"/>
      <c r="F144" s="20" t="str">
        <f t="shared" si="7"/>
        <v/>
      </c>
      <c r="G144" s="18" t="str">
        <f t="shared" si="9"/>
        <v/>
      </c>
      <c r="H144" s="18"/>
      <c r="I144" s="18" t="str">
        <f>IF($B144="","",H144-IF(Ventas!D144="",0,Ventas!D144))</f>
        <v/>
      </c>
      <c r="J144" t="str">
        <f t="shared" si="8"/>
        <v/>
      </c>
    </row>
    <row r="145" spans="1:10" hidden="1" x14ac:dyDescent="0.2">
      <c r="A145" s="18" t="str">
        <f t="shared" si="6"/>
        <v/>
      </c>
      <c r="B145" s="18"/>
      <c r="C145" s="18"/>
      <c r="D145" s="18"/>
      <c r="E145" s="18"/>
      <c r="F145" s="20" t="str">
        <f t="shared" si="7"/>
        <v/>
      </c>
      <c r="G145" s="18" t="str">
        <f t="shared" si="9"/>
        <v/>
      </c>
      <c r="H145" s="18"/>
      <c r="I145" s="18" t="str">
        <f>IF($B145="","",H145-IF(Ventas!D145="",0,Ventas!D145))</f>
        <v/>
      </c>
      <c r="J145" t="str">
        <f t="shared" si="8"/>
        <v/>
      </c>
    </row>
    <row r="146" spans="1:10" hidden="1" x14ac:dyDescent="0.2">
      <c r="A146" s="18" t="str">
        <f t="shared" si="6"/>
        <v/>
      </c>
      <c r="B146" s="18"/>
      <c r="C146" s="18"/>
      <c r="D146" s="18"/>
      <c r="E146" s="18"/>
      <c r="F146" s="20" t="str">
        <f t="shared" si="7"/>
        <v/>
      </c>
      <c r="G146" s="18" t="str">
        <f t="shared" si="9"/>
        <v/>
      </c>
      <c r="H146" s="18"/>
      <c r="I146" s="18" t="str">
        <f>IF($B146="","",H146-IF(Ventas!D146="",0,Ventas!D146))</f>
        <v/>
      </c>
      <c r="J146" t="str">
        <f t="shared" si="8"/>
        <v/>
      </c>
    </row>
    <row r="147" spans="1:10" hidden="1" x14ac:dyDescent="0.2">
      <c r="A147" s="18" t="str">
        <f t="shared" si="6"/>
        <v/>
      </c>
      <c r="B147" s="18"/>
      <c r="C147" s="18"/>
      <c r="D147" s="18"/>
      <c r="E147" s="18"/>
      <c r="F147" s="20" t="str">
        <f t="shared" si="7"/>
        <v/>
      </c>
      <c r="G147" s="18" t="str">
        <f t="shared" si="9"/>
        <v/>
      </c>
      <c r="H147" s="18"/>
      <c r="I147" s="18" t="str">
        <f>IF($B147="","",H147-IF(Ventas!D147="",0,Ventas!D147))</f>
        <v/>
      </c>
      <c r="J147" t="str">
        <f t="shared" si="8"/>
        <v/>
      </c>
    </row>
    <row r="148" spans="1:10" hidden="1" x14ac:dyDescent="0.2">
      <c r="A148" s="18" t="str">
        <f t="shared" si="6"/>
        <v/>
      </c>
      <c r="B148" s="18"/>
      <c r="C148" s="18"/>
      <c r="D148" s="18"/>
      <c r="E148" s="18"/>
      <c r="F148" s="20" t="str">
        <f t="shared" si="7"/>
        <v/>
      </c>
      <c r="G148" s="18" t="str">
        <f t="shared" si="9"/>
        <v/>
      </c>
      <c r="H148" s="18"/>
      <c r="I148" s="18" t="str">
        <f>IF($B148="","",H148-IF(Ventas!D148="",0,Ventas!D148))</f>
        <v/>
      </c>
      <c r="J148" t="str">
        <f t="shared" si="8"/>
        <v/>
      </c>
    </row>
    <row r="149" spans="1:10" hidden="1" x14ac:dyDescent="0.2">
      <c r="A149" s="18" t="str">
        <f t="shared" si="6"/>
        <v/>
      </c>
      <c r="B149" s="18"/>
      <c r="C149" s="18"/>
      <c r="D149" s="18"/>
      <c r="E149" s="18"/>
      <c r="F149" s="20" t="str">
        <f t="shared" si="7"/>
        <v/>
      </c>
      <c r="G149" s="18" t="str">
        <f t="shared" si="9"/>
        <v/>
      </c>
      <c r="H149" s="18"/>
      <c r="I149" s="18" t="str">
        <f>IF($B149="","",H149-IF(Ventas!D149="",0,Ventas!D149))</f>
        <v/>
      </c>
      <c r="J149" t="str">
        <f t="shared" si="8"/>
        <v/>
      </c>
    </row>
    <row r="150" spans="1:10" hidden="1" x14ac:dyDescent="0.2">
      <c r="A150" s="18" t="str">
        <f t="shared" si="6"/>
        <v/>
      </c>
      <c r="B150" s="18"/>
      <c r="C150" s="18"/>
      <c r="D150" s="18"/>
      <c r="E150" s="18"/>
      <c r="F150" s="20" t="str">
        <f t="shared" si="7"/>
        <v/>
      </c>
      <c r="G150" s="18" t="str">
        <f t="shared" si="9"/>
        <v/>
      </c>
      <c r="H150" s="18"/>
      <c r="I150" s="18" t="str">
        <f>IF($B150="","",H150-IF(Ventas!D150="",0,Ventas!D150))</f>
        <v/>
      </c>
      <c r="J150" t="str">
        <f t="shared" si="8"/>
        <v/>
      </c>
    </row>
    <row r="151" spans="1:10" hidden="1" x14ac:dyDescent="0.2">
      <c r="A151" s="18" t="str">
        <f t="shared" si="6"/>
        <v/>
      </c>
      <c r="B151" s="18"/>
      <c r="C151" s="18"/>
      <c r="D151" s="18"/>
      <c r="E151" s="18"/>
      <c r="F151" s="20" t="str">
        <f t="shared" si="7"/>
        <v/>
      </c>
      <c r="G151" s="18" t="str">
        <f t="shared" si="9"/>
        <v/>
      </c>
      <c r="H151" s="18"/>
      <c r="I151" s="18" t="str">
        <f>IF($B151="","",H151-IF(Ventas!D151="",0,Ventas!D151))</f>
        <v/>
      </c>
      <c r="J151" t="str">
        <f t="shared" si="8"/>
        <v/>
      </c>
    </row>
    <row r="152" spans="1:10" hidden="1" x14ac:dyDescent="0.2">
      <c r="A152" s="18" t="str">
        <f t="shared" si="6"/>
        <v/>
      </c>
      <c r="B152" s="18"/>
      <c r="C152" s="18"/>
      <c r="D152" s="18"/>
      <c r="E152" s="18"/>
      <c r="F152" s="20" t="str">
        <f t="shared" si="7"/>
        <v/>
      </c>
      <c r="G152" s="18" t="str">
        <f t="shared" si="9"/>
        <v/>
      </c>
      <c r="H152" s="18"/>
      <c r="I152" s="18" t="str">
        <f>IF($B152="","",H152-IF(Ventas!D152="",0,Ventas!D152))</f>
        <v/>
      </c>
      <c r="J152" t="str">
        <f t="shared" si="8"/>
        <v/>
      </c>
    </row>
    <row r="153" spans="1:10" hidden="1" x14ac:dyDescent="0.2">
      <c r="A153" s="18" t="str">
        <f t="shared" si="6"/>
        <v/>
      </c>
      <c r="B153" s="18"/>
      <c r="C153" s="18"/>
      <c r="D153" s="18"/>
      <c r="E153" s="18"/>
      <c r="F153" s="20" t="str">
        <f t="shared" si="7"/>
        <v/>
      </c>
      <c r="G153" s="18" t="str">
        <f t="shared" si="9"/>
        <v/>
      </c>
      <c r="H153" s="18"/>
      <c r="I153" s="18" t="str">
        <f>IF($B153="","",H153-IF(Ventas!D153="",0,Ventas!D153))</f>
        <v/>
      </c>
      <c r="J153" t="str">
        <f t="shared" si="8"/>
        <v/>
      </c>
    </row>
    <row r="154" spans="1:10" hidden="1" x14ac:dyDescent="0.2">
      <c r="A154" s="18" t="str">
        <f t="shared" si="6"/>
        <v/>
      </c>
      <c r="B154" s="18"/>
      <c r="C154" s="18"/>
      <c r="D154" s="18"/>
      <c r="E154" s="18"/>
      <c r="F154" s="20" t="str">
        <f t="shared" si="7"/>
        <v/>
      </c>
      <c r="G154" s="18" t="str">
        <f t="shared" si="9"/>
        <v/>
      </c>
      <c r="H154" s="18"/>
      <c r="I154" s="18" t="str">
        <f>IF($B154="","",H154-IF(Ventas!D154="",0,Ventas!D154))</f>
        <v/>
      </c>
      <c r="J154" t="str">
        <f t="shared" si="8"/>
        <v/>
      </c>
    </row>
    <row r="155" spans="1:10" hidden="1" x14ac:dyDescent="0.2">
      <c r="A155" s="18" t="str">
        <f t="shared" si="6"/>
        <v/>
      </c>
      <c r="B155" s="18"/>
      <c r="C155" s="18"/>
      <c r="D155" s="18"/>
      <c r="E155" s="18"/>
      <c r="F155" s="20" t="str">
        <f t="shared" si="7"/>
        <v/>
      </c>
      <c r="G155" s="18" t="str">
        <f t="shared" si="9"/>
        <v/>
      </c>
      <c r="H155" s="18"/>
      <c r="I155" s="18" t="str">
        <f>IF($B155="","",H155-IF(Ventas!D155="",0,Ventas!D155))</f>
        <v/>
      </c>
      <c r="J155" t="str">
        <f t="shared" si="8"/>
        <v/>
      </c>
    </row>
    <row r="156" spans="1:10" hidden="1" x14ac:dyDescent="0.2">
      <c r="A156" s="18" t="str">
        <f t="shared" si="6"/>
        <v/>
      </c>
      <c r="B156" s="18"/>
      <c r="C156" s="18"/>
      <c r="D156" s="18"/>
      <c r="E156" s="18"/>
      <c r="F156" s="20" t="str">
        <f t="shared" si="7"/>
        <v/>
      </c>
      <c r="G156" s="18" t="str">
        <f t="shared" si="9"/>
        <v/>
      </c>
      <c r="H156" s="18"/>
      <c r="I156" s="18" t="str">
        <f>IF($B156="","",H156-IF(Ventas!D156="",0,Ventas!D156))</f>
        <v/>
      </c>
      <c r="J156" t="str">
        <f t="shared" si="8"/>
        <v/>
      </c>
    </row>
    <row r="157" spans="1:10" hidden="1" x14ac:dyDescent="0.2">
      <c r="A157" s="18" t="str">
        <f t="shared" si="6"/>
        <v/>
      </c>
      <c r="B157" s="18"/>
      <c r="C157" s="18"/>
      <c r="D157" s="18"/>
      <c r="E157" s="18"/>
      <c r="F157" s="20" t="str">
        <f t="shared" si="7"/>
        <v/>
      </c>
      <c r="G157" s="18" t="str">
        <f t="shared" si="9"/>
        <v/>
      </c>
      <c r="H157" s="18"/>
      <c r="I157" s="18" t="str">
        <f>IF($B157="","",H157-IF(Ventas!D157="",0,Ventas!D157))</f>
        <v/>
      </c>
      <c r="J157" t="str">
        <f t="shared" si="8"/>
        <v/>
      </c>
    </row>
    <row r="158" spans="1:10" hidden="1" x14ac:dyDescent="0.2">
      <c r="A158" s="18" t="str">
        <f t="shared" si="6"/>
        <v/>
      </c>
      <c r="B158" s="18"/>
      <c r="C158" s="18"/>
      <c r="D158" s="18"/>
      <c r="E158" s="18"/>
      <c r="F158" s="20" t="str">
        <f t="shared" si="7"/>
        <v/>
      </c>
      <c r="G158" s="18" t="str">
        <f t="shared" si="9"/>
        <v/>
      </c>
      <c r="H158" s="18"/>
      <c r="I158" s="18" t="str">
        <f>IF($B158="","",H158-IF(Ventas!D158="",0,Ventas!D158))</f>
        <v/>
      </c>
      <c r="J158" t="str">
        <f t="shared" si="8"/>
        <v/>
      </c>
    </row>
    <row r="159" spans="1:10" hidden="1" x14ac:dyDescent="0.2">
      <c r="A159" s="18" t="str">
        <f t="shared" si="6"/>
        <v/>
      </c>
      <c r="B159" s="18"/>
      <c r="C159" s="18"/>
      <c r="D159" s="18"/>
      <c r="E159" s="18"/>
      <c r="F159" s="20" t="str">
        <f t="shared" si="7"/>
        <v/>
      </c>
      <c r="G159" s="18" t="str">
        <f t="shared" si="9"/>
        <v/>
      </c>
      <c r="H159" s="18"/>
      <c r="I159" s="18" t="str">
        <f>IF($B159="","",H159-IF(Ventas!D159="",0,Ventas!D159))</f>
        <v/>
      </c>
      <c r="J159" t="str">
        <f t="shared" si="8"/>
        <v/>
      </c>
    </row>
    <row r="160" spans="1:10" hidden="1" x14ac:dyDescent="0.2">
      <c r="A160" s="18" t="str">
        <f t="shared" si="6"/>
        <v/>
      </c>
      <c r="B160" s="18"/>
      <c r="C160" s="18"/>
      <c r="D160" s="18"/>
      <c r="E160" s="18"/>
      <c r="F160" s="20" t="str">
        <f t="shared" si="7"/>
        <v/>
      </c>
      <c r="G160" s="18" t="str">
        <f t="shared" si="9"/>
        <v/>
      </c>
      <c r="H160" s="18"/>
      <c r="I160" s="18" t="str">
        <f>IF($B160="","",H160-IF(Ventas!D160="",0,Ventas!D160))</f>
        <v/>
      </c>
      <c r="J160" t="str">
        <f t="shared" si="8"/>
        <v/>
      </c>
    </row>
    <row r="161" spans="1:10" hidden="1" x14ac:dyDescent="0.2">
      <c r="A161" s="18" t="str">
        <f t="shared" si="6"/>
        <v/>
      </c>
      <c r="B161" s="18"/>
      <c r="C161" s="18"/>
      <c r="D161" s="18"/>
      <c r="E161" s="18"/>
      <c r="F161" s="20" t="str">
        <f t="shared" si="7"/>
        <v/>
      </c>
      <c r="G161" s="18" t="str">
        <f t="shared" si="9"/>
        <v/>
      </c>
      <c r="H161" s="18"/>
      <c r="I161" s="18" t="str">
        <f>IF($B161="","",H161-IF(Ventas!D161="",0,Ventas!D161))</f>
        <v/>
      </c>
      <c r="J161" t="str">
        <f t="shared" si="8"/>
        <v/>
      </c>
    </row>
    <row r="162" spans="1:10" hidden="1" x14ac:dyDescent="0.2">
      <c r="A162" s="18" t="str">
        <f t="shared" si="6"/>
        <v/>
      </c>
      <c r="B162" s="18"/>
      <c r="C162" s="18"/>
      <c r="D162" s="18"/>
      <c r="E162" s="18"/>
      <c r="F162" s="20" t="str">
        <f t="shared" si="7"/>
        <v/>
      </c>
      <c r="G162" s="18" t="str">
        <f t="shared" si="9"/>
        <v/>
      </c>
      <c r="H162" s="18"/>
      <c r="I162" s="18" t="str">
        <f>IF($B162="","",H162-IF(Ventas!D162="",0,Ventas!D162))</f>
        <v/>
      </c>
      <c r="J162" t="str">
        <f t="shared" si="8"/>
        <v/>
      </c>
    </row>
    <row r="163" spans="1:10" hidden="1" x14ac:dyDescent="0.2">
      <c r="A163" s="18" t="str">
        <f t="shared" si="6"/>
        <v/>
      </c>
      <c r="B163" s="18"/>
      <c r="C163" s="18"/>
      <c r="D163" s="18"/>
      <c r="E163" s="18"/>
      <c r="F163" s="20" t="str">
        <f t="shared" si="7"/>
        <v/>
      </c>
      <c r="G163" s="18" t="str">
        <f t="shared" si="9"/>
        <v/>
      </c>
      <c r="H163" s="18"/>
      <c r="I163" s="18" t="str">
        <f>IF($B163="","",H163-IF(Ventas!D163="",0,Ventas!D163))</f>
        <v/>
      </c>
      <c r="J163" t="str">
        <f t="shared" si="8"/>
        <v/>
      </c>
    </row>
    <row r="164" spans="1:10" hidden="1" x14ac:dyDescent="0.2">
      <c r="A164" s="18" t="str">
        <f t="shared" si="6"/>
        <v/>
      </c>
      <c r="B164" s="18"/>
      <c r="C164" s="18"/>
      <c r="D164" s="18"/>
      <c r="E164" s="18"/>
      <c r="F164" s="20" t="str">
        <f t="shared" si="7"/>
        <v/>
      </c>
      <c r="G164" s="18" t="str">
        <f t="shared" si="9"/>
        <v/>
      </c>
      <c r="H164" s="18"/>
      <c r="I164" s="18" t="str">
        <f>IF($B164="","",H164-IF(Ventas!D164="",0,Ventas!D164))</f>
        <v/>
      </c>
      <c r="J164" t="str">
        <f t="shared" si="8"/>
        <v/>
      </c>
    </row>
    <row r="165" spans="1:10" hidden="1" x14ac:dyDescent="0.2">
      <c r="A165" s="18" t="str">
        <f t="shared" si="6"/>
        <v/>
      </c>
      <c r="B165" s="18"/>
      <c r="C165" s="18"/>
      <c r="D165" s="18"/>
      <c r="E165" s="18"/>
      <c r="F165" s="20" t="str">
        <f t="shared" si="7"/>
        <v/>
      </c>
      <c r="G165" s="18" t="str">
        <f t="shared" si="9"/>
        <v/>
      </c>
      <c r="H165" s="18"/>
      <c r="I165" s="18" t="str">
        <f>IF($B165="","",H165-IF(Ventas!D165="",0,Ventas!D165))</f>
        <v/>
      </c>
      <c r="J165" t="str">
        <f t="shared" si="8"/>
        <v/>
      </c>
    </row>
    <row r="166" spans="1:10" hidden="1" x14ac:dyDescent="0.2">
      <c r="A166" s="18" t="str">
        <f t="shared" si="6"/>
        <v/>
      </c>
      <c r="B166" s="18"/>
      <c r="C166" s="18"/>
      <c r="D166" s="18"/>
      <c r="E166" s="18"/>
      <c r="F166" s="20" t="str">
        <f t="shared" si="7"/>
        <v/>
      </c>
      <c r="G166" s="18" t="str">
        <f t="shared" si="9"/>
        <v/>
      </c>
      <c r="H166" s="18"/>
      <c r="I166" s="18" t="str">
        <f>IF($B166="","",H166-IF(Ventas!D166="",0,Ventas!D166))</f>
        <v/>
      </c>
      <c r="J166" t="str">
        <f t="shared" si="8"/>
        <v/>
      </c>
    </row>
    <row r="167" spans="1:10" hidden="1" x14ac:dyDescent="0.2">
      <c r="A167" s="18" t="str">
        <f t="shared" si="6"/>
        <v/>
      </c>
      <c r="B167" s="18"/>
      <c r="C167" s="18"/>
      <c r="D167" s="18"/>
      <c r="E167" s="18"/>
      <c r="F167" s="20" t="str">
        <f t="shared" si="7"/>
        <v/>
      </c>
      <c r="G167" s="18" t="str">
        <f t="shared" si="9"/>
        <v/>
      </c>
      <c r="H167" s="18"/>
      <c r="I167" s="18" t="str">
        <f>IF($B167="","",H167-IF(Ventas!D167="",0,Ventas!D167))</f>
        <v/>
      </c>
      <c r="J167" t="str">
        <f t="shared" si="8"/>
        <v/>
      </c>
    </row>
    <row r="168" spans="1:10" hidden="1" x14ac:dyDescent="0.2">
      <c r="A168" s="18" t="str">
        <f t="shared" si="6"/>
        <v/>
      </c>
      <c r="B168" s="18"/>
      <c r="C168" s="18"/>
      <c r="D168" s="18"/>
      <c r="E168" s="18"/>
      <c r="F168" s="20" t="str">
        <f t="shared" si="7"/>
        <v/>
      </c>
      <c r="G168" s="18" t="str">
        <f t="shared" si="9"/>
        <v/>
      </c>
      <c r="H168" s="18"/>
      <c r="I168" s="18" t="str">
        <f>IF($B168="","",H168-IF(Ventas!D168="",0,Ventas!D168))</f>
        <v/>
      </c>
      <c r="J168" t="str">
        <f t="shared" si="8"/>
        <v/>
      </c>
    </row>
    <row r="169" spans="1:10" hidden="1" x14ac:dyDescent="0.2">
      <c r="A169" s="18" t="str">
        <f t="shared" si="6"/>
        <v/>
      </c>
      <c r="B169" s="18"/>
      <c r="C169" s="18"/>
      <c r="D169" s="18"/>
      <c r="E169" s="18"/>
      <c r="F169" s="20" t="str">
        <f t="shared" si="7"/>
        <v/>
      </c>
      <c r="G169" s="18" t="str">
        <f t="shared" si="9"/>
        <v/>
      </c>
      <c r="H169" s="18"/>
      <c r="I169" s="18" t="str">
        <f>IF($B169="","",H169-IF(Ventas!D169="",0,Ventas!D169))</f>
        <v/>
      </c>
      <c r="J169" t="str">
        <f t="shared" si="8"/>
        <v/>
      </c>
    </row>
    <row r="170" spans="1:10" hidden="1" x14ac:dyDescent="0.2">
      <c r="A170" s="18" t="str">
        <f t="shared" si="6"/>
        <v/>
      </c>
      <c r="B170" s="18"/>
      <c r="C170" s="18"/>
      <c r="D170" s="18"/>
      <c r="E170" s="18"/>
      <c r="F170" s="20" t="str">
        <f t="shared" si="7"/>
        <v/>
      </c>
      <c r="G170" s="18" t="str">
        <f t="shared" si="9"/>
        <v/>
      </c>
      <c r="H170" s="18"/>
      <c r="I170" s="18" t="str">
        <f>IF($B170="","",H170-IF(Ventas!D170="",0,Ventas!D170))</f>
        <v/>
      </c>
      <c r="J170" t="str">
        <f t="shared" si="8"/>
        <v/>
      </c>
    </row>
    <row r="171" spans="1:10" hidden="1" x14ac:dyDescent="0.2">
      <c r="A171" s="18" t="str">
        <f t="shared" si="6"/>
        <v/>
      </c>
      <c r="B171" s="18"/>
      <c r="C171" s="18"/>
      <c r="D171" s="18"/>
      <c r="E171" s="18"/>
      <c r="F171" s="20" t="str">
        <f t="shared" si="7"/>
        <v/>
      </c>
      <c r="G171" s="18" t="str">
        <f t="shared" si="9"/>
        <v/>
      </c>
      <c r="H171" s="18"/>
      <c r="I171" s="18" t="str">
        <f>IF($B171="","",H171-IF(Ventas!D171="",0,Ventas!D171))</f>
        <v/>
      </c>
      <c r="J171" t="str">
        <f t="shared" si="8"/>
        <v/>
      </c>
    </row>
    <row r="172" spans="1:10" hidden="1" x14ac:dyDescent="0.2">
      <c r="A172" s="18" t="str">
        <f t="shared" si="6"/>
        <v/>
      </c>
      <c r="B172" s="18"/>
      <c r="C172" s="18"/>
      <c r="D172" s="18"/>
      <c r="E172" s="18"/>
      <c r="F172" s="20" t="str">
        <f t="shared" si="7"/>
        <v/>
      </c>
      <c r="G172" s="18" t="str">
        <f t="shared" si="9"/>
        <v/>
      </c>
      <c r="H172" s="18"/>
      <c r="I172" s="18" t="str">
        <f>IF($B172="","",H172-IF(Ventas!D172="",0,Ventas!D172))</f>
        <v/>
      </c>
      <c r="J172" t="str">
        <f t="shared" si="8"/>
        <v/>
      </c>
    </row>
    <row r="173" spans="1:10" hidden="1" x14ac:dyDescent="0.2">
      <c r="A173" s="18" t="str">
        <f t="shared" si="6"/>
        <v/>
      </c>
      <c r="B173" s="18"/>
      <c r="C173" s="18"/>
      <c r="D173" s="18"/>
      <c r="E173" s="18"/>
      <c r="F173" s="20" t="str">
        <f t="shared" si="7"/>
        <v/>
      </c>
      <c r="G173" s="18" t="str">
        <f t="shared" si="9"/>
        <v/>
      </c>
      <c r="H173" s="18"/>
      <c r="I173" s="18" t="str">
        <f>IF($B173="","",H173-IF(Ventas!D173="",0,Ventas!D173))</f>
        <v/>
      </c>
      <c r="J173" t="str">
        <f t="shared" si="8"/>
        <v/>
      </c>
    </row>
    <row r="174" spans="1:10" hidden="1" x14ac:dyDescent="0.2">
      <c r="A174" s="18" t="str">
        <f t="shared" si="6"/>
        <v/>
      </c>
      <c r="B174" s="18"/>
      <c r="C174" s="18"/>
      <c r="D174" s="18"/>
      <c r="E174" s="18"/>
      <c r="F174" s="20" t="str">
        <f t="shared" si="7"/>
        <v/>
      </c>
      <c r="G174" s="18" t="str">
        <f t="shared" si="9"/>
        <v/>
      </c>
      <c r="H174" s="18"/>
      <c r="I174" s="18" t="str">
        <f>IF($B174="","",H174-IF(Ventas!D174="",0,Ventas!D174))</f>
        <v/>
      </c>
      <c r="J174" t="str">
        <f t="shared" si="8"/>
        <v/>
      </c>
    </row>
    <row r="175" spans="1:10" hidden="1" x14ac:dyDescent="0.2">
      <c r="A175" s="18" t="str">
        <f t="shared" si="6"/>
        <v/>
      </c>
      <c r="B175" s="18"/>
      <c r="C175" s="18"/>
      <c r="D175" s="18"/>
      <c r="E175" s="18"/>
      <c r="F175" s="20" t="str">
        <f t="shared" si="7"/>
        <v/>
      </c>
      <c r="G175" s="18" t="str">
        <f t="shared" si="9"/>
        <v/>
      </c>
      <c r="H175" s="18"/>
      <c r="I175" s="18" t="str">
        <f>IF($B175="","",H175-IF(Ventas!D175="",0,Ventas!D175))</f>
        <v/>
      </c>
      <c r="J175" t="str">
        <f t="shared" si="8"/>
        <v/>
      </c>
    </row>
    <row r="176" spans="1:10" hidden="1" x14ac:dyDescent="0.2">
      <c r="A176" s="18" t="str">
        <f t="shared" si="6"/>
        <v/>
      </c>
      <c r="B176" s="18"/>
      <c r="C176" s="18"/>
      <c r="D176" s="18"/>
      <c r="E176" s="18"/>
      <c r="F176" s="20" t="str">
        <f t="shared" si="7"/>
        <v/>
      </c>
      <c r="G176" s="18" t="str">
        <f t="shared" si="9"/>
        <v/>
      </c>
      <c r="H176" s="18"/>
      <c r="I176" s="18" t="str">
        <f>IF($B176="","",H176-IF(Ventas!D176="",0,Ventas!D176))</f>
        <v/>
      </c>
      <c r="J176" t="str">
        <f t="shared" si="8"/>
        <v/>
      </c>
    </row>
    <row r="177" spans="1:10" hidden="1" x14ac:dyDescent="0.2">
      <c r="A177" s="18" t="str">
        <f t="shared" si="6"/>
        <v/>
      </c>
      <c r="B177" s="18"/>
      <c r="C177" s="18"/>
      <c r="D177" s="18"/>
      <c r="E177" s="18"/>
      <c r="F177" s="20" t="str">
        <f t="shared" si="7"/>
        <v/>
      </c>
      <c r="G177" s="18" t="str">
        <f t="shared" si="9"/>
        <v/>
      </c>
      <c r="H177" s="18"/>
      <c r="I177" s="18" t="str">
        <f>IF($B177="","",H177-IF(Ventas!D177="",0,Ventas!D177))</f>
        <v/>
      </c>
      <c r="J177" t="str">
        <f t="shared" si="8"/>
        <v/>
      </c>
    </row>
    <row r="178" spans="1:10" hidden="1" x14ac:dyDescent="0.2">
      <c r="A178" s="18" t="str">
        <f t="shared" si="6"/>
        <v/>
      </c>
      <c r="B178" s="18"/>
      <c r="C178" s="18"/>
      <c r="D178" s="18"/>
      <c r="E178" s="18"/>
      <c r="F178" s="20" t="str">
        <f t="shared" si="7"/>
        <v/>
      </c>
      <c r="G178" s="18" t="str">
        <f t="shared" si="9"/>
        <v/>
      </c>
      <c r="H178" s="18"/>
      <c r="I178" s="18" t="str">
        <f>IF($B178="","",H178-IF(Ventas!D178="",0,Ventas!D178))</f>
        <v/>
      </c>
      <c r="J178" t="str">
        <f t="shared" si="8"/>
        <v/>
      </c>
    </row>
    <row r="179" spans="1:10" hidden="1" x14ac:dyDescent="0.2">
      <c r="A179" s="18" t="str">
        <f t="shared" si="6"/>
        <v/>
      </c>
      <c r="B179" s="18"/>
      <c r="C179" s="18"/>
      <c r="D179" s="18"/>
      <c r="E179" s="18"/>
      <c r="F179" s="20" t="str">
        <f t="shared" si="7"/>
        <v/>
      </c>
      <c r="G179" s="18" t="str">
        <f t="shared" si="9"/>
        <v/>
      </c>
      <c r="H179" s="18"/>
      <c r="I179" s="18" t="str">
        <f>IF($B179="","",H179-IF(Ventas!D179="",0,Ventas!D179))</f>
        <v/>
      </c>
      <c r="J179" t="str">
        <f t="shared" si="8"/>
        <v/>
      </c>
    </row>
    <row r="180" spans="1:10" hidden="1" x14ac:dyDescent="0.2">
      <c r="A180" s="18" t="str">
        <f t="shared" si="6"/>
        <v/>
      </c>
      <c r="B180" s="18"/>
      <c r="C180" s="18"/>
      <c r="D180" s="18"/>
      <c r="E180" s="18"/>
      <c r="F180" s="20" t="str">
        <f t="shared" si="7"/>
        <v/>
      </c>
      <c r="G180" s="18" t="str">
        <f t="shared" si="9"/>
        <v/>
      </c>
      <c r="H180" s="18"/>
      <c r="I180" s="18" t="str">
        <f>IF($B180="","",H180-IF(Ventas!D180="",0,Ventas!D180))</f>
        <v/>
      </c>
      <c r="J180" t="str">
        <f t="shared" si="8"/>
        <v/>
      </c>
    </row>
    <row r="181" spans="1:10" hidden="1" x14ac:dyDescent="0.2">
      <c r="A181" s="18" t="str">
        <f t="shared" si="6"/>
        <v/>
      </c>
      <c r="B181" s="18"/>
      <c r="C181" s="18"/>
      <c r="D181" s="18"/>
      <c r="E181" s="18"/>
      <c r="F181" s="20" t="str">
        <f t="shared" si="7"/>
        <v/>
      </c>
      <c r="G181" s="18" t="str">
        <f t="shared" si="9"/>
        <v/>
      </c>
      <c r="H181" s="18"/>
      <c r="I181" s="18" t="str">
        <f>IF($B181="","",H181-IF(Ventas!D181="",0,Ventas!D181))</f>
        <v/>
      </c>
      <c r="J181" t="str">
        <f t="shared" si="8"/>
        <v/>
      </c>
    </row>
    <row r="182" spans="1:10" hidden="1" x14ac:dyDescent="0.2">
      <c r="A182" s="18" t="str">
        <f t="shared" si="6"/>
        <v/>
      </c>
      <c r="B182" s="18"/>
      <c r="C182" s="18"/>
      <c r="D182" s="18"/>
      <c r="E182" s="18"/>
      <c r="F182" s="20" t="str">
        <f t="shared" si="7"/>
        <v/>
      </c>
      <c r="G182" s="18" t="str">
        <f t="shared" si="9"/>
        <v/>
      </c>
      <c r="H182" s="18"/>
      <c r="I182" s="18" t="str">
        <f>IF($B182="","",H182-IF(Ventas!D182="",0,Ventas!D182))</f>
        <v/>
      </c>
      <c r="J182" t="str">
        <f t="shared" si="8"/>
        <v/>
      </c>
    </row>
    <row r="183" spans="1:10" hidden="1" x14ac:dyDescent="0.2">
      <c r="A183" s="18" t="str">
        <f t="shared" si="6"/>
        <v/>
      </c>
      <c r="B183" s="18"/>
      <c r="C183" s="18"/>
      <c r="D183" s="18"/>
      <c r="E183" s="18"/>
      <c r="F183" s="20" t="str">
        <f t="shared" si="7"/>
        <v/>
      </c>
      <c r="G183" s="18" t="str">
        <f t="shared" si="9"/>
        <v/>
      </c>
      <c r="H183" s="18"/>
      <c r="I183" s="18" t="str">
        <f>IF($B183="","",H183-IF(Ventas!D183="",0,Ventas!D183))</f>
        <v/>
      </c>
      <c r="J183" t="str">
        <f t="shared" si="8"/>
        <v/>
      </c>
    </row>
    <row r="184" spans="1:10" hidden="1" x14ac:dyDescent="0.2">
      <c r="A184" s="18" t="str">
        <f t="shared" si="6"/>
        <v/>
      </c>
      <c r="B184" s="18"/>
      <c r="C184" s="18"/>
      <c r="D184" s="18"/>
      <c r="E184" s="18"/>
      <c r="F184" s="20" t="str">
        <f t="shared" si="7"/>
        <v/>
      </c>
      <c r="G184" s="18" t="str">
        <f t="shared" si="9"/>
        <v/>
      </c>
      <c r="H184" s="18"/>
      <c r="I184" s="18" t="str">
        <f>IF($B184="","",H184-IF(Ventas!D184="",0,Ventas!D184))</f>
        <v/>
      </c>
      <c r="J184" t="str">
        <f t="shared" si="8"/>
        <v/>
      </c>
    </row>
    <row r="185" spans="1:10" hidden="1" x14ac:dyDescent="0.2">
      <c r="A185" s="18" t="str">
        <f t="shared" si="6"/>
        <v/>
      </c>
      <c r="B185" s="18"/>
      <c r="C185" s="18"/>
      <c r="D185" s="18"/>
      <c r="E185" s="18"/>
      <c r="F185" s="20" t="str">
        <f t="shared" si="7"/>
        <v/>
      </c>
      <c r="G185" s="18" t="str">
        <f t="shared" si="9"/>
        <v/>
      </c>
      <c r="H185" s="18"/>
      <c r="I185" s="18" t="str">
        <f>IF($B185="","",H185-IF(Ventas!D185="",0,Ventas!D185))</f>
        <v/>
      </c>
      <c r="J185" t="str">
        <f t="shared" si="8"/>
        <v/>
      </c>
    </row>
    <row r="186" spans="1:10" hidden="1" x14ac:dyDescent="0.2">
      <c r="A186" s="18" t="str">
        <f t="shared" si="6"/>
        <v/>
      </c>
      <c r="B186" s="18"/>
      <c r="C186" s="18"/>
      <c r="D186" s="18"/>
      <c r="E186" s="18"/>
      <c r="F186" s="20" t="str">
        <f t="shared" si="7"/>
        <v/>
      </c>
      <c r="G186" s="18" t="str">
        <f t="shared" si="9"/>
        <v/>
      </c>
      <c r="H186" s="18"/>
      <c r="I186" s="18" t="str">
        <f>IF($B186="","",H186-IF(Ventas!D186="",0,Ventas!D186))</f>
        <v/>
      </c>
      <c r="J186" t="str">
        <f t="shared" si="8"/>
        <v/>
      </c>
    </row>
    <row r="187" spans="1:10" hidden="1" x14ac:dyDescent="0.2">
      <c r="A187" s="18" t="str">
        <f t="shared" si="6"/>
        <v/>
      </c>
      <c r="B187" s="18"/>
      <c r="C187" s="18"/>
      <c r="D187" s="18"/>
      <c r="E187" s="18"/>
      <c r="F187" s="20" t="str">
        <f t="shared" si="7"/>
        <v/>
      </c>
      <c r="G187" s="18" t="str">
        <f t="shared" si="9"/>
        <v/>
      </c>
      <c r="H187" s="18"/>
      <c r="I187" s="18" t="str">
        <f>IF($B187="","",H187-IF(Ventas!D187="",0,Ventas!D187))</f>
        <v/>
      </c>
      <c r="J187" t="str">
        <f t="shared" si="8"/>
        <v/>
      </c>
    </row>
    <row r="188" spans="1:10" hidden="1" x14ac:dyDescent="0.2">
      <c r="A188" s="18" t="str">
        <f t="shared" si="6"/>
        <v/>
      </c>
      <c r="B188" s="18"/>
      <c r="C188" s="18"/>
      <c r="D188" s="18"/>
      <c r="E188" s="18"/>
      <c r="F188" s="20" t="str">
        <f t="shared" si="7"/>
        <v/>
      </c>
      <c r="G188" s="18" t="str">
        <f t="shared" si="9"/>
        <v/>
      </c>
      <c r="H188" s="18"/>
      <c r="I188" s="18" t="str">
        <f>IF($B188="","",H188-IF(Ventas!D188="",0,Ventas!D188))</f>
        <v/>
      </c>
      <c r="J188" t="str">
        <f t="shared" si="8"/>
        <v/>
      </c>
    </row>
    <row r="189" spans="1:10" hidden="1" x14ac:dyDescent="0.2">
      <c r="A189" s="18" t="str">
        <f t="shared" si="6"/>
        <v/>
      </c>
      <c r="B189" s="18"/>
      <c r="C189" s="18"/>
      <c r="D189" s="18"/>
      <c r="E189" s="18"/>
      <c r="F189" s="20" t="str">
        <f t="shared" si="7"/>
        <v/>
      </c>
      <c r="G189" s="18" t="str">
        <f t="shared" si="9"/>
        <v/>
      </c>
      <c r="H189" s="18"/>
      <c r="I189" s="18" t="str">
        <f>IF($B189="","",H189-IF(Ventas!D189="",0,Ventas!D189))</f>
        <v/>
      </c>
      <c r="J189" t="str">
        <f t="shared" si="8"/>
        <v/>
      </c>
    </row>
    <row r="190" spans="1:10" hidden="1" x14ac:dyDescent="0.2">
      <c r="A190" s="18" t="str">
        <f t="shared" si="6"/>
        <v/>
      </c>
      <c r="B190" s="18"/>
      <c r="C190" s="18"/>
      <c r="D190" s="18"/>
      <c r="E190" s="18"/>
      <c r="F190" s="20" t="str">
        <f t="shared" si="7"/>
        <v/>
      </c>
      <c r="G190" s="18" t="str">
        <f t="shared" si="9"/>
        <v/>
      </c>
      <c r="H190" s="18"/>
      <c r="I190" s="18" t="str">
        <f>IF($B190="","",H190-IF(Ventas!D190="",0,Ventas!D190))</f>
        <v/>
      </c>
      <c r="J190" t="str">
        <f t="shared" si="8"/>
        <v/>
      </c>
    </row>
    <row r="191" spans="1:10" hidden="1" x14ac:dyDescent="0.2">
      <c r="A191" s="18" t="str">
        <f t="shared" si="6"/>
        <v/>
      </c>
      <c r="B191" s="18"/>
      <c r="C191" s="18"/>
      <c r="D191" s="18"/>
      <c r="E191" s="18"/>
      <c r="F191" s="20" t="str">
        <f t="shared" si="7"/>
        <v/>
      </c>
      <c r="G191" s="18" t="str">
        <f t="shared" si="9"/>
        <v/>
      </c>
      <c r="H191" s="18"/>
      <c r="I191" s="18" t="str">
        <f>IF($B191="","",H191-IF(Ventas!D191="",0,Ventas!D191))</f>
        <v/>
      </c>
      <c r="J191" t="str">
        <f t="shared" si="8"/>
        <v/>
      </c>
    </row>
    <row r="192" spans="1:10" hidden="1" x14ac:dyDescent="0.2">
      <c r="A192" s="18" t="str">
        <f t="shared" si="6"/>
        <v/>
      </c>
      <c r="B192" s="18"/>
      <c r="C192" s="18"/>
      <c r="D192" s="18"/>
      <c r="E192" s="18"/>
      <c r="F192" s="20" t="str">
        <f t="shared" si="7"/>
        <v/>
      </c>
      <c r="G192" s="18" t="str">
        <f t="shared" si="9"/>
        <v/>
      </c>
      <c r="H192" s="18"/>
      <c r="I192" s="18" t="str">
        <f>IF($B192="","",H192-IF(Ventas!D192="",0,Ventas!D192))</f>
        <v/>
      </c>
      <c r="J192" t="str">
        <f t="shared" si="8"/>
        <v/>
      </c>
    </row>
    <row r="193" spans="1:10" hidden="1" x14ac:dyDescent="0.2">
      <c r="A193" s="18" t="str">
        <f t="shared" si="6"/>
        <v/>
      </c>
      <c r="B193" s="18"/>
      <c r="C193" s="18"/>
      <c r="D193" s="18"/>
      <c r="E193" s="18"/>
      <c r="F193" s="20" t="str">
        <f t="shared" si="7"/>
        <v/>
      </c>
      <c r="G193" s="18" t="str">
        <f t="shared" si="9"/>
        <v/>
      </c>
      <c r="H193" s="18"/>
      <c r="I193" s="18" t="str">
        <f>IF($B193="","",H193-IF(Ventas!D193="",0,Ventas!D193))</f>
        <v/>
      </c>
      <c r="J193" t="str">
        <f t="shared" si="8"/>
        <v/>
      </c>
    </row>
    <row r="194" spans="1:10" hidden="1" x14ac:dyDescent="0.2">
      <c r="A194" s="18" t="str">
        <f t="shared" si="6"/>
        <v/>
      </c>
      <c r="B194" s="18"/>
      <c r="C194" s="18"/>
      <c r="D194" s="18"/>
      <c r="E194" s="18"/>
      <c r="F194" s="20" t="str">
        <f t="shared" si="7"/>
        <v/>
      </c>
      <c r="G194" s="18" t="str">
        <f t="shared" si="9"/>
        <v/>
      </c>
      <c r="H194" s="18"/>
      <c r="I194" s="18" t="str">
        <f>IF($B194="","",H194-IF(Ventas!D194="",0,Ventas!D194))</f>
        <v/>
      </c>
      <c r="J194" t="str">
        <f t="shared" si="8"/>
        <v/>
      </c>
    </row>
    <row r="195" spans="1:10" hidden="1" x14ac:dyDescent="0.2">
      <c r="A195" s="18" t="str">
        <f t="shared" ref="A195:A258" si="10">IF(B195="","","P"&amp;TEXT(ROW()-1,"000"))</f>
        <v/>
      </c>
      <c r="B195" s="18"/>
      <c r="C195" s="18"/>
      <c r="D195" s="18"/>
      <c r="E195" s="18"/>
      <c r="F195" s="20" t="str">
        <f t="shared" ref="F195:F258" si="11">IF(OR(E195="",D195="",D195=0),"",E195/D195)</f>
        <v/>
      </c>
      <c r="G195" s="18" t="str">
        <f t="shared" si="9"/>
        <v/>
      </c>
      <c r="H195" s="18"/>
      <c r="I195" s="18" t="str">
        <f>IF($B195="","",H195-IF(Ventas!D195="",0,Ventas!D195))</f>
        <v/>
      </c>
      <c r="J195" t="str">
        <f t="shared" ref="J195:J258" si="12">IF($B195="","",IF(N(I195)=0,"Agotado","Activo"))</f>
        <v/>
      </c>
    </row>
    <row r="196" spans="1:10" hidden="1" x14ac:dyDescent="0.2">
      <c r="A196" s="18" t="str">
        <f t="shared" si="10"/>
        <v/>
      </c>
      <c r="B196" s="18"/>
      <c r="C196" s="18"/>
      <c r="D196" s="18"/>
      <c r="E196" s="18"/>
      <c r="F196" s="20" t="str">
        <f t="shared" si="11"/>
        <v/>
      </c>
      <c r="G196" s="18" t="str">
        <f t="shared" si="9"/>
        <v/>
      </c>
      <c r="H196" s="18"/>
      <c r="I196" s="18" t="str">
        <f>IF($B196="","",H196-IF(Ventas!D196="",0,Ventas!D196))</f>
        <v/>
      </c>
      <c r="J196" t="str">
        <f t="shared" si="12"/>
        <v/>
      </c>
    </row>
    <row r="197" spans="1:10" hidden="1" x14ac:dyDescent="0.2">
      <c r="A197" s="18" t="str">
        <f t="shared" si="10"/>
        <v/>
      </c>
      <c r="F197" s="20" t="str">
        <f t="shared" si="11"/>
        <v/>
      </c>
      <c r="G197" s="18" t="str">
        <f t="shared" si="9"/>
        <v/>
      </c>
      <c r="I197" s="18" t="str">
        <f>IF($B197="","",H197-IF(Ventas!D197="",0,Ventas!D197))</f>
        <v/>
      </c>
      <c r="J197" t="str">
        <f t="shared" si="12"/>
        <v/>
      </c>
    </row>
    <row r="198" spans="1:10" hidden="1" x14ac:dyDescent="0.2">
      <c r="A198" s="18" t="str">
        <f t="shared" si="10"/>
        <v/>
      </c>
      <c r="F198" s="20" t="str">
        <f t="shared" si="11"/>
        <v/>
      </c>
      <c r="G198" s="18" t="str">
        <f t="shared" ref="G198:G261" si="13">IF(F198="","",ROUND(F198*1.33,0))</f>
        <v/>
      </c>
      <c r="I198" s="18" t="str">
        <f>IF($B198="","",H198-IF(Ventas!D198="",0,Ventas!D198))</f>
        <v/>
      </c>
      <c r="J198" t="str">
        <f t="shared" si="12"/>
        <v/>
      </c>
    </row>
    <row r="199" spans="1:10" hidden="1" x14ac:dyDescent="0.2">
      <c r="A199" s="18" t="str">
        <f t="shared" si="10"/>
        <v/>
      </c>
      <c r="F199" s="20" t="str">
        <f t="shared" si="11"/>
        <v/>
      </c>
      <c r="G199" s="18" t="str">
        <f t="shared" si="13"/>
        <v/>
      </c>
      <c r="I199" s="18" t="str">
        <f>IF($B199="","",H199-IF(Ventas!D199="",0,Ventas!D199))</f>
        <v/>
      </c>
      <c r="J199" t="str">
        <f t="shared" si="12"/>
        <v/>
      </c>
    </row>
    <row r="200" spans="1:10" hidden="1" x14ac:dyDescent="0.2">
      <c r="A200" s="18" t="str">
        <f t="shared" si="10"/>
        <v/>
      </c>
      <c r="F200" s="20" t="str">
        <f t="shared" si="11"/>
        <v/>
      </c>
      <c r="G200" s="18" t="str">
        <f t="shared" si="13"/>
        <v/>
      </c>
      <c r="I200" s="18" t="str">
        <f>IF($B200="","",H200-IF(Ventas!D200="",0,Ventas!D200))</f>
        <v/>
      </c>
      <c r="J200" t="str">
        <f t="shared" si="12"/>
        <v/>
      </c>
    </row>
    <row r="201" spans="1:10" hidden="1" x14ac:dyDescent="0.2">
      <c r="A201" s="18" t="str">
        <f t="shared" si="10"/>
        <v/>
      </c>
      <c r="F201" s="20" t="str">
        <f t="shared" si="11"/>
        <v/>
      </c>
      <c r="G201" s="18" t="str">
        <f t="shared" si="13"/>
        <v/>
      </c>
      <c r="I201" s="18" t="str">
        <f>IF($B201="","",H201-IF(Ventas!D201="",0,Ventas!D201))</f>
        <v/>
      </c>
      <c r="J201" t="str">
        <f t="shared" si="12"/>
        <v/>
      </c>
    </row>
    <row r="202" spans="1:10" hidden="1" x14ac:dyDescent="0.2">
      <c r="A202" s="18" t="str">
        <f t="shared" si="10"/>
        <v/>
      </c>
      <c r="F202" s="20" t="str">
        <f t="shared" si="11"/>
        <v/>
      </c>
      <c r="G202" s="18" t="str">
        <f t="shared" si="13"/>
        <v/>
      </c>
      <c r="I202" s="18" t="str">
        <f>IF($B202="","",H202-IF(Ventas!D202="",0,Ventas!D202))</f>
        <v/>
      </c>
      <c r="J202" t="str">
        <f t="shared" si="12"/>
        <v/>
      </c>
    </row>
    <row r="203" spans="1:10" hidden="1" x14ac:dyDescent="0.2">
      <c r="A203" s="18" t="str">
        <f t="shared" si="10"/>
        <v/>
      </c>
      <c r="F203" s="20" t="str">
        <f t="shared" si="11"/>
        <v/>
      </c>
      <c r="G203" s="18" t="str">
        <f t="shared" si="13"/>
        <v/>
      </c>
      <c r="I203" s="18" t="str">
        <f>IF($B203="","",H203-IF(Ventas!D203="",0,Ventas!D203))</f>
        <v/>
      </c>
      <c r="J203" t="str">
        <f t="shared" si="12"/>
        <v/>
      </c>
    </row>
    <row r="204" spans="1:10" hidden="1" x14ac:dyDescent="0.2">
      <c r="A204" s="18" t="str">
        <f t="shared" si="10"/>
        <v/>
      </c>
      <c r="B204" s="18"/>
      <c r="C204" s="18"/>
      <c r="D204" s="18"/>
      <c r="E204" s="18"/>
      <c r="F204" s="20" t="str">
        <f t="shared" si="11"/>
        <v/>
      </c>
      <c r="G204" s="18" t="str">
        <f t="shared" si="13"/>
        <v/>
      </c>
      <c r="H204" s="18"/>
      <c r="I204" s="18" t="str">
        <f>IF($B204="","",H204-IF(Ventas!D204="",0,Ventas!D204))</f>
        <v/>
      </c>
      <c r="J204" t="str">
        <f t="shared" si="12"/>
        <v/>
      </c>
    </row>
    <row r="205" spans="1:10" hidden="1" x14ac:dyDescent="0.2">
      <c r="A205" s="18" t="str">
        <f t="shared" si="10"/>
        <v/>
      </c>
      <c r="B205" s="18"/>
      <c r="C205" s="18"/>
      <c r="D205" s="18"/>
      <c r="E205" s="18"/>
      <c r="F205" s="20" t="str">
        <f t="shared" si="11"/>
        <v/>
      </c>
      <c r="G205" s="18" t="str">
        <f t="shared" si="13"/>
        <v/>
      </c>
      <c r="H205" s="18"/>
      <c r="I205" s="18" t="str">
        <f>IF($B205="","",H205-IF(Ventas!D205="",0,Ventas!D205))</f>
        <v/>
      </c>
      <c r="J205" t="str">
        <f t="shared" si="12"/>
        <v/>
      </c>
    </row>
    <row r="206" spans="1:10" hidden="1" x14ac:dyDescent="0.2">
      <c r="A206" s="18" t="str">
        <f t="shared" si="10"/>
        <v/>
      </c>
      <c r="B206" s="45"/>
      <c r="C206" s="46"/>
      <c r="D206" s="46"/>
      <c r="E206" s="46"/>
      <c r="F206" s="20" t="str">
        <f t="shared" si="11"/>
        <v/>
      </c>
      <c r="G206" s="18" t="str">
        <f t="shared" si="13"/>
        <v/>
      </c>
      <c r="H206" s="49"/>
      <c r="I206" s="18" t="str">
        <f>IF($B206="","",H206-IF(Ventas!D206="",0,Ventas!D206))</f>
        <v/>
      </c>
      <c r="J206" t="str">
        <f t="shared" si="12"/>
        <v/>
      </c>
    </row>
    <row r="207" spans="1:10" hidden="1" x14ac:dyDescent="0.2">
      <c r="A207" s="18" t="str">
        <f t="shared" si="10"/>
        <v/>
      </c>
      <c r="F207" s="20" t="str">
        <f t="shared" si="11"/>
        <v/>
      </c>
      <c r="G207" s="18" t="str">
        <f t="shared" si="13"/>
        <v/>
      </c>
      <c r="I207" s="18" t="str">
        <f>IF($B207="","",H207-IF(Ventas!D207="",0,Ventas!D207))</f>
        <v/>
      </c>
      <c r="J207" t="str">
        <f t="shared" si="12"/>
        <v/>
      </c>
    </row>
    <row r="208" spans="1:10" hidden="1" x14ac:dyDescent="0.2">
      <c r="A208" s="18" t="str">
        <f t="shared" si="10"/>
        <v/>
      </c>
      <c r="F208" s="20" t="str">
        <f t="shared" si="11"/>
        <v/>
      </c>
      <c r="G208" s="18" t="str">
        <f t="shared" si="13"/>
        <v/>
      </c>
      <c r="I208" s="18" t="str">
        <f>IF($B208="","",H208-IF(Ventas!D208="",0,Ventas!D208))</f>
        <v/>
      </c>
      <c r="J208" t="str">
        <f t="shared" si="12"/>
        <v/>
      </c>
    </row>
    <row r="209" spans="1:10" hidden="1" x14ac:dyDescent="0.2">
      <c r="A209" s="18" t="str">
        <f t="shared" si="10"/>
        <v/>
      </c>
      <c r="F209" s="20" t="str">
        <f t="shared" si="11"/>
        <v/>
      </c>
      <c r="G209" s="18" t="str">
        <f t="shared" si="13"/>
        <v/>
      </c>
      <c r="I209" s="18" t="str">
        <f>IF($B209="","",H209-IF(Ventas!D209="",0,Ventas!D209))</f>
        <v/>
      </c>
      <c r="J209" t="str">
        <f t="shared" si="12"/>
        <v/>
      </c>
    </row>
    <row r="210" spans="1:10" hidden="1" x14ac:dyDescent="0.2">
      <c r="A210" s="18" t="str">
        <f t="shared" si="10"/>
        <v/>
      </c>
      <c r="F210" s="20" t="str">
        <f t="shared" si="11"/>
        <v/>
      </c>
      <c r="G210" s="18" t="str">
        <f t="shared" si="13"/>
        <v/>
      </c>
      <c r="I210" s="18" t="str">
        <f>IF($B210="","",H210-IF(Ventas!D210="",0,Ventas!D210))</f>
        <v/>
      </c>
      <c r="J210" t="str">
        <f t="shared" si="12"/>
        <v/>
      </c>
    </row>
    <row r="211" spans="1:10" hidden="1" x14ac:dyDescent="0.2">
      <c r="A211" s="18" t="str">
        <f t="shared" si="10"/>
        <v/>
      </c>
      <c r="F211" s="20" t="str">
        <f t="shared" si="11"/>
        <v/>
      </c>
      <c r="G211" s="18" t="str">
        <f t="shared" si="13"/>
        <v/>
      </c>
      <c r="I211" s="18" t="str">
        <f>IF($B211="","",H211-IF(Ventas!D211="",0,Ventas!D211))</f>
        <v/>
      </c>
      <c r="J211" t="str">
        <f t="shared" si="12"/>
        <v/>
      </c>
    </row>
    <row r="212" spans="1:10" hidden="1" x14ac:dyDescent="0.2">
      <c r="A212" s="18" t="str">
        <f t="shared" si="10"/>
        <v/>
      </c>
      <c r="F212" s="20" t="str">
        <f t="shared" si="11"/>
        <v/>
      </c>
      <c r="G212" s="18" t="str">
        <f t="shared" si="13"/>
        <v/>
      </c>
      <c r="I212" s="18" t="str">
        <f>IF($B212="","",H212-IF(Ventas!D212="",0,Ventas!D212))</f>
        <v/>
      </c>
      <c r="J212" t="str">
        <f t="shared" si="12"/>
        <v/>
      </c>
    </row>
    <row r="213" spans="1:10" hidden="1" x14ac:dyDescent="0.2">
      <c r="A213" s="18" t="str">
        <f t="shared" si="10"/>
        <v/>
      </c>
      <c r="F213" s="20" t="str">
        <f t="shared" si="11"/>
        <v/>
      </c>
      <c r="G213" s="18" t="str">
        <f t="shared" si="13"/>
        <v/>
      </c>
      <c r="I213" s="18" t="str">
        <f>IF($B213="","",H213-IF(Ventas!D213="",0,Ventas!D213))</f>
        <v/>
      </c>
      <c r="J213" t="str">
        <f t="shared" si="12"/>
        <v/>
      </c>
    </row>
    <row r="214" spans="1:10" hidden="1" x14ac:dyDescent="0.2">
      <c r="A214" s="18" t="str">
        <f t="shared" si="10"/>
        <v/>
      </c>
      <c r="F214" s="20" t="str">
        <f t="shared" si="11"/>
        <v/>
      </c>
      <c r="G214" s="18" t="str">
        <f t="shared" si="13"/>
        <v/>
      </c>
      <c r="I214" s="18" t="str">
        <f>IF($B214="","",H214-IF(Ventas!D214="",0,Ventas!D214))</f>
        <v/>
      </c>
      <c r="J214" t="str">
        <f t="shared" si="12"/>
        <v/>
      </c>
    </row>
    <row r="215" spans="1:10" hidden="1" x14ac:dyDescent="0.2">
      <c r="A215" s="18" t="str">
        <f t="shared" si="10"/>
        <v/>
      </c>
      <c r="F215" s="20" t="str">
        <f t="shared" si="11"/>
        <v/>
      </c>
      <c r="G215" s="18" t="str">
        <f t="shared" si="13"/>
        <v/>
      </c>
      <c r="I215" s="18" t="str">
        <f>IF($B215="","",H215-IF(Ventas!D215="",0,Ventas!D215))</f>
        <v/>
      </c>
      <c r="J215" t="str">
        <f t="shared" si="12"/>
        <v/>
      </c>
    </row>
    <row r="216" spans="1:10" hidden="1" x14ac:dyDescent="0.2">
      <c r="A216" s="18" t="str">
        <f t="shared" si="10"/>
        <v/>
      </c>
      <c r="F216" s="20" t="str">
        <f t="shared" si="11"/>
        <v/>
      </c>
      <c r="G216" s="18" t="str">
        <f t="shared" si="13"/>
        <v/>
      </c>
      <c r="I216" s="18" t="str">
        <f>IF($B216="","",H216-IF(Ventas!D216="",0,Ventas!D216))</f>
        <v/>
      </c>
      <c r="J216" t="str">
        <f t="shared" si="12"/>
        <v/>
      </c>
    </row>
    <row r="217" spans="1:10" hidden="1" x14ac:dyDescent="0.2">
      <c r="A217" s="18" t="str">
        <f t="shared" si="10"/>
        <v/>
      </c>
      <c r="F217" s="20" t="str">
        <f t="shared" si="11"/>
        <v/>
      </c>
      <c r="G217" s="18" t="str">
        <f t="shared" si="13"/>
        <v/>
      </c>
      <c r="I217" s="18" t="str">
        <f>IF($B217="","",H217-IF(Ventas!D217="",0,Ventas!D217))</f>
        <v/>
      </c>
      <c r="J217" t="str">
        <f t="shared" si="12"/>
        <v/>
      </c>
    </row>
    <row r="218" spans="1:10" hidden="1" x14ac:dyDescent="0.2">
      <c r="A218" s="18" t="str">
        <f t="shared" si="10"/>
        <v/>
      </c>
      <c r="F218" s="20" t="str">
        <f t="shared" si="11"/>
        <v/>
      </c>
      <c r="G218" s="18" t="str">
        <f t="shared" si="13"/>
        <v/>
      </c>
      <c r="I218" s="18" t="str">
        <f>IF($B218="","",H218-IF(Ventas!D218="",0,Ventas!D218))</f>
        <v/>
      </c>
      <c r="J218" t="str">
        <f t="shared" si="12"/>
        <v/>
      </c>
    </row>
    <row r="219" spans="1:10" hidden="1" x14ac:dyDescent="0.2">
      <c r="A219" s="18" t="str">
        <f t="shared" si="10"/>
        <v/>
      </c>
      <c r="F219" s="20" t="str">
        <f t="shared" si="11"/>
        <v/>
      </c>
      <c r="G219" s="18" t="str">
        <f t="shared" si="13"/>
        <v/>
      </c>
      <c r="I219" s="18" t="str">
        <f>IF($B219="","",H219-IF(Ventas!D219="",0,Ventas!D219))</f>
        <v/>
      </c>
      <c r="J219" t="str">
        <f t="shared" si="12"/>
        <v/>
      </c>
    </row>
    <row r="220" spans="1:10" hidden="1" x14ac:dyDescent="0.2">
      <c r="A220" s="18" t="str">
        <f t="shared" si="10"/>
        <v/>
      </c>
      <c r="F220" s="20" t="str">
        <f t="shared" si="11"/>
        <v/>
      </c>
      <c r="G220" s="18" t="str">
        <f t="shared" si="13"/>
        <v/>
      </c>
      <c r="I220" s="18" t="str">
        <f>IF($B220="","",H220-IF(Ventas!D220="",0,Ventas!D220))</f>
        <v/>
      </c>
      <c r="J220" t="str">
        <f t="shared" si="12"/>
        <v/>
      </c>
    </row>
    <row r="221" spans="1:10" hidden="1" x14ac:dyDescent="0.2">
      <c r="A221" s="18" t="str">
        <f t="shared" si="10"/>
        <v/>
      </c>
      <c r="F221" s="20" t="str">
        <f t="shared" si="11"/>
        <v/>
      </c>
      <c r="G221" s="18" t="str">
        <f t="shared" si="13"/>
        <v/>
      </c>
      <c r="I221" s="18" t="str">
        <f>IF($B221="","",H221-IF(Ventas!D221="",0,Ventas!D221))</f>
        <v/>
      </c>
      <c r="J221" t="str">
        <f t="shared" si="12"/>
        <v/>
      </c>
    </row>
    <row r="222" spans="1:10" hidden="1" x14ac:dyDescent="0.2">
      <c r="A222" s="18" t="str">
        <f t="shared" si="10"/>
        <v/>
      </c>
      <c r="F222" s="20" t="str">
        <f t="shared" si="11"/>
        <v/>
      </c>
      <c r="G222" s="18" t="str">
        <f t="shared" si="13"/>
        <v/>
      </c>
      <c r="I222" s="18" t="str">
        <f>IF($B222="","",H222-IF(Ventas!D222="",0,Ventas!D222))</f>
        <v/>
      </c>
      <c r="J222" t="str">
        <f t="shared" si="12"/>
        <v/>
      </c>
    </row>
    <row r="223" spans="1:10" hidden="1" x14ac:dyDescent="0.2">
      <c r="A223" s="18" t="str">
        <f t="shared" si="10"/>
        <v/>
      </c>
      <c r="F223" s="20" t="str">
        <f t="shared" si="11"/>
        <v/>
      </c>
      <c r="G223" s="18" t="str">
        <f t="shared" si="13"/>
        <v/>
      </c>
      <c r="I223" s="18" t="str">
        <f>IF($B223="","",H223-IF(Ventas!D223="",0,Ventas!D223))</f>
        <v/>
      </c>
      <c r="J223" t="str">
        <f t="shared" si="12"/>
        <v/>
      </c>
    </row>
    <row r="224" spans="1:10" hidden="1" x14ac:dyDescent="0.2">
      <c r="A224" s="18" t="str">
        <f t="shared" si="10"/>
        <v/>
      </c>
      <c r="F224" s="20" t="str">
        <f t="shared" si="11"/>
        <v/>
      </c>
      <c r="G224" s="18" t="str">
        <f t="shared" si="13"/>
        <v/>
      </c>
      <c r="I224" s="18" t="str">
        <f>IF($B224="","",H224-IF(Ventas!D224="",0,Ventas!D224))</f>
        <v/>
      </c>
      <c r="J224" t="str">
        <f t="shared" si="12"/>
        <v/>
      </c>
    </row>
    <row r="225" spans="1:10" hidden="1" x14ac:dyDescent="0.2">
      <c r="A225" s="18" t="str">
        <f t="shared" si="10"/>
        <v/>
      </c>
      <c r="F225" s="20" t="str">
        <f t="shared" si="11"/>
        <v/>
      </c>
      <c r="G225" s="18" t="str">
        <f t="shared" si="13"/>
        <v/>
      </c>
      <c r="I225" s="18" t="str">
        <f>IF($B225="","",H225-IF(Ventas!D225="",0,Ventas!D225))</f>
        <v/>
      </c>
      <c r="J225" t="str">
        <f t="shared" si="12"/>
        <v/>
      </c>
    </row>
    <row r="226" spans="1:10" hidden="1" x14ac:dyDescent="0.2">
      <c r="A226" s="18" t="str">
        <f t="shared" si="10"/>
        <v/>
      </c>
      <c r="F226" s="20" t="str">
        <f t="shared" si="11"/>
        <v/>
      </c>
      <c r="G226" s="18" t="str">
        <f t="shared" si="13"/>
        <v/>
      </c>
      <c r="I226" s="18" t="str">
        <f>IF($B226="","",H226-IF(Ventas!D226="",0,Ventas!D226))</f>
        <v/>
      </c>
      <c r="J226" t="str">
        <f t="shared" si="12"/>
        <v/>
      </c>
    </row>
    <row r="227" spans="1:10" hidden="1" x14ac:dyDescent="0.2">
      <c r="A227" s="18" t="str">
        <f t="shared" si="10"/>
        <v/>
      </c>
      <c r="F227" s="20" t="str">
        <f t="shared" si="11"/>
        <v/>
      </c>
      <c r="G227" s="18" t="str">
        <f t="shared" si="13"/>
        <v/>
      </c>
      <c r="I227" s="18" t="str">
        <f>IF($B227="","",H227-IF(Ventas!D227="",0,Ventas!D227))</f>
        <v/>
      </c>
      <c r="J227" t="str">
        <f t="shared" si="12"/>
        <v/>
      </c>
    </row>
    <row r="228" spans="1:10" hidden="1" x14ac:dyDescent="0.2">
      <c r="A228" s="18" t="str">
        <f t="shared" si="10"/>
        <v/>
      </c>
      <c r="F228" s="20" t="str">
        <f t="shared" si="11"/>
        <v/>
      </c>
      <c r="G228" s="18" t="str">
        <f t="shared" si="13"/>
        <v/>
      </c>
      <c r="I228" s="18" t="str">
        <f>IF($B228="","",H228-IF(Ventas!D228="",0,Ventas!D228))</f>
        <v/>
      </c>
      <c r="J228" t="str">
        <f t="shared" si="12"/>
        <v/>
      </c>
    </row>
    <row r="229" spans="1:10" hidden="1" x14ac:dyDescent="0.2">
      <c r="A229" s="18" t="str">
        <f t="shared" si="10"/>
        <v/>
      </c>
      <c r="F229" s="20" t="str">
        <f t="shared" si="11"/>
        <v/>
      </c>
      <c r="G229" s="18" t="str">
        <f t="shared" si="13"/>
        <v/>
      </c>
      <c r="I229" s="18" t="str">
        <f>IF($B229="","",H229-IF(Ventas!D229="",0,Ventas!D229))</f>
        <v/>
      </c>
      <c r="J229" t="str">
        <f t="shared" si="12"/>
        <v/>
      </c>
    </row>
    <row r="230" spans="1:10" hidden="1" x14ac:dyDescent="0.2">
      <c r="A230" s="18" t="str">
        <f t="shared" si="10"/>
        <v/>
      </c>
      <c r="F230" s="20" t="str">
        <f t="shared" si="11"/>
        <v/>
      </c>
      <c r="G230" s="18" t="str">
        <f t="shared" si="13"/>
        <v/>
      </c>
      <c r="I230" s="18" t="str">
        <f>IF($B230="","",H230-IF(Ventas!D230="",0,Ventas!D230))</f>
        <v/>
      </c>
      <c r="J230" t="str">
        <f t="shared" si="12"/>
        <v/>
      </c>
    </row>
    <row r="231" spans="1:10" hidden="1" x14ac:dyDescent="0.2">
      <c r="A231" s="18" t="str">
        <f t="shared" si="10"/>
        <v/>
      </c>
      <c r="F231" s="20" t="str">
        <f t="shared" si="11"/>
        <v/>
      </c>
      <c r="G231" s="18" t="str">
        <f t="shared" si="13"/>
        <v/>
      </c>
      <c r="I231" s="18" t="str">
        <f>IF($B231="","",H231-IF(Ventas!D231="",0,Ventas!D231))</f>
        <v/>
      </c>
      <c r="J231" t="str">
        <f t="shared" si="12"/>
        <v/>
      </c>
    </row>
    <row r="232" spans="1:10" hidden="1" x14ac:dyDescent="0.2">
      <c r="A232" s="18" t="str">
        <f t="shared" si="10"/>
        <v/>
      </c>
      <c r="F232" s="20" t="str">
        <f t="shared" si="11"/>
        <v/>
      </c>
      <c r="G232" s="18" t="str">
        <f t="shared" si="13"/>
        <v/>
      </c>
      <c r="I232" s="18" t="str">
        <f>IF($B232="","",H232-IF(Ventas!D232="",0,Ventas!D232))</f>
        <v/>
      </c>
      <c r="J232" t="str">
        <f t="shared" si="12"/>
        <v/>
      </c>
    </row>
    <row r="233" spans="1:10" hidden="1" x14ac:dyDescent="0.2">
      <c r="A233" s="18" t="str">
        <f t="shared" si="10"/>
        <v/>
      </c>
      <c r="F233" s="20" t="str">
        <f t="shared" si="11"/>
        <v/>
      </c>
      <c r="G233" s="18" t="str">
        <f t="shared" si="13"/>
        <v/>
      </c>
      <c r="I233" s="18" t="str">
        <f>IF($B233="","",H233-IF(Ventas!D233="",0,Ventas!D233))</f>
        <v/>
      </c>
      <c r="J233" t="str">
        <f t="shared" si="12"/>
        <v/>
      </c>
    </row>
    <row r="234" spans="1:10" hidden="1" x14ac:dyDescent="0.2">
      <c r="A234" s="18" t="str">
        <f t="shared" si="10"/>
        <v/>
      </c>
      <c r="F234" s="20" t="str">
        <f t="shared" si="11"/>
        <v/>
      </c>
      <c r="G234" s="18" t="str">
        <f t="shared" si="13"/>
        <v/>
      </c>
      <c r="I234" s="18" t="str">
        <f>IF($B234="","",H234-IF(Ventas!D234="",0,Ventas!D234))</f>
        <v/>
      </c>
      <c r="J234" t="str">
        <f t="shared" si="12"/>
        <v/>
      </c>
    </row>
    <row r="235" spans="1:10" hidden="1" x14ac:dyDescent="0.2">
      <c r="A235" s="18" t="str">
        <f t="shared" si="10"/>
        <v/>
      </c>
      <c r="F235" s="20" t="str">
        <f t="shared" si="11"/>
        <v/>
      </c>
      <c r="G235" s="18" t="str">
        <f t="shared" si="13"/>
        <v/>
      </c>
      <c r="I235" s="18" t="str">
        <f>IF($B235="","",H235-IF(Ventas!D235="",0,Ventas!D235))</f>
        <v/>
      </c>
      <c r="J235" t="str">
        <f t="shared" si="12"/>
        <v/>
      </c>
    </row>
    <row r="236" spans="1:10" hidden="1" x14ac:dyDescent="0.2">
      <c r="A236" s="18" t="str">
        <f t="shared" si="10"/>
        <v/>
      </c>
      <c r="F236" s="20" t="str">
        <f t="shared" si="11"/>
        <v/>
      </c>
      <c r="G236" s="18" t="str">
        <f t="shared" si="13"/>
        <v/>
      </c>
      <c r="I236" s="18" t="str">
        <f>IF($B236="","",H236-IF(Ventas!D236="",0,Ventas!D236))</f>
        <v/>
      </c>
      <c r="J236" t="str">
        <f t="shared" si="12"/>
        <v/>
      </c>
    </row>
    <row r="237" spans="1:10" hidden="1" x14ac:dyDescent="0.2">
      <c r="A237" s="18" t="str">
        <f t="shared" si="10"/>
        <v/>
      </c>
      <c r="F237" s="20" t="str">
        <f t="shared" si="11"/>
        <v/>
      </c>
      <c r="G237" s="18" t="str">
        <f t="shared" si="13"/>
        <v/>
      </c>
      <c r="I237" s="18" t="str">
        <f>IF($B237="","",H237-IF(Ventas!D237="",0,Ventas!D237))</f>
        <v/>
      </c>
      <c r="J237" t="str">
        <f t="shared" si="12"/>
        <v/>
      </c>
    </row>
    <row r="238" spans="1:10" hidden="1" x14ac:dyDescent="0.2">
      <c r="A238" s="18" t="str">
        <f t="shared" si="10"/>
        <v/>
      </c>
      <c r="F238" s="20" t="str">
        <f t="shared" si="11"/>
        <v/>
      </c>
      <c r="G238" s="18" t="str">
        <f t="shared" si="13"/>
        <v/>
      </c>
      <c r="I238" s="18" t="str">
        <f>IF($B238="","",H238-IF(Ventas!D238="",0,Ventas!D238))</f>
        <v/>
      </c>
      <c r="J238" t="str">
        <f t="shared" si="12"/>
        <v/>
      </c>
    </row>
    <row r="239" spans="1:10" hidden="1" x14ac:dyDescent="0.2">
      <c r="A239" s="18" t="str">
        <f t="shared" si="10"/>
        <v/>
      </c>
      <c r="F239" s="20" t="str">
        <f t="shared" si="11"/>
        <v/>
      </c>
      <c r="G239" s="18" t="str">
        <f t="shared" si="13"/>
        <v/>
      </c>
      <c r="I239" s="18" t="str">
        <f>IF($B239="","",H239-IF(Ventas!D239="",0,Ventas!D239))</f>
        <v/>
      </c>
      <c r="J239" t="str">
        <f t="shared" si="12"/>
        <v/>
      </c>
    </row>
    <row r="240" spans="1:10" hidden="1" x14ac:dyDescent="0.2">
      <c r="A240" s="18" t="str">
        <f t="shared" si="10"/>
        <v/>
      </c>
      <c r="F240" s="20" t="str">
        <f t="shared" si="11"/>
        <v/>
      </c>
      <c r="G240" s="18" t="str">
        <f t="shared" si="13"/>
        <v/>
      </c>
      <c r="I240" s="18" t="str">
        <f>IF($B240="","",H240-IF(Ventas!D240="",0,Ventas!D240))</f>
        <v/>
      </c>
      <c r="J240" t="str">
        <f t="shared" si="12"/>
        <v/>
      </c>
    </row>
    <row r="241" spans="1:10" hidden="1" x14ac:dyDescent="0.2">
      <c r="A241" s="18" t="str">
        <f t="shared" si="10"/>
        <v/>
      </c>
      <c r="F241" s="20" t="str">
        <f t="shared" si="11"/>
        <v/>
      </c>
      <c r="G241" s="18" t="str">
        <f t="shared" si="13"/>
        <v/>
      </c>
      <c r="I241" s="18" t="str">
        <f>IF($B241="","",H241-IF(Ventas!D241="",0,Ventas!D241))</f>
        <v/>
      </c>
      <c r="J241" t="str">
        <f t="shared" si="12"/>
        <v/>
      </c>
    </row>
    <row r="242" spans="1:10" hidden="1" x14ac:dyDescent="0.2">
      <c r="A242" s="18" t="str">
        <f t="shared" si="10"/>
        <v/>
      </c>
      <c r="F242" s="20" t="str">
        <f t="shared" si="11"/>
        <v/>
      </c>
      <c r="G242" s="18" t="str">
        <f t="shared" si="13"/>
        <v/>
      </c>
      <c r="I242" s="18" t="str">
        <f>IF($B242="","",H242-IF(Ventas!D242="",0,Ventas!D242))</f>
        <v/>
      </c>
      <c r="J242" t="str">
        <f t="shared" si="12"/>
        <v/>
      </c>
    </row>
    <row r="243" spans="1:10" hidden="1" x14ac:dyDescent="0.2">
      <c r="A243" s="18" t="str">
        <f t="shared" si="10"/>
        <v/>
      </c>
      <c r="F243" s="20" t="str">
        <f t="shared" si="11"/>
        <v/>
      </c>
      <c r="G243" s="18" t="str">
        <f t="shared" si="13"/>
        <v/>
      </c>
      <c r="I243" s="18" t="str">
        <f>IF($B243="","",H243-IF(Ventas!D243="",0,Ventas!D243))</f>
        <v/>
      </c>
      <c r="J243" t="str">
        <f t="shared" si="12"/>
        <v/>
      </c>
    </row>
    <row r="244" spans="1:10" hidden="1" x14ac:dyDescent="0.2">
      <c r="A244" s="18" t="str">
        <f t="shared" si="10"/>
        <v/>
      </c>
      <c r="F244" s="20" t="str">
        <f t="shared" si="11"/>
        <v/>
      </c>
      <c r="G244" s="18" t="str">
        <f t="shared" si="13"/>
        <v/>
      </c>
      <c r="I244" s="18" t="str">
        <f>IF($B244="","",H244-IF(Ventas!D244="",0,Ventas!D244))</f>
        <v/>
      </c>
      <c r="J244" t="str">
        <f t="shared" si="12"/>
        <v/>
      </c>
    </row>
    <row r="245" spans="1:10" hidden="1" x14ac:dyDescent="0.2">
      <c r="A245" s="18" t="str">
        <f t="shared" si="10"/>
        <v/>
      </c>
      <c r="F245" s="20" t="str">
        <f t="shared" si="11"/>
        <v/>
      </c>
      <c r="G245" s="18" t="str">
        <f t="shared" si="13"/>
        <v/>
      </c>
      <c r="I245" s="18" t="str">
        <f>IF($B245="","",H245-IF(Ventas!D245="",0,Ventas!D245))</f>
        <v/>
      </c>
      <c r="J245" t="str">
        <f t="shared" si="12"/>
        <v/>
      </c>
    </row>
    <row r="246" spans="1:10" hidden="1" x14ac:dyDescent="0.2">
      <c r="A246" s="18" t="str">
        <f t="shared" si="10"/>
        <v/>
      </c>
      <c r="F246" s="20" t="str">
        <f t="shared" si="11"/>
        <v/>
      </c>
      <c r="G246" s="18" t="str">
        <f t="shared" si="13"/>
        <v/>
      </c>
      <c r="I246" s="18" t="str">
        <f>IF($B246="","",H246-IF(Ventas!D246="",0,Ventas!D246))</f>
        <v/>
      </c>
      <c r="J246" t="str">
        <f t="shared" si="12"/>
        <v/>
      </c>
    </row>
    <row r="247" spans="1:10" hidden="1" x14ac:dyDescent="0.2">
      <c r="A247" s="18" t="str">
        <f t="shared" si="10"/>
        <v/>
      </c>
      <c r="F247" s="20" t="str">
        <f t="shared" si="11"/>
        <v/>
      </c>
      <c r="G247" s="18" t="str">
        <f t="shared" si="13"/>
        <v/>
      </c>
      <c r="I247" s="18" t="str">
        <f>IF($B247="","",H247-IF(Ventas!D247="",0,Ventas!D247))</f>
        <v/>
      </c>
      <c r="J247" t="str">
        <f t="shared" si="12"/>
        <v/>
      </c>
    </row>
    <row r="248" spans="1:10" hidden="1" x14ac:dyDescent="0.2">
      <c r="A248" s="18" t="str">
        <f t="shared" si="10"/>
        <v/>
      </c>
      <c r="F248" s="20" t="str">
        <f t="shared" si="11"/>
        <v/>
      </c>
      <c r="G248" s="18" t="str">
        <f t="shared" si="13"/>
        <v/>
      </c>
      <c r="I248" s="18" t="str">
        <f>IF($B248="","",H248-IF(Ventas!D248="",0,Ventas!D248))</f>
        <v/>
      </c>
      <c r="J248" t="str">
        <f t="shared" si="12"/>
        <v/>
      </c>
    </row>
    <row r="249" spans="1:10" hidden="1" x14ac:dyDescent="0.2">
      <c r="A249" s="18" t="str">
        <f t="shared" si="10"/>
        <v/>
      </c>
      <c r="F249" s="20" t="str">
        <f t="shared" si="11"/>
        <v/>
      </c>
      <c r="G249" s="18" t="str">
        <f t="shared" si="13"/>
        <v/>
      </c>
      <c r="I249" s="18" t="str">
        <f>IF($B249="","",H249-IF(Ventas!D249="",0,Ventas!D249))</f>
        <v/>
      </c>
      <c r="J249" t="str">
        <f t="shared" si="12"/>
        <v/>
      </c>
    </row>
    <row r="250" spans="1:10" hidden="1" x14ac:dyDescent="0.2">
      <c r="A250" s="18" t="str">
        <f t="shared" si="10"/>
        <v/>
      </c>
      <c r="F250" s="20" t="str">
        <f t="shared" si="11"/>
        <v/>
      </c>
      <c r="G250" s="18" t="str">
        <f t="shared" si="13"/>
        <v/>
      </c>
      <c r="I250" s="18" t="str">
        <f>IF($B250="","",H250-IF(Ventas!D250="",0,Ventas!D250))</f>
        <v/>
      </c>
      <c r="J250" t="str">
        <f t="shared" si="12"/>
        <v/>
      </c>
    </row>
    <row r="251" spans="1:10" hidden="1" x14ac:dyDescent="0.2">
      <c r="A251" s="18" t="str">
        <f t="shared" si="10"/>
        <v/>
      </c>
      <c r="F251" s="20" t="str">
        <f t="shared" si="11"/>
        <v/>
      </c>
      <c r="G251" s="18" t="str">
        <f t="shared" si="13"/>
        <v/>
      </c>
      <c r="I251" s="18" t="str">
        <f>IF($B251="","",H251-IF(Ventas!D251="",0,Ventas!D251))</f>
        <v/>
      </c>
      <c r="J251" t="str">
        <f t="shared" si="12"/>
        <v/>
      </c>
    </row>
    <row r="252" spans="1:10" hidden="1" x14ac:dyDescent="0.2">
      <c r="A252" s="18" t="str">
        <f t="shared" si="10"/>
        <v/>
      </c>
      <c r="F252" s="20" t="str">
        <f t="shared" si="11"/>
        <v/>
      </c>
      <c r="G252" s="18" t="str">
        <f t="shared" si="13"/>
        <v/>
      </c>
      <c r="I252" s="18" t="str">
        <f>IF($B252="","",H252-IF(Ventas!D252="",0,Ventas!D252))</f>
        <v/>
      </c>
      <c r="J252" t="str">
        <f t="shared" si="12"/>
        <v/>
      </c>
    </row>
    <row r="253" spans="1:10" hidden="1" x14ac:dyDescent="0.2">
      <c r="A253" s="18" t="str">
        <f t="shared" si="10"/>
        <v/>
      </c>
      <c r="F253" s="20" t="str">
        <f t="shared" si="11"/>
        <v/>
      </c>
      <c r="G253" s="18" t="str">
        <f t="shared" si="13"/>
        <v/>
      </c>
      <c r="I253" s="18" t="str">
        <f>IF($B253="","",H253-IF(Ventas!D253="",0,Ventas!D253))</f>
        <v/>
      </c>
      <c r="J253" t="str">
        <f t="shared" si="12"/>
        <v/>
      </c>
    </row>
    <row r="254" spans="1:10" hidden="1" x14ac:dyDescent="0.2">
      <c r="A254" s="18" t="str">
        <f t="shared" si="10"/>
        <v/>
      </c>
      <c r="F254" s="20" t="str">
        <f t="shared" si="11"/>
        <v/>
      </c>
      <c r="G254" s="18" t="str">
        <f t="shared" si="13"/>
        <v/>
      </c>
      <c r="I254" s="18" t="str">
        <f>IF($B254="","",H254-IF(Ventas!D254="",0,Ventas!D254))</f>
        <v/>
      </c>
      <c r="J254" t="str">
        <f t="shared" si="12"/>
        <v/>
      </c>
    </row>
    <row r="255" spans="1:10" hidden="1" x14ac:dyDescent="0.2">
      <c r="A255" s="18" t="str">
        <f t="shared" si="10"/>
        <v/>
      </c>
      <c r="F255" s="20" t="str">
        <f t="shared" si="11"/>
        <v/>
      </c>
      <c r="G255" s="18" t="str">
        <f t="shared" si="13"/>
        <v/>
      </c>
      <c r="I255" s="18" t="str">
        <f>IF($B255="","",H255-IF(Ventas!D255="",0,Ventas!D255))</f>
        <v/>
      </c>
      <c r="J255" t="str">
        <f t="shared" si="12"/>
        <v/>
      </c>
    </row>
    <row r="256" spans="1:10" hidden="1" x14ac:dyDescent="0.2">
      <c r="A256" s="18" t="str">
        <f t="shared" si="10"/>
        <v/>
      </c>
      <c r="F256" s="20" t="str">
        <f t="shared" si="11"/>
        <v/>
      </c>
      <c r="G256" s="18" t="str">
        <f t="shared" si="13"/>
        <v/>
      </c>
      <c r="I256" s="18" t="str">
        <f>IF($B256="","",H256-IF(Ventas!D256="",0,Ventas!D256))</f>
        <v/>
      </c>
      <c r="J256" t="str">
        <f t="shared" si="12"/>
        <v/>
      </c>
    </row>
    <row r="257" spans="1:10" hidden="1" x14ac:dyDescent="0.2">
      <c r="A257" s="18" t="str">
        <f t="shared" si="10"/>
        <v/>
      </c>
      <c r="F257" s="20" t="str">
        <f t="shared" si="11"/>
        <v/>
      </c>
      <c r="G257" s="18" t="str">
        <f t="shared" si="13"/>
        <v/>
      </c>
      <c r="I257" s="18" t="str">
        <f>IF($B257="","",H257-IF(Ventas!D257="",0,Ventas!D257))</f>
        <v/>
      </c>
      <c r="J257" t="str">
        <f t="shared" si="12"/>
        <v/>
      </c>
    </row>
    <row r="258" spans="1:10" hidden="1" x14ac:dyDescent="0.2">
      <c r="A258" s="18" t="str">
        <f t="shared" si="10"/>
        <v/>
      </c>
      <c r="F258" s="20" t="str">
        <f t="shared" si="11"/>
        <v/>
      </c>
      <c r="G258" s="18" t="str">
        <f t="shared" si="13"/>
        <v/>
      </c>
      <c r="I258" s="18" t="str">
        <f>IF($B258="","",H258-IF(Ventas!D258="",0,Ventas!D258))</f>
        <v/>
      </c>
      <c r="J258" t="str">
        <f t="shared" si="12"/>
        <v/>
      </c>
    </row>
    <row r="259" spans="1:10" hidden="1" x14ac:dyDescent="0.2">
      <c r="A259" s="18" t="str">
        <f t="shared" ref="A259:A322" si="14">IF(B259="","","P"&amp;TEXT(ROW()-1,"000"))</f>
        <v/>
      </c>
      <c r="F259" s="20" t="str">
        <f t="shared" ref="F259:F322" si="15">IF(OR(E259="",D259="",D259=0),"",E259/D259)</f>
        <v/>
      </c>
      <c r="G259" s="18" t="str">
        <f t="shared" si="13"/>
        <v/>
      </c>
      <c r="I259" s="18" t="str">
        <f>IF($B259="","",H259-IF(Ventas!D259="",0,Ventas!D259))</f>
        <v/>
      </c>
      <c r="J259" t="str">
        <f t="shared" ref="J259:J322" si="16">IF($B259="","",IF(N(I259)=0,"Agotado","Activo"))</f>
        <v/>
      </c>
    </row>
    <row r="260" spans="1:10" hidden="1" x14ac:dyDescent="0.2">
      <c r="A260" s="18" t="str">
        <f t="shared" si="14"/>
        <v/>
      </c>
      <c r="F260" s="20" t="str">
        <f t="shared" si="15"/>
        <v/>
      </c>
      <c r="G260" s="18" t="str">
        <f t="shared" si="13"/>
        <v/>
      </c>
      <c r="I260" s="18" t="str">
        <f>IF($B260="","",H260-IF(Ventas!D260="",0,Ventas!D260))</f>
        <v/>
      </c>
      <c r="J260" t="str">
        <f t="shared" si="16"/>
        <v/>
      </c>
    </row>
    <row r="261" spans="1:10" hidden="1" x14ac:dyDescent="0.2">
      <c r="A261" s="18" t="str">
        <f t="shared" si="14"/>
        <v/>
      </c>
      <c r="F261" s="20" t="str">
        <f t="shared" si="15"/>
        <v/>
      </c>
      <c r="G261" s="18" t="str">
        <f t="shared" si="13"/>
        <v/>
      </c>
      <c r="I261" s="18" t="str">
        <f>IF($B261="","",H261-IF(Ventas!D261="",0,Ventas!D261))</f>
        <v/>
      </c>
      <c r="J261" t="str">
        <f t="shared" si="16"/>
        <v/>
      </c>
    </row>
    <row r="262" spans="1:10" hidden="1" x14ac:dyDescent="0.2">
      <c r="A262" s="18" t="str">
        <f t="shared" si="14"/>
        <v/>
      </c>
      <c r="F262" s="20" t="str">
        <f t="shared" si="15"/>
        <v/>
      </c>
      <c r="G262" s="18" t="str">
        <f t="shared" ref="G262:G325" si="17">IF(F262="","",ROUND(F262*1.33,0))</f>
        <v/>
      </c>
      <c r="I262" s="18" t="str">
        <f>IF($B262="","",H262-IF(Ventas!D262="",0,Ventas!D262))</f>
        <v/>
      </c>
      <c r="J262" t="str">
        <f t="shared" si="16"/>
        <v/>
      </c>
    </row>
    <row r="263" spans="1:10" hidden="1" x14ac:dyDescent="0.2">
      <c r="A263" s="18" t="str">
        <f t="shared" si="14"/>
        <v/>
      </c>
      <c r="F263" s="20" t="str">
        <f t="shared" si="15"/>
        <v/>
      </c>
      <c r="G263" s="18" t="str">
        <f t="shared" si="17"/>
        <v/>
      </c>
      <c r="I263" s="18" t="str">
        <f>IF($B263="","",H263-IF(Ventas!D263="",0,Ventas!D263))</f>
        <v/>
      </c>
      <c r="J263" t="str">
        <f t="shared" si="16"/>
        <v/>
      </c>
    </row>
    <row r="264" spans="1:10" hidden="1" x14ac:dyDescent="0.2">
      <c r="A264" s="18" t="str">
        <f t="shared" si="14"/>
        <v/>
      </c>
      <c r="F264" s="20" t="str">
        <f t="shared" si="15"/>
        <v/>
      </c>
      <c r="G264" s="18" t="str">
        <f t="shared" si="17"/>
        <v/>
      </c>
      <c r="I264" s="18" t="str">
        <f>IF($B264="","",H264-IF(Ventas!D264="",0,Ventas!D264))</f>
        <v/>
      </c>
      <c r="J264" t="str">
        <f t="shared" si="16"/>
        <v/>
      </c>
    </row>
    <row r="265" spans="1:10" hidden="1" x14ac:dyDescent="0.2">
      <c r="A265" s="18" t="str">
        <f t="shared" si="14"/>
        <v/>
      </c>
      <c r="F265" s="20" t="str">
        <f t="shared" si="15"/>
        <v/>
      </c>
      <c r="G265" s="18" t="str">
        <f t="shared" si="17"/>
        <v/>
      </c>
      <c r="I265" s="18" t="str">
        <f>IF($B265="","",H265-IF(Ventas!D265="",0,Ventas!D265))</f>
        <v/>
      </c>
      <c r="J265" t="str">
        <f t="shared" si="16"/>
        <v/>
      </c>
    </row>
    <row r="266" spans="1:10" hidden="1" x14ac:dyDescent="0.2">
      <c r="A266" s="18" t="str">
        <f t="shared" si="14"/>
        <v/>
      </c>
      <c r="F266" s="20" t="str">
        <f t="shared" si="15"/>
        <v/>
      </c>
      <c r="G266" s="18" t="str">
        <f t="shared" si="17"/>
        <v/>
      </c>
      <c r="I266" s="18" t="str">
        <f>IF($B266="","",H266-IF(Ventas!D266="",0,Ventas!D266))</f>
        <v/>
      </c>
      <c r="J266" t="str">
        <f t="shared" si="16"/>
        <v/>
      </c>
    </row>
    <row r="267" spans="1:10" hidden="1" x14ac:dyDescent="0.2">
      <c r="A267" s="18" t="str">
        <f t="shared" si="14"/>
        <v/>
      </c>
      <c r="F267" s="20" t="str">
        <f t="shared" si="15"/>
        <v/>
      </c>
      <c r="G267" s="18" t="str">
        <f t="shared" si="17"/>
        <v/>
      </c>
      <c r="I267" s="18" t="str">
        <f>IF($B267="","",H267-IF(Ventas!D267="",0,Ventas!D267))</f>
        <v/>
      </c>
      <c r="J267" t="str">
        <f t="shared" si="16"/>
        <v/>
      </c>
    </row>
    <row r="268" spans="1:10" hidden="1" x14ac:dyDescent="0.2">
      <c r="A268" s="18" t="str">
        <f t="shared" si="14"/>
        <v/>
      </c>
      <c r="F268" s="20" t="str">
        <f t="shared" si="15"/>
        <v/>
      </c>
      <c r="G268" s="18" t="str">
        <f t="shared" si="17"/>
        <v/>
      </c>
      <c r="I268" s="18" t="str">
        <f>IF($B268="","",H268-IF(Ventas!D268="",0,Ventas!D268))</f>
        <v/>
      </c>
      <c r="J268" t="str">
        <f t="shared" si="16"/>
        <v/>
      </c>
    </row>
    <row r="269" spans="1:10" hidden="1" x14ac:dyDescent="0.2">
      <c r="A269" s="18" t="str">
        <f t="shared" si="14"/>
        <v/>
      </c>
      <c r="F269" s="20" t="str">
        <f t="shared" si="15"/>
        <v/>
      </c>
      <c r="G269" s="18" t="str">
        <f t="shared" si="17"/>
        <v/>
      </c>
      <c r="I269" s="18" t="str">
        <f>IF($B269="","",H269-IF(Ventas!D269="",0,Ventas!D269))</f>
        <v/>
      </c>
      <c r="J269" t="str">
        <f t="shared" si="16"/>
        <v/>
      </c>
    </row>
    <row r="270" spans="1:10" hidden="1" x14ac:dyDescent="0.2">
      <c r="A270" s="18" t="str">
        <f t="shared" si="14"/>
        <v/>
      </c>
      <c r="F270" s="20" t="str">
        <f t="shared" si="15"/>
        <v/>
      </c>
      <c r="G270" s="18" t="str">
        <f t="shared" si="17"/>
        <v/>
      </c>
      <c r="I270" s="18" t="str">
        <f>IF($B270="","",H270-IF(Ventas!D270="",0,Ventas!D270))</f>
        <v/>
      </c>
      <c r="J270" t="str">
        <f t="shared" si="16"/>
        <v/>
      </c>
    </row>
    <row r="271" spans="1:10" hidden="1" x14ac:dyDescent="0.2">
      <c r="A271" s="18" t="str">
        <f t="shared" si="14"/>
        <v/>
      </c>
      <c r="F271" s="20" t="str">
        <f t="shared" si="15"/>
        <v/>
      </c>
      <c r="G271" s="18" t="str">
        <f t="shared" si="17"/>
        <v/>
      </c>
      <c r="I271" s="18" t="str">
        <f>IF($B271="","",H271-IF(Ventas!D271="",0,Ventas!D271))</f>
        <v/>
      </c>
      <c r="J271" t="str">
        <f t="shared" si="16"/>
        <v/>
      </c>
    </row>
    <row r="272" spans="1:10" hidden="1" x14ac:dyDescent="0.2">
      <c r="A272" s="18" t="str">
        <f t="shared" si="14"/>
        <v/>
      </c>
      <c r="F272" s="20" t="str">
        <f t="shared" si="15"/>
        <v/>
      </c>
      <c r="G272" s="18" t="str">
        <f t="shared" si="17"/>
        <v/>
      </c>
      <c r="I272" s="18" t="str">
        <f>IF($B272="","",H272-IF(Ventas!D272="",0,Ventas!D272))</f>
        <v/>
      </c>
      <c r="J272" t="str">
        <f t="shared" si="16"/>
        <v/>
      </c>
    </row>
    <row r="273" spans="1:10" hidden="1" x14ac:dyDescent="0.2">
      <c r="A273" s="18" t="str">
        <f t="shared" si="14"/>
        <v/>
      </c>
      <c r="F273" s="20" t="str">
        <f t="shared" si="15"/>
        <v/>
      </c>
      <c r="G273" s="18" t="str">
        <f t="shared" si="17"/>
        <v/>
      </c>
      <c r="I273" s="18" t="str">
        <f>IF($B273="","",H273-IF(Ventas!D273="",0,Ventas!D273))</f>
        <v/>
      </c>
      <c r="J273" t="str">
        <f t="shared" si="16"/>
        <v/>
      </c>
    </row>
    <row r="274" spans="1:10" hidden="1" x14ac:dyDescent="0.2">
      <c r="A274" s="18" t="str">
        <f t="shared" si="14"/>
        <v/>
      </c>
      <c r="F274" s="20" t="str">
        <f t="shared" si="15"/>
        <v/>
      </c>
      <c r="G274" s="18" t="str">
        <f t="shared" si="17"/>
        <v/>
      </c>
      <c r="I274" s="18" t="str">
        <f>IF($B274="","",H274-IF(Ventas!D274="",0,Ventas!D274))</f>
        <v/>
      </c>
      <c r="J274" t="str">
        <f t="shared" si="16"/>
        <v/>
      </c>
    </row>
    <row r="275" spans="1:10" hidden="1" x14ac:dyDescent="0.2">
      <c r="A275" s="18" t="str">
        <f t="shared" si="14"/>
        <v/>
      </c>
      <c r="F275" s="20" t="str">
        <f t="shared" si="15"/>
        <v/>
      </c>
      <c r="G275" s="18" t="str">
        <f t="shared" si="17"/>
        <v/>
      </c>
      <c r="I275" s="18" t="str">
        <f>IF($B275="","",H275-IF(Ventas!D275="",0,Ventas!D275))</f>
        <v/>
      </c>
      <c r="J275" t="str">
        <f t="shared" si="16"/>
        <v/>
      </c>
    </row>
    <row r="276" spans="1:10" hidden="1" x14ac:dyDescent="0.2">
      <c r="A276" s="18" t="str">
        <f t="shared" si="14"/>
        <v/>
      </c>
      <c r="F276" s="20" t="str">
        <f t="shared" si="15"/>
        <v/>
      </c>
      <c r="G276" s="18" t="str">
        <f t="shared" si="17"/>
        <v/>
      </c>
      <c r="I276" s="18" t="str">
        <f>IF($B276="","",H276-IF(Ventas!D276="",0,Ventas!D276))</f>
        <v/>
      </c>
      <c r="J276" t="str">
        <f t="shared" si="16"/>
        <v/>
      </c>
    </row>
    <row r="277" spans="1:10" hidden="1" x14ac:dyDescent="0.2">
      <c r="A277" s="18" t="str">
        <f t="shared" si="14"/>
        <v/>
      </c>
      <c r="F277" s="20" t="str">
        <f t="shared" si="15"/>
        <v/>
      </c>
      <c r="G277" s="18" t="str">
        <f t="shared" si="17"/>
        <v/>
      </c>
      <c r="I277" s="18" t="str">
        <f>IF($B277="","",H277-IF(Ventas!D277="",0,Ventas!D277))</f>
        <v/>
      </c>
      <c r="J277" t="str">
        <f t="shared" si="16"/>
        <v/>
      </c>
    </row>
    <row r="278" spans="1:10" hidden="1" x14ac:dyDescent="0.2">
      <c r="A278" s="18" t="str">
        <f t="shared" si="14"/>
        <v/>
      </c>
      <c r="F278" s="20" t="str">
        <f t="shared" si="15"/>
        <v/>
      </c>
      <c r="G278" s="18" t="str">
        <f t="shared" si="17"/>
        <v/>
      </c>
      <c r="I278" s="18" t="str">
        <f>IF($B278="","",H278-IF(Ventas!D278="",0,Ventas!D278))</f>
        <v/>
      </c>
      <c r="J278" t="str">
        <f t="shared" si="16"/>
        <v/>
      </c>
    </row>
    <row r="279" spans="1:10" hidden="1" x14ac:dyDescent="0.2">
      <c r="A279" s="18" t="str">
        <f t="shared" si="14"/>
        <v/>
      </c>
      <c r="F279" s="20" t="str">
        <f t="shared" si="15"/>
        <v/>
      </c>
      <c r="G279" s="18" t="str">
        <f t="shared" si="17"/>
        <v/>
      </c>
      <c r="I279" s="18" t="str">
        <f>IF($B279="","",H279-IF(Ventas!D279="",0,Ventas!D279))</f>
        <v/>
      </c>
      <c r="J279" t="str">
        <f t="shared" si="16"/>
        <v/>
      </c>
    </row>
    <row r="280" spans="1:10" hidden="1" x14ac:dyDescent="0.2">
      <c r="A280" s="18" t="str">
        <f t="shared" si="14"/>
        <v/>
      </c>
      <c r="F280" s="20" t="str">
        <f t="shared" si="15"/>
        <v/>
      </c>
      <c r="G280" s="18" t="str">
        <f t="shared" si="17"/>
        <v/>
      </c>
      <c r="I280" s="18" t="str">
        <f>IF($B280="","",H280-IF(Ventas!D280="",0,Ventas!D280))</f>
        <v/>
      </c>
      <c r="J280" t="str">
        <f t="shared" si="16"/>
        <v/>
      </c>
    </row>
    <row r="281" spans="1:10" hidden="1" x14ac:dyDescent="0.2">
      <c r="A281" s="18" t="str">
        <f t="shared" si="14"/>
        <v/>
      </c>
      <c r="F281" s="20" t="str">
        <f t="shared" si="15"/>
        <v/>
      </c>
      <c r="G281" s="18" t="str">
        <f t="shared" si="17"/>
        <v/>
      </c>
      <c r="I281" s="18" t="str">
        <f>IF($B281="","",H281-IF(Ventas!D281="",0,Ventas!D281))</f>
        <v/>
      </c>
      <c r="J281" t="str">
        <f t="shared" si="16"/>
        <v/>
      </c>
    </row>
    <row r="282" spans="1:10" hidden="1" x14ac:dyDescent="0.2">
      <c r="A282" s="18" t="str">
        <f t="shared" si="14"/>
        <v/>
      </c>
      <c r="F282" s="20" t="str">
        <f t="shared" si="15"/>
        <v/>
      </c>
      <c r="G282" s="18" t="str">
        <f t="shared" si="17"/>
        <v/>
      </c>
      <c r="I282" s="18" t="str">
        <f>IF($B282="","",H282-IF(Ventas!D282="",0,Ventas!D282))</f>
        <v/>
      </c>
      <c r="J282" t="str">
        <f t="shared" si="16"/>
        <v/>
      </c>
    </row>
    <row r="283" spans="1:10" hidden="1" x14ac:dyDescent="0.2">
      <c r="A283" s="18" t="str">
        <f t="shared" si="14"/>
        <v/>
      </c>
      <c r="F283" s="20" t="str">
        <f t="shared" si="15"/>
        <v/>
      </c>
      <c r="G283" s="18" t="str">
        <f t="shared" si="17"/>
        <v/>
      </c>
      <c r="I283" s="18" t="str">
        <f>IF($B283="","",H283-IF(Ventas!D283="",0,Ventas!D283))</f>
        <v/>
      </c>
      <c r="J283" t="str">
        <f t="shared" si="16"/>
        <v/>
      </c>
    </row>
    <row r="284" spans="1:10" hidden="1" x14ac:dyDescent="0.2">
      <c r="A284" s="18" t="str">
        <f t="shared" si="14"/>
        <v/>
      </c>
      <c r="F284" s="20" t="str">
        <f t="shared" si="15"/>
        <v/>
      </c>
      <c r="G284" s="18" t="str">
        <f t="shared" si="17"/>
        <v/>
      </c>
      <c r="I284" s="18" t="str">
        <f>IF($B284="","",H284-IF(Ventas!D284="",0,Ventas!D284))</f>
        <v/>
      </c>
      <c r="J284" t="str">
        <f t="shared" si="16"/>
        <v/>
      </c>
    </row>
    <row r="285" spans="1:10" hidden="1" x14ac:dyDescent="0.2">
      <c r="A285" s="18" t="str">
        <f t="shared" si="14"/>
        <v/>
      </c>
      <c r="F285" s="20" t="str">
        <f t="shared" si="15"/>
        <v/>
      </c>
      <c r="G285" s="18" t="str">
        <f t="shared" si="17"/>
        <v/>
      </c>
      <c r="I285" s="18" t="str">
        <f>IF($B285="","",H285-IF(Ventas!D285="",0,Ventas!D285))</f>
        <v/>
      </c>
      <c r="J285" t="str">
        <f t="shared" si="16"/>
        <v/>
      </c>
    </row>
    <row r="286" spans="1:10" hidden="1" x14ac:dyDescent="0.2">
      <c r="A286" s="18" t="str">
        <f t="shared" si="14"/>
        <v/>
      </c>
      <c r="F286" s="20" t="str">
        <f t="shared" si="15"/>
        <v/>
      </c>
      <c r="G286" s="18" t="str">
        <f t="shared" si="17"/>
        <v/>
      </c>
      <c r="I286" s="18" t="str">
        <f>IF($B286="","",H286-IF(Ventas!D286="",0,Ventas!D286))</f>
        <v/>
      </c>
      <c r="J286" t="str">
        <f t="shared" si="16"/>
        <v/>
      </c>
    </row>
    <row r="287" spans="1:10" hidden="1" x14ac:dyDescent="0.2">
      <c r="A287" s="18" t="str">
        <f t="shared" si="14"/>
        <v/>
      </c>
      <c r="F287" s="20" t="str">
        <f t="shared" si="15"/>
        <v/>
      </c>
      <c r="G287" s="18" t="str">
        <f t="shared" si="17"/>
        <v/>
      </c>
      <c r="I287" s="18" t="str">
        <f>IF($B287="","",H287-IF(Ventas!D287="",0,Ventas!D287))</f>
        <v/>
      </c>
      <c r="J287" t="str">
        <f t="shared" si="16"/>
        <v/>
      </c>
    </row>
    <row r="288" spans="1:10" hidden="1" x14ac:dyDescent="0.2">
      <c r="A288" s="18" t="str">
        <f t="shared" si="14"/>
        <v/>
      </c>
      <c r="F288" s="20" t="str">
        <f t="shared" si="15"/>
        <v/>
      </c>
      <c r="G288" s="18" t="str">
        <f t="shared" si="17"/>
        <v/>
      </c>
      <c r="I288" s="18" t="str">
        <f>IF($B288="","",H288-IF(Ventas!D288="",0,Ventas!D288))</f>
        <v/>
      </c>
      <c r="J288" t="str">
        <f t="shared" si="16"/>
        <v/>
      </c>
    </row>
    <row r="289" spans="1:10" hidden="1" x14ac:dyDescent="0.2">
      <c r="A289" s="18" t="str">
        <f t="shared" si="14"/>
        <v/>
      </c>
      <c r="F289" s="20" t="str">
        <f t="shared" si="15"/>
        <v/>
      </c>
      <c r="G289" s="18" t="str">
        <f t="shared" si="17"/>
        <v/>
      </c>
      <c r="I289" s="18" t="str">
        <f>IF($B289="","",H289-IF(Ventas!D289="",0,Ventas!D289))</f>
        <v/>
      </c>
      <c r="J289" t="str">
        <f t="shared" si="16"/>
        <v/>
      </c>
    </row>
    <row r="290" spans="1:10" hidden="1" x14ac:dyDescent="0.2">
      <c r="A290" s="18" t="str">
        <f t="shared" si="14"/>
        <v/>
      </c>
      <c r="F290" s="20" t="str">
        <f t="shared" si="15"/>
        <v/>
      </c>
      <c r="G290" s="18" t="str">
        <f t="shared" si="17"/>
        <v/>
      </c>
      <c r="I290" s="18" t="str">
        <f>IF($B290="","",H290-IF(Ventas!D290="",0,Ventas!D290))</f>
        <v/>
      </c>
      <c r="J290" t="str">
        <f t="shared" si="16"/>
        <v/>
      </c>
    </row>
    <row r="291" spans="1:10" hidden="1" x14ac:dyDescent="0.2">
      <c r="A291" s="18" t="str">
        <f t="shared" si="14"/>
        <v/>
      </c>
      <c r="F291" s="20" t="str">
        <f t="shared" si="15"/>
        <v/>
      </c>
      <c r="G291" s="18" t="str">
        <f t="shared" si="17"/>
        <v/>
      </c>
      <c r="I291" s="18" t="str">
        <f>IF($B291="","",H291-IF(Ventas!D291="",0,Ventas!D291))</f>
        <v/>
      </c>
      <c r="J291" t="str">
        <f t="shared" si="16"/>
        <v/>
      </c>
    </row>
    <row r="292" spans="1:10" hidden="1" x14ac:dyDescent="0.2">
      <c r="A292" s="18" t="str">
        <f t="shared" si="14"/>
        <v/>
      </c>
      <c r="F292" s="20" t="str">
        <f t="shared" si="15"/>
        <v/>
      </c>
      <c r="G292" s="18" t="str">
        <f t="shared" si="17"/>
        <v/>
      </c>
      <c r="I292" s="18" t="str">
        <f>IF($B292="","",H292-IF(Ventas!D292="",0,Ventas!D292))</f>
        <v/>
      </c>
      <c r="J292" t="str">
        <f t="shared" si="16"/>
        <v/>
      </c>
    </row>
    <row r="293" spans="1:10" hidden="1" x14ac:dyDescent="0.2">
      <c r="A293" s="18" t="str">
        <f t="shared" si="14"/>
        <v/>
      </c>
      <c r="F293" s="20" t="str">
        <f t="shared" si="15"/>
        <v/>
      </c>
      <c r="G293" s="18" t="str">
        <f t="shared" si="17"/>
        <v/>
      </c>
      <c r="I293" s="18" t="str">
        <f>IF($B293="","",H293-IF(Ventas!D293="",0,Ventas!D293))</f>
        <v/>
      </c>
      <c r="J293" t="str">
        <f t="shared" si="16"/>
        <v/>
      </c>
    </row>
    <row r="294" spans="1:10" hidden="1" x14ac:dyDescent="0.2">
      <c r="A294" s="18" t="str">
        <f t="shared" si="14"/>
        <v/>
      </c>
      <c r="F294" s="20" t="str">
        <f t="shared" si="15"/>
        <v/>
      </c>
      <c r="G294" s="18" t="str">
        <f t="shared" si="17"/>
        <v/>
      </c>
      <c r="I294" s="18" t="str">
        <f>IF($B294="","",H294-IF(Ventas!D294="",0,Ventas!D294))</f>
        <v/>
      </c>
      <c r="J294" t="str">
        <f t="shared" si="16"/>
        <v/>
      </c>
    </row>
    <row r="295" spans="1:10" hidden="1" x14ac:dyDescent="0.2">
      <c r="A295" s="18" t="str">
        <f t="shared" si="14"/>
        <v/>
      </c>
      <c r="F295" s="20" t="str">
        <f t="shared" si="15"/>
        <v/>
      </c>
      <c r="G295" s="18" t="str">
        <f t="shared" si="17"/>
        <v/>
      </c>
      <c r="I295" s="18" t="str">
        <f>IF($B295="","",H295-IF(Ventas!D295="",0,Ventas!D295))</f>
        <v/>
      </c>
      <c r="J295" t="str">
        <f t="shared" si="16"/>
        <v/>
      </c>
    </row>
    <row r="296" spans="1:10" hidden="1" x14ac:dyDescent="0.2">
      <c r="A296" s="18" t="str">
        <f t="shared" si="14"/>
        <v/>
      </c>
      <c r="F296" s="20" t="str">
        <f t="shared" si="15"/>
        <v/>
      </c>
      <c r="G296" s="18" t="str">
        <f t="shared" si="17"/>
        <v/>
      </c>
      <c r="I296" s="18" t="str">
        <f>IF($B296="","",H296-IF(Ventas!D296="",0,Ventas!D296))</f>
        <v/>
      </c>
      <c r="J296" t="str">
        <f t="shared" si="16"/>
        <v/>
      </c>
    </row>
    <row r="297" spans="1:10" hidden="1" x14ac:dyDescent="0.2">
      <c r="A297" s="18" t="str">
        <f t="shared" si="14"/>
        <v/>
      </c>
      <c r="F297" s="20" t="str">
        <f t="shared" si="15"/>
        <v/>
      </c>
      <c r="G297" s="18" t="str">
        <f t="shared" si="17"/>
        <v/>
      </c>
      <c r="I297" s="18" t="str">
        <f>IF($B297="","",H297-IF(Ventas!D297="",0,Ventas!D297))</f>
        <v/>
      </c>
      <c r="J297" t="str">
        <f t="shared" si="16"/>
        <v/>
      </c>
    </row>
    <row r="298" spans="1:10" hidden="1" x14ac:dyDescent="0.2">
      <c r="A298" s="18" t="str">
        <f t="shared" si="14"/>
        <v/>
      </c>
      <c r="F298" s="20" t="str">
        <f t="shared" si="15"/>
        <v/>
      </c>
      <c r="G298" s="18" t="str">
        <f t="shared" si="17"/>
        <v/>
      </c>
      <c r="I298" s="18" t="str">
        <f>IF($B298="","",H298-IF(Ventas!D298="",0,Ventas!D298))</f>
        <v/>
      </c>
      <c r="J298" t="str">
        <f t="shared" si="16"/>
        <v/>
      </c>
    </row>
    <row r="299" spans="1:10" hidden="1" x14ac:dyDescent="0.2">
      <c r="A299" s="18" t="str">
        <f t="shared" si="14"/>
        <v/>
      </c>
      <c r="F299" s="20" t="str">
        <f t="shared" si="15"/>
        <v/>
      </c>
      <c r="G299" s="18" t="str">
        <f t="shared" si="17"/>
        <v/>
      </c>
      <c r="I299" s="18" t="str">
        <f>IF($B299="","",H299-IF(Ventas!D299="",0,Ventas!D299))</f>
        <v/>
      </c>
      <c r="J299" t="str">
        <f t="shared" si="16"/>
        <v/>
      </c>
    </row>
    <row r="300" spans="1:10" hidden="1" x14ac:dyDescent="0.2">
      <c r="A300" s="18" t="str">
        <f t="shared" si="14"/>
        <v/>
      </c>
      <c r="F300" s="20" t="str">
        <f t="shared" si="15"/>
        <v/>
      </c>
      <c r="G300" s="18" t="str">
        <f t="shared" si="17"/>
        <v/>
      </c>
      <c r="I300" s="18" t="str">
        <f>IF($B300="","",H300-IF(Ventas!D300="",0,Ventas!D300))</f>
        <v/>
      </c>
      <c r="J300" t="str">
        <f t="shared" si="16"/>
        <v/>
      </c>
    </row>
    <row r="301" spans="1:10" hidden="1" x14ac:dyDescent="0.2">
      <c r="A301" s="18" t="str">
        <f t="shared" si="14"/>
        <v/>
      </c>
      <c r="F301" s="20" t="str">
        <f t="shared" si="15"/>
        <v/>
      </c>
      <c r="G301" s="18" t="str">
        <f t="shared" si="17"/>
        <v/>
      </c>
      <c r="I301" s="18" t="str">
        <f>IF($B301="","",H301-IF(Ventas!D301="",0,Ventas!D301))</f>
        <v/>
      </c>
      <c r="J301" t="str">
        <f t="shared" si="16"/>
        <v/>
      </c>
    </row>
    <row r="302" spans="1:10" hidden="1" x14ac:dyDescent="0.2">
      <c r="A302" s="18" t="str">
        <f t="shared" si="14"/>
        <v/>
      </c>
      <c r="F302" s="20" t="str">
        <f t="shared" si="15"/>
        <v/>
      </c>
      <c r="G302" s="18" t="str">
        <f t="shared" si="17"/>
        <v/>
      </c>
      <c r="I302" s="18" t="str">
        <f>IF($B302="","",H302-IF(Ventas!D302="",0,Ventas!D302))</f>
        <v/>
      </c>
      <c r="J302" t="str">
        <f t="shared" si="16"/>
        <v/>
      </c>
    </row>
    <row r="303" spans="1:10" hidden="1" x14ac:dyDescent="0.2">
      <c r="A303" s="18" t="str">
        <f t="shared" si="14"/>
        <v/>
      </c>
      <c r="F303" s="20" t="str">
        <f t="shared" si="15"/>
        <v/>
      </c>
      <c r="G303" s="18" t="str">
        <f t="shared" si="17"/>
        <v/>
      </c>
      <c r="I303" s="18" t="str">
        <f>IF($B303="","",H303-IF(Ventas!D303="",0,Ventas!D303))</f>
        <v/>
      </c>
      <c r="J303" t="str">
        <f t="shared" si="16"/>
        <v/>
      </c>
    </row>
    <row r="304" spans="1:10" hidden="1" x14ac:dyDescent="0.2">
      <c r="A304" s="18" t="str">
        <f t="shared" si="14"/>
        <v/>
      </c>
      <c r="F304" s="20" t="str">
        <f t="shared" si="15"/>
        <v/>
      </c>
      <c r="G304" s="18" t="str">
        <f t="shared" si="17"/>
        <v/>
      </c>
      <c r="I304" s="18" t="str">
        <f>IF($B304="","",H304-IF(Ventas!D304="",0,Ventas!D304))</f>
        <v/>
      </c>
      <c r="J304" t="str">
        <f t="shared" si="16"/>
        <v/>
      </c>
    </row>
    <row r="305" spans="1:10" hidden="1" x14ac:dyDescent="0.2">
      <c r="A305" s="18" t="str">
        <f t="shared" si="14"/>
        <v/>
      </c>
      <c r="F305" s="20" t="str">
        <f t="shared" si="15"/>
        <v/>
      </c>
      <c r="G305" s="18" t="str">
        <f t="shared" si="17"/>
        <v/>
      </c>
      <c r="I305" s="18" t="str">
        <f>IF($B305="","",H305-IF(Ventas!D305="",0,Ventas!D305))</f>
        <v/>
      </c>
      <c r="J305" t="str">
        <f t="shared" si="16"/>
        <v/>
      </c>
    </row>
    <row r="306" spans="1:10" hidden="1" x14ac:dyDescent="0.2">
      <c r="A306" s="18" t="str">
        <f t="shared" si="14"/>
        <v/>
      </c>
      <c r="F306" s="20" t="str">
        <f t="shared" si="15"/>
        <v/>
      </c>
      <c r="G306" s="18" t="str">
        <f t="shared" si="17"/>
        <v/>
      </c>
      <c r="I306" s="18" t="str">
        <f>IF($B306="","",H306-IF(Ventas!D306="",0,Ventas!D306))</f>
        <v/>
      </c>
      <c r="J306" t="str">
        <f t="shared" si="16"/>
        <v/>
      </c>
    </row>
    <row r="307" spans="1:10" hidden="1" x14ac:dyDescent="0.2">
      <c r="A307" s="18" t="str">
        <f t="shared" si="14"/>
        <v/>
      </c>
      <c r="F307" s="20" t="str">
        <f t="shared" si="15"/>
        <v/>
      </c>
      <c r="G307" s="18" t="str">
        <f t="shared" si="17"/>
        <v/>
      </c>
      <c r="I307" s="18" t="str">
        <f>IF($B307="","",H307-IF(Ventas!D307="",0,Ventas!D307))</f>
        <v/>
      </c>
      <c r="J307" t="str">
        <f t="shared" si="16"/>
        <v/>
      </c>
    </row>
    <row r="308" spans="1:10" hidden="1" x14ac:dyDescent="0.2">
      <c r="A308" s="18" t="str">
        <f t="shared" si="14"/>
        <v/>
      </c>
      <c r="F308" s="20" t="str">
        <f t="shared" si="15"/>
        <v/>
      </c>
      <c r="G308" s="18" t="str">
        <f t="shared" si="17"/>
        <v/>
      </c>
      <c r="I308" s="18" t="str">
        <f>IF($B308="","",H308-IF(Ventas!D308="",0,Ventas!D308))</f>
        <v/>
      </c>
      <c r="J308" t="str">
        <f t="shared" si="16"/>
        <v/>
      </c>
    </row>
    <row r="309" spans="1:10" hidden="1" x14ac:dyDescent="0.2">
      <c r="A309" s="18" t="str">
        <f t="shared" si="14"/>
        <v/>
      </c>
      <c r="F309" s="20" t="str">
        <f t="shared" si="15"/>
        <v/>
      </c>
      <c r="G309" s="18" t="str">
        <f t="shared" si="17"/>
        <v/>
      </c>
      <c r="I309" s="18" t="str">
        <f>IF($B309="","",H309-IF(Ventas!D309="",0,Ventas!D309))</f>
        <v/>
      </c>
      <c r="J309" t="str">
        <f t="shared" si="16"/>
        <v/>
      </c>
    </row>
    <row r="310" spans="1:10" hidden="1" x14ac:dyDescent="0.2">
      <c r="A310" s="18" t="str">
        <f t="shared" si="14"/>
        <v/>
      </c>
      <c r="F310" s="20" t="str">
        <f t="shared" si="15"/>
        <v/>
      </c>
      <c r="G310" s="18" t="str">
        <f t="shared" si="17"/>
        <v/>
      </c>
      <c r="I310" s="18" t="str">
        <f>IF($B310="","",H310-IF(Ventas!D310="",0,Ventas!D310))</f>
        <v/>
      </c>
      <c r="J310" t="str">
        <f t="shared" si="16"/>
        <v/>
      </c>
    </row>
    <row r="311" spans="1:10" hidden="1" x14ac:dyDescent="0.2">
      <c r="A311" s="18" t="str">
        <f t="shared" si="14"/>
        <v/>
      </c>
      <c r="F311" s="20" t="str">
        <f t="shared" si="15"/>
        <v/>
      </c>
      <c r="G311" s="18" t="str">
        <f t="shared" si="17"/>
        <v/>
      </c>
      <c r="I311" s="18" t="str">
        <f>IF($B311="","",H311-IF(Ventas!D311="",0,Ventas!D311))</f>
        <v/>
      </c>
      <c r="J311" t="str">
        <f t="shared" si="16"/>
        <v/>
      </c>
    </row>
    <row r="312" spans="1:10" hidden="1" x14ac:dyDescent="0.2">
      <c r="A312" s="18" t="str">
        <f t="shared" si="14"/>
        <v/>
      </c>
      <c r="F312" s="20" t="str">
        <f t="shared" si="15"/>
        <v/>
      </c>
      <c r="G312" s="18" t="str">
        <f t="shared" si="17"/>
        <v/>
      </c>
      <c r="I312" s="18" t="str">
        <f>IF($B312="","",H312-IF(Ventas!D312="",0,Ventas!D312))</f>
        <v/>
      </c>
      <c r="J312" t="str">
        <f t="shared" si="16"/>
        <v/>
      </c>
    </row>
    <row r="313" spans="1:10" hidden="1" x14ac:dyDescent="0.2">
      <c r="A313" s="18" t="str">
        <f t="shared" si="14"/>
        <v/>
      </c>
      <c r="F313" s="20" t="str">
        <f t="shared" si="15"/>
        <v/>
      </c>
      <c r="G313" s="18" t="str">
        <f t="shared" si="17"/>
        <v/>
      </c>
      <c r="I313" s="18" t="str">
        <f>IF($B313="","",H313-IF(Ventas!D313="",0,Ventas!D313))</f>
        <v/>
      </c>
      <c r="J313" t="str">
        <f t="shared" si="16"/>
        <v/>
      </c>
    </row>
    <row r="314" spans="1:10" hidden="1" x14ac:dyDescent="0.2">
      <c r="A314" s="18" t="str">
        <f t="shared" si="14"/>
        <v/>
      </c>
      <c r="F314" s="20" t="str">
        <f t="shared" si="15"/>
        <v/>
      </c>
      <c r="G314" s="18" t="str">
        <f t="shared" si="17"/>
        <v/>
      </c>
      <c r="I314" s="18" t="str">
        <f>IF($B314="","",H314-IF(Ventas!D314="",0,Ventas!D314))</f>
        <v/>
      </c>
      <c r="J314" t="str">
        <f t="shared" si="16"/>
        <v/>
      </c>
    </row>
    <row r="315" spans="1:10" hidden="1" x14ac:dyDescent="0.2">
      <c r="A315" s="18" t="str">
        <f t="shared" si="14"/>
        <v/>
      </c>
      <c r="F315" s="20" t="str">
        <f t="shared" si="15"/>
        <v/>
      </c>
      <c r="G315" s="18" t="str">
        <f t="shared" si="17"/>
        <v/>
      </c>
      <c r="I315" s="18" t="str">
        <f>IF($B315="","",H315-IF(Ventas!D315="",0,Ventas!D315))</f>
        <v/>
      </c>
      <c r="J315" t="str">
        <f t="shared" si="16"/>
        <v/>
      </c>
    </row>
    <row r="316" spans="1:10" hidden="1" x14ac:dyDescent="0.2">
      <c r="A316" s="18" t="str">
        <f t="shared" si="14"/>
        <v/>
      </c>
      <c r="F316" s="20" t="str">
        <f t="shared" si="15"/>
        <v/>
      </c>
      <c r="G316" s="18" t="str">
        <f t="shared" si="17"/>
        <v/>
      </c>
      <c r="I316" s="18" t="str">
        <f>IF($B316="","",H316-IF(Ventas!D316="",0,Ventas!D316))</f>
        <v/>
      </c>
      <c r="J316" t="str">
        <f t="shared" si="16"/>
        <v/>
      </c>
    </row>
    <row r="317" spans="1:10" hidden="1" x14ac:dyDescent="0.2">
      <c r="A317" s="18" t="str">
        <f t="shared" si="14"/>
        <v/>
      </c>
      <c r="F317" s="20" t="str">
        <f t="shared" si="15"/>
        <v/>
      </c>
      <c r="G317" s="18" t="str">
        <f t="shared" si="17"/>
        <v/>
      </c>
      <c r="I317" s="18" t="str">
        <f>IF($B317="","",H317-IF(Ventas!D317="",0,Ventas!D317))</f>
        <v/>
      </c>
      <c r="J317" t="str">
        <f t="shared" si="16"/>
        <v/>
      </c>
    </row>
    <row r="318" spans="1:10" hidden="1" x14ac:dyDescent="0.2">
      <c r="A318" s="18" t="str">
        <f t="shared" si="14"/>
        <v/>
      </c>
      <c r="F318" s="20" t="str">
        <f t="shared" si="15"/>
        <v/>
      </c>
      <c r="G318" s="18" t="str">
        <f t="shared" si="17"/>
        <v/>
      </c>
      <c r="I318" s="18" t="str">
        <f>IF($B318="","",H318-IF(Ventas!D318="",0,Ventas!D318))</f>
        <v/>
      </c>
      <c r="J318" t="str">
        <f t="shared" si="16"/>
        <v/>
      </c>
    </row>
    <row r="319" spans="1:10" hidden="1" x14ac:dyDescent="0.2">
      <c r="A319" s="18" t="str">
        <f t="shared" si="14"/>
        <v/>
      </c>
      <c r="F319" s="20" t="str">
        <f t="shared" si="15"/>
        <v/>
      </c>
      <c r="G319" s="18" t="str">
        <f t="shared" si="17"/>
        <v/>
      </c>
      <c r="I319" s="18" t="str">
        <f>IF($B319="","",H319-IF(Ventas!D319="",0,Ventas!D319))</f>
        <v/>
      </c>
      <c r="J319" t="str">
        <f t="shared" si="16"/>
        <v/>
      </c>
    </row>
    <row r="320" spans="1:10" hidden="1" x14ac:dyDescent="0.2">
      <c r="A320" s="18" t="str">
        <f t="shared" si="14"/>
        <v/>
      </c>
      <c r="F320" s="20" t="str">
        <f t="shared" si="15"/>
        <v/>
      </c>
      <c r="G320" s="18" t="str">
        <f t="shared" si="17"/>
        <v/>
      </c>
      <c r="I320" s="18" t="str">
        <f>IF($B320="","",H320-IF(Ventas!D320="",0,Ventas!D320))</f>
        <v/>
      </c>
      <c r="J320" t="str">
        <f t="shared" si="16"/>
        <v/>
      </c>
    </row>
    <row r="321" spans="1:10" hidden="1" x14ac:dyDescent="0.2">
      <c r="A321" s="18" t="str">
        <f t="shared" si="14"/>
        <v/>
      </c>
      <c r="F321" s="20" t="str">
        <f t="shared" si="15"/>
        <v/>
      </c>
      <c r="G321" s="18" t="str">
        <f t="shared" si="17"/>
        <v/>
      </c>
      <c r="I321" s="18" t="str">
        <f>IF($B321="","",H321-IF(Ventas!D321="",0,Ventas!D321))</f>
        <v/>
      </c>
      <c r="J321" t="str">
        <f t="shared" si="16"/>
        <v/>
      </c>
    </row>
    <row r="322" spans="1:10" hidden="1" x14ac:dyDescent="0.2">
      <c r="A322" s="18" t="str">
        <f t="shared" si="14"/>
        <v/>
      </c>
      <c r="F322" s="20" t="str">
        <f t="shared" si="15"/>
        <v/>
      </c>
      <c r="G322" s="18" t="str">
        <f t="shared" si="17"/>
        <v/>
      </c>
      <c r="I322" s="18" t="str">
        <f>IF($B322="","",H322-IF(Ventas!D322="",0,Ventas!D322))</f>
        <v/>
      </c>
      <c r="J322" t="str">
        <f t="shared" si="16"/>
        <v/>
      </c>
    </row>
    <row r="323" spans="1:10" hidden="1" x14ac:dyDescent="0.2">
      <c r="A323" s="18" t="str">
        <f t="shared" ref="A323:A386" si="18">IF(B323="","","P"&amp;TEXT(ROW()-1,"000"))</f>
        <v/>
      </c>
      <c r="F323" s="20" t="str">
        <f t="shared" ref="F323:F386" si="19">IF(OR(E323="",D323="",D323=0),"",E323/D323)</f>
        <v/>
      </c>
      <c r="G323" s="18" t="str">
        <f t="shared" si="17"/>
        <v/>
      </c>
      <c r="I323" s="18" t="str">
        <f>IF($B323="","",H323-IF(Ventas!D323="",0,Ventas!D323))</f>
        <v/>
      </c>
      <c r="J323" t="str">
        <f t="shared" ref="J323:J386" si="20">IF($B323="","",IF(N(I323)=0,"Agotado","Activo"))</f>
        <v/>
      </c>
    </row>
    <row r="324" spans="1:10" hidden="1" x14ac:dyDescent="0.2">
      <c r="A324" s="18" t="str">
        <f t="shared" si="18"/>
        <v/>
      </c>
      <c r="F324" s="20" t="str">
        <f t="shared" si="19"/>
        <v/>
      </c>
      <c r="G324" s="18" t="str">
        <f t="shared" si="17"/>
        <v/>
      </c>
      <c r="I324" s="18" t="str">
        <f>IF($B324="","",H324-IF(Ventas!D324="",0,Ventas!D324))</f>
        <v/>
      </c>
      <c r="J324" t="str">
        <f t="shared" si="20"/>
        <v/>
      </c>
    </row>
    <row r="325" spans="1:10" hidden="1" x14ac:dyDescent="0.2">
      <c r="A325" s="18" t="str">
        <f t="shared" si="18"/>
        <v/>
      </c>
      <c r="F325" s="20" t="str">
        <f t="shared" si="19"/>
        <v/>
      </c>
      <c r="G325" s="18" t="str">
        <f t="shared" si="17"/>
        <v/>
      </c>
      <c r="I325" s="18" t="str">
        <f>IF($B325="","",H325-IF(Ventas!D325="",0,Ventas!D325))</f>
        <v/>
      </c>
      <c r="J325" t="str">
        <f t="shared" si="20"/>
        <v/>
      </c>
    </row>
    <row r="326" spans="1:10" hidden="1" x14ac:dyDescent="0.2">
      <c r="A326" s="18" t="str">
        <f t="shared" si="18"/>
        <v/>
      </c>
      <c r="F326" s="20" t="str">
        <f t="shared" si="19"/>
        <v/>
      </c>
      <c r="G326" s="18" t="str">
        <f t="shared" ref="G326:G389" si="21">IF(F326="","",ROUND(F326*1.33,0))</f>
        <v/>
      </c>
      <c r="I326" s="18" t="str">
        <f>IF($B326="","",H326-IF(Ventas!D326="",0,Ventas!D326))</f>
        <v/>
      </c>
      <c r="J326" t="str">
        <f t="shared" si="20"/>
        <v/>
      </c>
    </row>
    <row r="327" spans="1:10" hidden="1" x14ac:dyDescent="0.2">
      <c r="A327" s="18" t="str">
        <f t="shared" si="18"/>
        <v/>
      </c>
      <c r="F327" s="20" t="str">
        <f t="shared" si="19"/>
        <v/>
      </c>
      <c r="G327" s="18" t="str">
        <f t="shared" si="21"/>
        <v/>
      </c>
      <c r="I327" s="18" t="str">
        <f>IF($B327="","",H327-IF(Ventas!D327="",0,Ventas!D327))</f>
        <v/>
      </c>
      <c r="J327" t="str">
        <f t="shared" si="20"/>
        <v/>
      </c>
    </row>
    <row r="328" spans="1:10" hidden="1" x14ac:dyDescent="0.2">
      <c r="A328" s="18" t="str">
        <f t="shared" si="18"/>
        <v/>
      </c>
      <c r="F328" s="20" t="str">
        <f t="shared" si="19"/>
        <v/>
      </c>
      <c r="G328" s="18" t="str">
        <f t="shared" si="21"/>
        <v/>
      </c>
      <c r="I328" s="18" t="str">
        <f>IF($B328="","",H328-IF(Ventas!D328="",0,Ventas!D328))</f>
        <v/>
      </c>
      <c r="J328" t="str">
        <f t="shared" si="20"/>
        <v/>
      </c>
    </row>
    <row r="329" spans="1:10" hidden="1" x14ac:dyDescent="0.2">
      <c r="A329" s="18" t="str">
        <f t="shared" si="18"/>
        <v/>
      </c>
      <c r="F329" s="20" t="str">
        <f t="shared" si="19"/>
        <v/>
      </c>
      <c r="G329" s="18" t="str">
        <f t="shared" si="21"/>
        <v/>
      </c>
      <c r="I329" s="18" t="str">
        <f>IF($B329="","",H329-IF(Ventas!D329="",0,Ventas!D329))</f>
        <v/>
      </c>
      <c r="J329" t="str">
        <f t="shared" si="20"/>
        <v/>
      </c>
    </row>
    <row r="330" spans="1:10" hidden="1" x14ac:dyDescent="0.2">
      <c r="A330" s="18" t="str">
        <f t="shared" si="18"/>
        <v/>
      </c>
      <c r="F330" s="20" t="str">
        <f t="shared" si="19"/>
        <v/>
      </c>
      <c r="G330" s="18" t="str">
        <f t="shared" si="21"/>
        <v/>
      </c>
      <c r="I330" s="18" t="str">
        <f>IF($B330="","",H330-IF(Ventas!D330="",0,Ventas!D330))</f>
        <v/>
      </c>
      <c r="J330" t="str">
        <f t="shared" si="20"/>
        <v/>
      </c>
    </row>
    <row r="331" spans="1:10" hidden="1" x14ac:dyDescent="0.2">
      <c r="A331" s="18" t="str">
        <f t="shared" si="18"/>
        <v/>
      </c>
      <c r="F331" s="20" t="str">
        <f t="shared" si="19"/>
        <v/>
      </c>
      <c r="G331" s="18" t="str">
        <f t="shared" si="21"/>
        <v/>
      </c>
      <c r="I331" s="18" t="str">
        <f>IF($B331="","",H331-IF(Ventas!D331="",0,Ventas!D331))</f>
        <v/>
      </c>
      <c r="J331" t="str">
        <f t="shared" si="20"/>
        <v/>
      </c>
    </row>
    <row r="332" spans="1:10" hidden="1" x14ac:dyDescent="0.2">
      <c r="A332" s="18" t="str">
        <f t="shared" si="18"/>
        <v/>
      </c>
      <c r="F332" s="20" t="str">
        <f t="shared" si="19"/>
        <v/>
      </c>
      <c r="G332" s="18" t="str">
        <f t="shared" si="21"/>
        <v/>
      </c>
      <c r="I332" s="18" t="str">
        <f>IF($B332="","",H332-IF(Ventas!D332="",0,Ventas!D332))</f>
        <v/>
      </c>
      <c r="J332" t="str">
        <f t="shared" si="20"/>
        <v/>
      </c>
    </row>
    <row r="333" spans="1:10" hidden="1" x14ac:dyDescent="0.2">
      <c r="A333" s="18" t="str">
        <f t="shared" si="18"/>
        <v/>
      </c>
      <c r="F333" s="20" t="str">
        <f t="shared" si="19"/>
        <v/>
      </c>
      <c r="G333" s="18" t="str">
        <f t="shared" si="21"/>
        <v/>
      </c>
      <c r="I333" s="18" t="str">
        <f>IF($B333="","",H333-IF(Ventas!D333="",0,Ventas!D333))</f>
        <v/>
      </c>
      <c r="J333" t="str">
        <f t="shared" si="20"/>
        <v/>
      </c>
    </row>
    <row r="334" spans="1:10" hidden="1" x14ac:dyDescent="0.2">
      <c r="A334" s="18" t="str">
        <f t="shared" si="18"/>
        <v/>
      </c>
      <c r="F334" s="20" t="str">
        <f t="shared" si="19"/>
        <v/>
      </c>
      <c r="G334" s="18" t="str">
        <f t="shared" si="21"/>
        <v/>
      </c>
      <c r="I334" s="18" t="str">
        <f>IF($B334="","",H334-IF(Ventas!D334="",0,Ventas!D334))</f>
        <v/>
      </c>
      <c r="J334" t="str">
        <f t="shared" si="20"/>
        <v/>
      </c>
    </row>
    <row r="335" spans="1:10" hidden="1" x14ac:dyDescent="0.2">
      <c r="A335" s="18" t="str">
        <f t="shared" si="18"/>
        <v/>
      </c>
      <c r="F335" s="20" t="str">
        <f t="shared" si="19"/>
        <v/>
      </c>
      <c r="G335" s="18" t="str">
        <f t="shared" si="21"/>
        <v/>
      </c>
      <c r="I335" s="18" t="str">
        <f>IF($B335="","",H335-IF(Ventas!D335="",0,Ventas!D335))</f>
        <v/>
      </c>
      <c r="J335" t="str">
        <f t="shared" si="20"/>
        <v/>
      </c>
    </row>
    <row r="336" spans="1:10" hidden="1" x14ac:dyDescent="0.2">
      <c r="A336" s="18" t="str">
        <f t="shared" si="18"/>
        <v/>
      </c>
      <c r="F336" s="20" t="str">
        <f t="shared" si="19"/>
        <v/>
      </c>
      <c r="G336" s="18" t="str">
        <f t="shared" si="21"/>
        <v/>
      </c>
      <c r="I336" s="18" t="str">
        <f>IF($B336="","",H336-IF(Ventas!D336="",0,Ventas!D336))</f>
        <v/>
      </c>
      <c r="J336" t="str">
        <f t="shared" si="20"/>
        <v/>
      </c>
    </row>
    <row r="337" spans="1:10" hidden="1" x14ac:dyDescent="0.2">
      <c r="A337" s="18" t="str">
        <f t="shared" si="18"/>
        <v/>
      </c>
      <c r="F337" s="20" t="str">
        <f t="shared" si="19"/>
        <v/>
      </c>
      <c r="G337" s="18" t="str">
        <f t="shared" si="21"/>
        <v/>
      </c>
      <c r="I337" s="18" t="str">
        <f>IF($B337="","",H337-IF(Ventas!D337="",0,Ventas!D337))</f>
        <v/>
      </c>
      <c r="J337" t="str">
        <f t="shared" si="20"/>
        <v/>
      </c>
    </row>
    <row r="338" spans="1:10" hidden="1" x14ac:dyDescent="0.2">
      <c r="A338" s="18" t="str">
        <f t="shared" si="18"/>
        <v/>
      </c>
      <c r="F338" s="20" t="str">
        <f t="shared" si="19"/>
        <v/>
      </c>
      <c r="G338" s="18" t="str">
        <f t="shared" si="21"/>
        <v/>
      </c>
      <c r="I338" s="18" t="str">
        <f>IF($B338="","",H338-IF(Ventas!D338="",0,Ventas!D338))</f>
        <v/>
      </c>
      <c r="J338" t="str">
        <f t="shared" si="20"/>
        <v/>
      </c>
    </row>
    <row r="339" spans="1:10" hidden="1" x14ac:dyDescent="0.2">
      <c r="A339" s="18" t="str">
        <f t="shared" si="18"/>
        <v/>
      </c>
      <c r="F339" s="20" t="str">
        <f t="shared" si="19"/>
        <v/>
      </c>
      <c r="G339" s="18" t="str">
        <f t="shared" si="21"/>
        <v/>
      </c>
      <c r="I339" s="18" t="str">
        <f>IF($B339="","",H339-IF(Ventas!D339="",0,Ventas!D339))</f>
        <v/>
      </c>
      <c r="J339" t="str">
        <f t="shared" si="20"/>
        <v/>
      </c>
    </row>
    <row r="340" spans="1:10" hidden="1" x14ac:dyDescent="0.2">
      <c r="A340" s="18" t="str">
        <f t="shared" si="18"/>
        <v/>
      </c>
      <c r="F340" s="20" t="str">
        <f t="shared" si="19"/>
        <v/>
      </c>
      <c r="G340" s="18" t="str">
        <f t="shared" si="21"/>
        <v/>
      </c>
      <c r="I340" s="18" t="str">
        <f>IF($B340="","",H340-IF(Ventas!D340="",0,Ventas!D340))</f>
        <v/>
      </c>
      <c r="J340" t="str">
        <f t="shared" si="20"/>
        <v/>
      </c>
    </row>
    <row r="341" spans="1:10" hidden="1" x14ac:dyDescent="0.2">
      <c r="A341" s="18" t="str">
        <f t="shared" si="18"/>
        <v/>
      </c>
      <c r="F341" s="20" t="str">
        <f t="shared" si="19"/>
        <v/>
      </c>
      <c r="G341" s="18" t="str">
        <f t="shared" si="21"/>
        <v/>
      </c>
      <c r="I341" s="18" t="str">
        <f>IF($B341="","",H341-IF(Ventas!D341="",0,Ventas!D341))</f>
        <v/>
      </c>
      <c r="J341" t="str">
        <f t="shared" si="20"/>
        <v/>
      </c>
    </row>
    <row r="342" spans="1:10" hidden="1" x14ac:dyDescent="0.2">
      <c r="A342" s="18" t="str">
        <f t="shared" si="18"/>
        <v/>
      </c>
      <c r="F342" s="20" t="str">
        <f t="shared" si="19"/>
        <v/>
      </c>
      <c r="G342" s="18" t="str">
        <f t="shared" si="21"/>
        <v/>
      </c>
      <c r="I342" s="18" t="str">
        <f>IF($B342="","",H342-IF(Ventas!D342="",0,Ventas!D342))</f>
        <v/>
      </c>
      <c r="J342" t="str">
        <f t="shared" si="20"/>
        <v/>
      </c>
    </row>
    <row r="343" spans="1:10" hidden="1" x14ac:dyDescent="0.2">
      <c r="A343" s="18" t="str">
        <f t="shared" si="18"/>
        <v/>
      </c>
      <c r="F343" s="20" t="str">
        <f t="shared" si="19"/>
        <v/>
      </c>
      <c r="G343" s="18" t="str">
        <f t="shared" si="21"/>
        <v/>
      </c>
      <c r="I343" s="18" t="str">
        <f>IF($B343="","",H343-IF(Ventas!D343="",0,Ventas!D343))</f>
        <v/>
      </c>
      <c r="J343" t="str">
        <f t="shared" si="20"/>
        <v/>
      </c>
    </row>
    <row r="344" spans="1:10" hidden="1" x14ac:dyDescent="0.2">
      <c r="A344" s="18" t="str">
        <f t="shared" si="18"/>
        <v/>
      </c>
      <c r="F344" s="20" t="str">
        <f t="shared" si="19"/>
        <v/>
      </c>
      <c r="G344" s="18" t="str">
        <f t="shared" si="21"/>
        <v/>
      </c>
      <c r="I344" s="18" t="str">
        <f>IF($B344="","",H344-IF(Ventas!D344="",0,Ventas!D344))</f>
        <v/>
      </c>
      <c r="J344" t="str">
        <f t="shared" si="20"/>
        <v/>
      </c>
    </row>
    <row r="345" spans="1:10" hidden="1" x14ac:dyDescent="0.2">
      <c r="A345" s="18" t="str">
        <f t="shared" si="18"/>
        <v/>
      </c>
      <c r="F345" s="20" t="str">
        <f t="shared" si="19"/>
        <v/>
      </c>
      <c r="G345" s="18" t="str">
        <f t="shared" si="21"/>
        <v/>
      </c>
      <c r="I345" s="18" t="str">
        <f>IF($B345="","",H345-IF(Ventas!D345="",0,Ventas!D345))</f>
        <v/>
      </c>
      <c r="J345" t="str">
        <f t="shared" si="20"/>
        <v/>
      </c>
    </row>
    <row r="346" spans="1:10" hidden="1" x14ac:dyDescent="0.2">
      <c r="A346" s="18" t="str">
        <f t="shared" si="18"/>
        <v/>
      </c>
      <c r="F346" s="20" t="str">
        <f t="shared" si="19"/>
        <v/>
      </c>
      <c r="G346" s="18" t="str">
        <f t="shared" si="21"/>
        <v/>
      </c>
      <c r="I346" s="18" t="str">
        <f>IF($B346="","",H346-IF(Ventas!D346="",0,Ventas!D346))</f>
        <v/>
      </c>
      <c r="J346" t="str">
        <f t="shared" si="20"/>
        <v/>
      </c>
    </row>
    <row r="347" spans="1:10" hidden="1" x14ac:dyDescent="0.2">
      <c r="A347" s="18" t="str">
        <f t="shared" si="18"/>
        <v/>
      </c>
      <c r="F347" s="20" t="str">
        <f t="shared" si="19"/>
        <v/>
      </c>
      <c r="G347" s="18" t="str">
        <f t="shared" si="21"/>
        <v/>
      </c>
      <c r="I347" s="18" t="str">
        <f>IF($B347="","",H347-IF(Ventas!D347="",0,Ventas!D347))</f>
        <v/>
      </c>
      <c r="J347" t="str">
        <f t="shared" si="20"/>
        <v/>
      </c>
    </row>
    <row r="348" spans="1:10" hidden="1" x14ac:dyDescent="0.2">
      <c r="A348" s="18" t="str">
        <f t="shared" si="18"/>
        <v/>
      </c>
      <c r="F348" s="20" t="str">
        <f t="shared" si="19"/>
        <v/>
      </c>
      <c r="G348" s="18" t="str">
        <f t="shared" si="21"/>
        <v/>
      </c>
      <c r="I348" s="18" t="str">
        <f>IF($B348="","",H348-IF(Ventas!D348="",0,Ventas!D348))</f>
        <v/>
      </c>
      <c r="J348" t="str">
        <f t="shared" si="20"/>
        <v/>
      </c>
    </row>
    <row r="349" spans="1:10" hidden="1" x14ac:dyDescent="0.2">
      <c r="A349" s="18" t="str">
        <f t="shared" si="18"/>
        <v/>
      </c>
      <c r="F349" s="20" t="str">
        <f t="shared" si="19"/>
        <v/>
      </c>
      <c r="G349" s="18" t="str">
        <f t="shared" si="21"/>
        <v/>
      </c>
      <c r="I349" s="18" t="str">
        <f>IF($B349="","",H349-IF(Ventas!D349="",0,Ventas!D349))</f>
        <v/>
      </c>
      <c r="J349" t="str">
        <f t="shared" si="20"/>
        <v/>
      </c>
    </row>
    <row r="350" spans="1:10" hidden="1" x14ac:dyDescent="0.2">
      <c r="A350" s="18" t="str">
        <f t="shared" si="18"/>
        <v/>
      </c>
      <c r="F350" s="20" t="str">
        <f t="shared" si="19"/>
        <v/>
      </c>
      <c r="G350" s="18" t="str">
        <f t="shared" si="21"/>
        <v/>
      </c>
      <c r="I350" s="18" t="str">
        <f>IF($B350="","",H350-IF(Ventas!D350="",0,Ventas!D350))</f>
        <v/>
      </c>
      <c r="J350" t="str">
        <f t="shared" si="20"/>
        <v/>
      </c>
    </row>
    <row r="351" spans="1:10" hidden="1" x14ac:dyDescent="0.2">
      <c r="A351" s="18" t="str">
        <f t="shared" si="18"/>
        <v/>
      </c>
      <c r="F351" s="20" t="str">
        <f t="shared" si="19"/>
        <v/>
      </c>
      <c r="G351" s="18" t="str">
        <f t="shared" si="21"/>
        <v/>
      </c>
      <c r="I351" s="18" t="str">
        <f>IF($B351="","",H351-IF(Ventas!D351="",0,Ventas!D351))</f>
        <v/>
      </c>
      <c r="J351" t="str">
        <f t="shared" si="20"/>
        <v/>
      </c>
    </row>
    <row r="352" spans="1:10" hidden="1" x14ac:dyDescent="0.2">
      <c r="A352" s="18" t="str">
        <f t="shared" si="18"/>
        <v/>
      </c>
      <c r="F352" s="20" t="str">
        <f t="shared" si="19"/>
        <v/>
      </c>
      <c r="G352" s="18" t="str">
        <f t="shared" si="21"/>
        <v/>
      </c>
      <c r="I352" s="18" t="str">
        <f>IF($B352="","",H352-IF(Ventas!D352="",0,Ventas!D352))</f>
        <v/>
      </c>
      <c r="J352" t="str">
        <f t="shared" si="20"/>
        <v/>
      </c>
    </row>
    <row r="353" spans="1:10" hidden="1" x14ac:dyDescent="0.2">
      <c r="A353" s="18" t="str">
        <f t="shared" si="18"/>
        <v/>
      </c>
      <c r="F353" s="20" t="str">
        <f t="shared" si="19"/>
        <v/>
      </c>
      <c r="G353" s="18" t="str">
        <f t="shared" si="21"/>
        <v/>
      </c>
      <c r="I353" s="18" t="str">
        <f>IF($B353="","",H353-IF(Ventas!D353="",0,Ventas!D353))</f>
        <v/>
      </c>
      <c r="J353" t="str">
        <f t="shared" si="20"/>
        <v/>
      </c>
    </row>
    <row r="354" spans="1:10" hidden="1" x14ac:dyDescent="0.2">
      <c r="A354" s="18" t="str">
        <f t="shared" si="18"/>
        <v/>
      </c>
      <c r="F354" s="20" t="str">
        <f t="shared" si="19"/>
        <v/>
      </c>
      <c r="G354" s="18" t="str">
        <f t="shared" si="21"/>
        <v/>
      </c>
      <c r="I354" s="18" t="str">
        <f>IF($B354="","",H354-IF(Ventas!D354="",0,Ventas!D354))</f>
        <v/>
      </c>
      <c r="J354" t="str">
        <f t="shared" si="20"/>
        <v/>
      </c>
    </row>
    <row r="355" spans="1:10" hidden="1" x14ac:dyDescent="0.2">
      <c r="A355" s="18" t="str">
        <f t="shared" si="18"/>
        <v/>
      </c>
      <c r="F355" s="20" t="str">
        <f t="shared" si="19"/>
        <v/>
      </c>
      <c r="G355" s="18" t="str">
        <f t="shared" si="21"/>
        <v/>
      </c>
      <c r="I355" s="18" t="str">
        <f>IF($B355="","",H355-IF(Ventas!D355="",0,Ventas!D355))</f>
        <v/>
      </c>
      <c r="J355" t="str">
        <f t="shared" si="20"/>
        <v/>
      </c>
    </row>
    <row r="356" spans="1:10" hidden="1" x14ac:dyDescent="0.2">
      <c r="A356" s="18" t="str">
        <f t="shared" si="18"/>
        <v/>
      </c>
      <c r="F356" s="20" t="str">
        <f t="shared" si="19"/>
        <v/>
      </c>
      <c r="G356" s="18" t="str">
        <f t="shared" si="21"/>
        <v/>
      </c>
      <c r="I356" s="18" t="str">
        <f>IF($B356="","",H356-IF(Ventas!D356="",0,Ventas!D356))</f>
        <v/>
      </c>
      <c r="J356" t="str">
        <f t="shared" si="20"/>
        <v/>
      </c>
    </row>
    <row r="357" spans="1:10" hidden="1" x14ac:dyDescent="0.2">
      <c r="A357" s="18" t="str">
        <f t="shared" si="18"/>
        <v/>
      </c>
      <c r="F357" s="20" t="str">
        <f t="shared" si="19"/>
        <v/>
      </c>
      <c r="G357" s="18" t="str">
        <f t="shared" si="21"/>
        <v/>
      </c>
      <c r="I357" s="18" t="str">
        <f>IF($B357="","",H357-IF(Ventas!D357="",0,Ventas!D357))</f>
        <v/>
      </c>
      <c r="J357" t="str">
        <f t="shared" si="20"/>
        <v/>
      </c>
    </row>
    <row r="358" spans="1:10" hidden="1" x14ac:dyDescent="0.2">
      <c r="A358" s="18" t="str">
        <f t="shared" si="18"/>
        <v/>
      </c>
      <c r="F358" s="20" t="str">
        <f t="shared" si="19"/>
        <v/>
      </c>
      <c r="G358" s="18" t="str">
        <f t="shared" si="21"/>
        <v/>
      </c>
      <c r="I358" s="18" t="str">
        <f>IF($B358="","",H358-IF(Ventas!D358="",0,Ventas!D358))</f>
        <v/>
      </c>
      <c r="J358" t="str">
        <f t="shared" si="20"/>
        <v/>
      </c>
    </row>
    <row r="359" spans="1:10" hidden="1" x14ac:dyDescent="0.2">
      <c r="A359" s="18" t="str">
        <f t="shared" si="18"/>
        <v/>
      </c>
      <c r="F359" s="20" t="str">
        <f t="shared" si="19"/>
        <v/>
      </c>
      <c r="G359" s="18" t="str">
        <f t="shared" si="21"/>
        <v/>
      </c>
      <c r="I359" s="18" t="str">
        <f>IF($B359="","",H359-IF(Ventas!D359="",0,Ventas!D359))</f>
        <v/>
      </c>
      <c r="J359" t="str">
        <f t="shared" si="20"/>
        <v/>
      </c>
    </row>
    <row r="360" spans="1:10" hidden="1" x14ac:dyDescent="0.2">
      <c r="A360" s="18" t="str">
        <f t="shared" si="18"/>
        <v/>
      </c>
      <c r="F360" s="20" t="str">
        <f t="shared" si="19"/>
        <v/>
      </c>
      <c r="G360" s="18" t="str">
        <f t="shared" si="21"/>
        <v/>
      </c>
      <c r="I360" s="18" t="str">
        <f>IF($B360="","",H360-IF(Ventas!D360="",0,Ventas!D360))</f>
        <v/>
      </c>
      <c r="J360" t="str">
        <f t="shared" si="20"/>
        <v/>
      </c>
    </row>
    <row r="361" spans="1:10" hidden="1" x14ac:dyDescent="0.2">
      <c r="A361" s="18" t="str">
        <f t="shared" si="18"/>
        <v/>
      </c>
      <c r="F361" s="20" t="str">
        <f t="shared" si="19"/>
        <v/>
      </c>
      <c r="G361" s="18" t="str">
        <f t="shared" si="21"/>
        <v/>
      </c>
      <c r="I361" s="18" t="str">
        <f>IF($B361="","",H361-IF(Ventas!D361="",0,Ventas!D361))</f>
        <v/>
      </c>
      <c r="J361" t="str">
        <f t="shared" si="20"/>
        <v/>
      </c>
    </row>
    <row r="362" spans="1:10" hidden="1" x14ac:dyDescent="0.2">
      <c r="A362" s="18" t="str">
        <f t="shared" si="18"/>
        <v/>
      </c>
      <c r="F362" s="20" t="str">
        <f t="shared" si="19"/>
        <v/>
      </c>
      <c r="G362" s="18" t="str">
        <f t="shared" si="21"/>
        <v/>
      </c>
      <c r="I362" s="18" t="str">
        <f>IF($B362="","",H362-IF(Ventas!D362="",0,Ventas!D362))</f>
        <v/>
      </c>
      <c r="J362" t="str">
        <f t="shared" si="20"/>
        <v/>
      </c>
    </row>
    <row r="363" spans="1:10" hidden="1" x14ac:dyDescent="0.2">
      <c r="A363" s="18" t="str">
        <f t="shared" si="18"/>
        <v/>
      </c>
      <c r="F363" s="20" t="str">
        <f t="shared" si="19"/>
        <v/>
      </c>
      <c r="G363" s="18" t="str">
        <f t="shared" si="21"/>
        <v/>
      </c>
      <c r="I363" s="18" t="str">
        <f>IF($B363="","",H363-IF(Ventas!D363="",0,Ventas!D363))</f>
        <v/>
      </c>
      <c r="J363" t="str">
        <f t="shared" si="20"/>
        <v/>
      </c>
    </row>
    <row r="364" spans="1:10" hidden="1" x14ac:dyDescent="0.2">
      <c r="A364" s="18" t="str">
        <f t="shared" si="18"/>
        <v/>
      </c>
      <c r="F364" s="20" t="str">
        <f t="shared" si="19"/>
        <v/>
      </c>
      <c r="G364" s="18" t="str">
        <f t="shared" si="21"/>
        <v/>
      </c>
      <c r="I364" s="18" t="str">
        <f>IF($B364="","",H364-IF(Ventas!D364="",0,Ventas!D364))</f>
        <v/>
      </c>
      <c r="J364" t="str">
        <f t="shared" si="20"/>
        <v/>
      </c>
    </row>
    <row r="365" spans="1:10" hidden="1" x14ac:dyDescent="0.2">
      <c r="A365" s="18" t="str">
        <f t="shared" si="18"/>
        <v/>
      </c>
      <c r="F365" s="20" t="str">
        <f t="shared" si="19"/>
        <v/>
      </c>
      <c r="G365" s="18" t="str">
        <f t="shared" si="21"/>
        <v/>
      </c>
      <c r="I365" s="18" t="str">
        <f>IF($B365="","",H365-IF(Ventas!D365="",0,Ventas!D365))</f>
        <v/>
      </c>
      <c r="J365" t="str">
        <f t="shared" si="20"/>
        <v/>
      </c>
    </row>
    <row r="366" spans="1:10" hidden="1" x14ac:dyDescent="0.2">
      <c r="A366" s="18" t="str">
        <f t="shared" si="18"/>
        <v/>
      </c>
      <c r="F366" s="20" t="str">
        <f t="shared" si="19"/>
        <v/>
      </c>
      <c r="G366" s="18" t="str">
        <f t="shared" si="21"/>
        <v/>
      </c>
      <c r="I366" s="18" t="str">
        <f>IF($B366="","",H366-IF(Ventas!D366="",0,Ventas!D366))</f>
        <v/>
      </c>
      <c r="J366" t="str">
        <f t="shared" si="20"/>
        <v/>
      </c>
    </row>
    <row r="367" spans="1:10" hidden="1" x14ac:dyDescent="0.2">
      <c r="A367" s="18" t="str">
        <f t="shared" si="18"/>
        <v/>
      </c>
      <c r="F367" s="20" t="str">
        <f t="shared" si="19"/>
        <v/>
      </c>
      <c r="G367" s="18" t="str">
        <f t="shared" si="21"/>
        <v/>
      </c>
      <c r="I367" s="18" t="str">
        <f>IF($B367="","",H367-IF(Ventas!D367="",0,Ventas!D367))</f>
        <v/>
      </c>
      <c r="J367" t="str">
        <f t="shared" si="20"/>
        <v/>
      </c>
    </row>
    <row r="368" spans="1:10" hidden="1" x14ac:dyDescent="0.2">
      <c r="A368" s="18" t="str">
        <f t="shared" si="18"/>
        <v/>
      </c>
      <c r="F368" s="20" t="str">
        <f t="shared" si="19"/>
        <v/>
      </c>
      <c r="G368" s="18" t="str">
        <f t="shared" si="21"/>
        <v/>
      </c>
      <c r="I368" s="18" t="str">
        <f>IF($B368="","",H368-IF(Ventas!D368="",0,Ventas!D368))</f>
        <v/>
      </c>
      <c r="J368" t="str">
        <f t="shared" si="20"/>
        <v/>
      </c>
    </row>
    <row r="369" spans="1:10" hidden="1" x14ac:dyDescent="0.2">
      <c r="A369" s="18" t="str">
        <f t="shared" si="18"/>
        <v/>
      </c>
      <c r="F369" s="20" t="str">
        <f t="shared" si="19"/>
        <v/>
      </c>
      <c r="G369" s="18" t="str">
        <f t="shared" si="21"/>
        <v/>
      </c>
      <c r="I369" s="18" t="str">
        <f>IF($B369="","",H369-IF(Ventas!D369="",0,Ventas!D369))</f>
        <v/>
      </c>
      <c r="J369" t="str">
        <f t="shared" si="20"/>
        <v/>
      </c>
    </row>
    <row r="370" spans="1:10" hidden="1" x14ac:dyDescent="0.2">
      <c r="A370" s="18" t="str">
        <f t="shared" si="18"/>
        <v/>
      </c>
      <c r="F370" s="20" t="str">
        <f t="shared" si="19"/>
        <v/>
      </c>
      <c r="G370" s="18" t="str">
        <f t="shared" si="21"/>
        <v/>
      </c>
      <c r="I370" s="18" t="str">
        <f>IF($B370="","",H370-IF(Ventas!D370="",0,Ventas!D370))</f>
        <v/>
      </c>
      <c r="J370" t="str">
        <f t="shared" si="20"/>
        <v/>
      </c>
    </row>
    <row r="371" spans="1:10" hidden="1" x14ac:dyDescent="0.2">
      <c r="A371" s="18" t="str">
        <f t="shared" si="18"/>
        <v/>
      </c>
      <c r="F371" s="20" t="str">
        <f t="shared" si="19"/>
        <v/>
      </c>
      <c r="G371" s="18" t="str">
        <f t="shared" si="21"/>
        <v/>
      </c>
      <c r="I371" s="18" t="str">
        <f>IF($B371="","",H371-IF(Ventas!D371="",0,Ventas!D371))</f>
        <v/>
      </c>
      <c r="J371" t="str">
        <f t="shared" si="20"/>
        <v/>
      </c>
    </row>
    <row r="372" spans="1:10" hidden="1" x14ac:dyDescent="0.2">
      <c r="A372" s="18" t="str">
        <f t="shared" si="18"/>
        <v/>
      </c>
      <c r="F372" s="20" t="str">
        <f t="shared" si="19"/>
        <v/>
      </c>
      <c r="G372" s="18" t="str">
        <f t="shared" si="21"/>
        <v/>
      </c>
      <c r="I372" s="18" t="str">
        <f>IF($B372="","",H372-IF(Ventas!D372="",0,Ventas!D372))</f>
        <v/>
      </c>
      <c r="J372" t="str">
        <f t="shared" si="20"/>
        <v/>
      </c>
    </row>
    <row r="373" spans="1:10" hidden="1" x14ac:dyDescent="0.2">
      <c r="A373" s="18" t="str">
        <f t="shared" si="18"/>
        <v/>
      </c>
      <c r="F373" s="20" t="str">
        <f t="shared" si="19"/>
        <v/>
      </c>
      <c r="G373" s="18" t="str">
        <f t="shared" si="21"/>
        <v/>
      </c>
      <c r="I373" s="18" t="str">
        <f>IF($B373="","",H373-IF(Ventas!D373="",0,Ventas!D373))</f>
        <v/>
      </c>
      <c r="J373" t="str">
        <f t="shared" si="20"/>
        <v/>
      </c>
    </row>
    <row r="374" spans="1:10" hidden="1" x14ac:dyDescent="0.2">
      <c r="A374" s="18" t="str">
        <f t="shared" si="18"/>
        <v/>
      </c>
      <c r="F374" s="20" t="str">
        <f t="shared" si="19"/>
        <v/>
      </c>
      <c r="G374" s="18" t="str">
        <f t="shared" si="21"/>
        <v/>
      </c>
      <c r="I374" s="18" t="str">
        <f>IF($B374="","",H374-IF(Ventas!D374="",0,Ventas!D374))</f>
        <v/>
      </c>
      <c r="J374" t="str">
        <f t="shared" si="20"/>
        <v/>
      </c>
    </row>
    <row r="375" spans="1:10" hidden="1" x14ac:dyDescent="0.2">
      <c r="A375" s="18" t="str">
        <f t="shared" si="18"/>
        <v/>
      </c>
      <c r="F375" s="20" t="str">
        <f t="shared" si="19"/>
        <v/>
      </c>
      <c r="G375" s="18" t="str">
        <f t="shared" si="21"/>
        <v/>
      </c>
      <c r="I375" s="18" t="str">
        <f>IF($B375="","",H375-IF(Ventas!D375="",0,Ventas!D375))</f>
        <v/>
      </c>
      <c r="J375" t="str">
        <f t="shared" si="20"/>
        <v/>
      </c>
    </row>
    <row r="376" spans="1:10" hidden="1" x14ac:dyDescent="0.2">
      <c r="A376" s="18" t="str">
        <f t="shared" si="18"/>
        <v/>
      </c>
      <c r="F376" s="20" t="str">
        <f t="shared" si="19"/>
        <v/>
      </c>
      <c r="G376" s="18" t="str">
        <f t="shared" si="21"/>
        <v/>
      </c>
      <c r="I376" s="18" t="str">
        <f>IF($B376="","",H376-IF(Ventas!D376="",0,Ventas!D376))</f>
        <v/>
      </c>
      <c r="J376" t="str">
        <f t="shared" si="20"/>
        <v/>
      </c>
    </row>
    <row r="377" spans="1:10" hidden="1" x14ac:dyDescent="0.2">
      <c r="A377" s="18" t="str">
        <f t="shared" si="18"/>
        <v/>
      </c>
      <c r="F377" s="20" t="str">
        <f t="shared" si="19"/>
        <v/>
      </c>
      <c r="G377" s="18" t="str">
        <f t="shared" si="21"/>
        <v/>
      </c>
      <c r="I377" s="18" t="str">
        <f>IF($B377="","",H377-IF(Ventas!D377="",0,Ventas!D377))</f>
        <v/>
      </c>
      <c r="J377" t="str">
        <f t="shared" si="20"/>
        <v/>
      </c>
    </row>
    <row r="378" spans="1:10" hidden="1" x14ac:dyDescent="0.2">
      <c r="A378" s="18" t="str">
        <f t="shared" si="18"/>
        <v/>
      </c>
      <c r="F378" s="20" t="str">
        <f t="shared" si="19"/>
        <v/>
      </c>
      <c r="G378" s="18" t="str">
        <f t="shared" si="21"/>
        <v/>
      </c>
      <c r="I378" s="18" t="str">
        <f>IF($B378="","",H378-IF(Ventas!D378="",0,Ventas!D378))</f>
        <v/>
      </c>
      <c r="J378" t="str">
        <f t="shared" si="20"/>
        <v/>
      </c>
    </row>
    <row r="379" spans="1:10" hidden="1" x14ac:dyDescent="0.2">
      <c r="A379" s="18" t="str">
        <f t="shared" si="18"/>
        <v/>
      </c>
      <c r="F379" s="20" t="str">
        <f t="shared" si="19"/>
        <v/>
      </c>
      <c r="G379" s="18" t="str">
        <f t="shared" si="21"/>
        <v/>
      </c>
      <c r="I379" s="18" t="str">
        <f>IF($B379="","",H379-IF(Ventas!D379="",0,Ventas!D379))</f>
        <v/>
      </c>
      <c r="J379" t="str">
        <f t="shared" si="20"/>
        <v/>
      </c>
    </row>
    <row r="380" spans="1:10" hidden="1" x14ac:dyDescent="0.2">
      <c r="A380" s="18" t="str">
        <f t="shared" si="18"/>
        <v/>
      </c>
      <c r="F380" s="20" t="str">
        <f t="shared" si="19"/>
        <v/>
      </c>
      <c r="G380" s="18" t="str">
        <f t="shared" si="21"/>
        <v/>
      </c>
      <c r="I380" s="18" t="str">
        <f>IF($B380="","",H380-IF(Ventas!D380="",0,Ventas!D380))</f>
        <v/>
      </c>
      <c r="J380" t="str">
        <f t="shared" si="20"/>
        <v/>
      </c>
    </row>
    <row r="381" spans="1:10" hidden="1" x14ac:dyDescent="0.2">
      <c r="A381" s="18" t="str">
        <f t="shared" si="18"/>
        <v/>
      </c>
      <c r="F381" s="20" t="str">
        <f t="shared" si="19"/>
        <v/>
      </c>
      <c r="G381" s="18" t="str">
        <f t="shared" si="21"/>
        <v/>
      </c>
      <c r="I381" s="18" t="str">
        <f>IF($B381="","",H381-IF(Ventas!D381="",0,Ventas!D381))</f>
        <v/>
      </c>
      <c r="J381" t="str">
        <f t="shared" si="20"/>
        <v/>
      </c>
    </row>
    <row r="382" spans="1:10" hidden="1" x14ac:dyDescent="0.2">
      <c r="A382" s="18" t="str">
        <f t="shared" si="18"/>
        <v/>
      </c>
      <c r="F382" s="20" t="str">
        <f t="shared" si="19"/>
        <v/>
      </c>
      <c r="G382" s="18" t="str">
        <f t="shared" si="21"/>
        <v/>
      </c>
      <c r="I382" s="18" t="str">
        <f>IF($B382="","",H382-IF(Ventas!D382="",0,Ventas!D382))</f>
        <v/>
      </c>
      <c r="J382" t="str">
        <f t="shared" si="20"/>
        <v/>
      </c>
    </row>
    <row r="383" spans="1:10" hidden="1" x14ac:dyDescent="0.2">
      <c r="A383" s="18" t="str">
        <f t="shared" si="18"/>
        <v/>
      </c>
      <c r="F383" s="20" t="str">
        <f t="shared" si="19"/>
        <v/>
      </c>
      <c r="G383" s="18" t="str">
        <f t="shared" si="21"/>
        <v/>
      </c>
      <c r="I383" s="18" t="str">
        <f>IF($B383="","",H383-IF(Ventas!D383="",0,Ventas!D383))</f>
        <v/>
      </c>
      <c r="J383" t="str">
        <f t="shared" si="20"/>
        <v/>
      </c>
    </row>
    <row r="384" spans="1:10" hidden="1" x14ac:dyDescent="0.2">
      <c r="A384" s="18" t="str">
        <f t="shared" si="18"/>
        <v/>
      </c>
      <c r="F384" s="20" t="str">
        <f t="shared" si="19"/>
        <v/>
      </c>
      <c r="G384" s="18" t="str">
        <f t="shared" si="21"/>
        <v/>
      </c>
      <c r="I384" s="18" t="str">
        <f>IF($B384="","",H384-IF(Ventas!D384="",0,Ventas!D384))</f>
        <v/>
      </c>
      <c r="J384" t="str">
        <f t="shared" si="20"/>
        <v/>
      </c>
    </row>
    <row r="385" spans="1:10" hidden="1" x14ac:dyDescent="0.2">
      <c r="A385" s="18" t="str">
        <f t="shared" si="18"/>
        <v/>
      </c>
      <c r="F385" s="20" t="str">
        <f t="shared" si="19"/>
        <v/>
      </c>
      <c r="G385" s="18" t="str">
        <f t="shared" si="21"/>
        <v/>
      </c>
      <c r="I385" s="18" t="str">
        <f>IF($B385="","",H385-IF(Ventas!D385="",0,Ventas!D385))</f>
        <v/>
      </c>
      <c r="J385" t="str">
        <f t="shared" si="20"/>
        <v/>
      </c>
    </row>
    <row r="386" spans="1:10" hidden="1" x14ac:dyDescent="0.2">
      <c r="A386" s="18" t="str">
        <f t="shared" si="18"/>
        <v/>
      </c>
      <c r="F386" s="20" t="str">
        <f t="shared" si="19"/>
        <v/>
      </c>
      <c r="G386" s="18" t="str">
        <f t="shared" si="21"/>
        <v/>
      </c>
      <c r="I386" s="18" t="str">
        <f>IF($B386="","",H386-IF(Ventas!D386="",0,Ventas!D386))</f>
        <v/>
      </c>
      <c r="J386" t="str">
        <f t="shared" si="20"/>
        <v/>
      </c>
    </row>
    <row r="387" spans="1:10" hidden="1" x14ac:dyDescent="0.2">
      <c r="A387" s="18" t="str">
        <f t="shared" ref="A387:A450" si="22">IF(B387="","","P"&amp;TEXT(ROW()-1,"000"))</f>
        <v/>
      </c>
      <c r="F387" s="20" t="str">
        <f t="shared" ref="F387:F450" si="23">IF(OR(E387="",D387="",D387=0),"",E387/D387)</f>
        <v/>
      </c>
      <c r="G387" s="18" t="str">
        <f t="shared" si="21"/>
        <v/>
      </c>
      <c r="I387" s="18" t="str">
        <f>IF($B387="","",H387-IF(Ventas!D387="",0,Ventas!D387))</f>
        <v/>
      </c>
      <c r="J387" t="str">
        <f t="shared" ref="J387:J450" si="24">IF($B387="","",IF(N(I387)=0,"Agotado","Activo"))</f>
        <v/>
      </c>
    </row>
    <row r="388" spans="1:10" hidden="1" x14ac:dyDescent="0.2">
      <c r="A388" s="18" t="str">
        <f t="shared" si="22"/>
        <v/>
      </c>
      <c r="F388" s="20" t="str">
        <f t="shared" si="23"/>
        <v/>
      </c>
      <c r="G388" s="18" t="str">
        <f t="shared" si="21"/>
        <v/>
      </c>
      <c r="I388" s="18" t="str">
        <f>IF($B388="","",H388-IF(Ventas!D388="",0,Ventas!D388))</f>
        <v/>
      </c>
      <c r="J388" t="str">
        <f t="shared" si="24"/>
        <v/>
      </c>
    </row>
    <row r="389" spans="1:10" hidden="1" x14ac:dyDescent="0.2">
      <c r="A389" s="18" t="str">
        <f t="shared" si="22"/>
        <v/>
      </c>
      <c r="F389" s="20" t="str">
        <f t="shared" si="23"/>
        <v/>
      </c>
      <c r="G389" s="18" t="str">
        <f t="shared" si="21"/>
        <v/>
      </c>
      <c r="I389" s="18" t="str">
        <f>IF($B389="","",H389-IF(Ventas!D389="",0,Ventas!D389))</f>
        <v/>
      </c>
      <c r="J389" t="str">
        <f t="shared" si="24"/>
        <v/>
      </c>
    </row>
    <row r="390" spans="1:10" hidden="1" x14ac:dyDescent="0.2">
      <c r="A390" s="18" t="str">
        <f t="shared" si="22"/>
        <v/>
      </c>
      <c r="F390" s="20" t="str">
        <f t="shared" si="23"/>
        <v/>
      </c>
      <c r="G390" s="18" t="str">
        <f t="shared" ref="G390:G453" si="25">IF(F390="","",ROUND(F390*1.33,0))</f>
        <v/>
      </c>
      <c r="I390" s="18" t="str">
        <f>IF($B390="","",H390-IF(Ventas!D390="",0,Ventas!D390))</f>
        <v/>
      </c>
      <c r="J390" t="str">
        <f t="shared" si="24"/>
        <v/>
      </c>
    </row>
    <row r="391" spans="1:10" hidden="1" x14ac:dyDescent="0.2">
      <c r="A391" s="18" t="str">
        <f t="shared" si="22"/>
        <v/>
      </c>
      <c r="F391" s="20" t="str">
        <f t="shared" si="23"/>
        <v/>
      </c>
      <c r="G391" s="18" t="str">
        <f t="shared" si="25"/>
        <v/>
      </c>
      <c r="I391" s="18" t="str">
        <f>IF($B391="","",H391-IF(Ventas!D391="",0,Ventas!D391))</f>
        <v/>
      </c>
      <c r="J391" t="str">
        <f t="shared" si="24"/>
        <v/>
      </c>
    </row>
    <row r="392" spans="1:10" hidden="1" x14ac:dyDescent="0.2">
      <c r="A392" s="18" t="str">
        <f t="shared" si="22"/>
        <v/>
      </c>
      <c r="F392" s="20" t="str">
        <f t="shared" si="23"/>
        <v/>
      </c>
      <c r="G392" s="18" t="str">
        <f t="shared" si="25"/>
        <v/>
      </c>
      <c r="I392" s="18" t="str">
        <f>IF($B392="","",H392-IF(Ventas!D392="",0,Ventas!D392))</f>
        <v/>
      </c>
      <c r="J392" t="str">
        <f t="shared" si="24"/>
        <v/>
      </c>
    </row>
    <row r="393" spans="1:10" hidden="1" x14ac:dyDescent="0.2">
      <c r="A393" s="18" t="str">
        <f t="shared" si="22"/>
        <v/>
      </c>
      <c r="F393" s="20" t="str">
        <f t="shared" si="23"/>
        <v/>
      </c>
      <c r="G393" s="18" t="str">
        <f t="shared" si="25"/>
        <v/>
      </c>
      <c r="I393" s="18" t="str">
        <f>IF($B393="","",H393-IF(Ventas!D393="",0,Ventas!D393))</f>
        <v/>
      </c>
      <c r="J393" t="str">
        <f t="shared" si="24"/>
        <v/>
      </c>
    </row>
    <row r="394" spans="1:10" hidden="1" x14ac:dyDescent="0.2">
      <c r="A394" s="18" t="str">
        <f t="shared" si="22"/>
        <v/>
      </c>
      <c r="F394" s="20" t="str">
        <f t="shared" si="23"/>
        <v/>
      </c>
      <c r="G394" s="18" t="str">
        <f t="shared" si="25"/>
        <v/>
      </c>
      <c r="I394" s="18" t="str">
        <f>IF($B394="","",H394-IF(Ventas!D394="",0,Ventas!D394))</f>
        <v/>
      </c>
      <c r="J394" t="str">
        <f t="shared" si="24"/>
        <v/>
      </c>
    </row>
    <row r="395" spans="1:10" hidden="1" x14ac:dyDescent="0.2">
      <c r="A395" s="18" t="str">
        <f t="shared" si="22"/>
        <v/>
      </c>
      <c r="F395" s="20" t="str">
        <f t="shared" si="23"/>
        <v/>
      </c>
      <c r="G395" s="18" t="str">
        <f t="shared" si="25"/>
        <v/>
      </c>
      <c r="I395" s="18" t="str">
        <f>IF($B395="","",H395-IF(Ventas!D395="",0,Ventas!D395))</f>
        <v/>
      </c>
      <c r="J395" t="str">
        <f t="shared" si="24"/>
        <v/>
      </c>
    </row>
    <row r="396" spans="1:10" hidden="1" x14ac:dyDescent="0.2">
      <c r="A396" s="18" t="str">
        <f t="shared" si="22"/>
        <v/>
      </c>
      <c r="F396" s="20" t="str">
        <f t="shared" si="23"/>
        <v/>
      </c>
      <c r="G396" s="18" t="str">
        <f t="shared" si="25"/>
        <v/>
      </c>
      <c r="I396" s="18" t="str">
        <f>IF($B396="","",H396-IF(Ventas!D396="",0,Ventas!D396))</f>
        <v/>
      </c>
      <c r="J396" t="str">
        <f t="shared" si="24"/>
        <v/>
      </c>
    </row>
    <row r="397" spans="1:10" hidden="1" x14ac:dyDescent="0.2">
      <c r="A397" s="18" t="str">
        <f t="shared" si="22"/>
        <v/>
      </c>
      <c r="F397" s="20" t="str">
        <f t="shared" si="23"/>
        <v/>
      </c>
      <c r="G397" s="18" t="str">
        <f t="shared" si="25"/>
        <v/>
      </c>
      <c r="I397" s="18" t="str">
        <f>IF($B397="","",H397-IF(Ventas!D397="",0,Ventas!D397))</f>
        <v/>
      </c>
      <c r="J397" t="str">
        <f t="shared" si="24"/>
        <v/>
      </c>
    </row>
    <row r="398" spans="1:10" hidden="1" x14ac:dyDescent="0.2">
      <c r="A398" s="18" t="str">
        <f t="shared" si="22"/>
        <v/>
      </c>
      <c r="F398" s="20" t="str">
        <f t="shared" si="23"/>
        <v/>
      </c>
      <c r="G398" s="18" t="str">
        <f t="shared" si="25"/>
        <v/>
      </c>
      <c r="I398" s="18" t="str">
        <f>IF($B398="","",H398-IF(Ventas!D398="",0,Ventas!D398))</f>
        <v/>
      </c>
      <c r="J398" t="str">
        <f t="shared" si="24"/>
        <v/>
      </c>
    </row>
    <row r="399" spans="1:10" hidden="1" x14ac:dyDescent="0.2">
      <c r="A399" s="18" t="str">
        <f t="shared" si="22"/>
        <v/>
      </c>
      <c r="F399" s="20" t="str">
        <f t="shared" si="23"/>
        <v/>
      </c>
      <c r="G399" s="18" t="str">
        <f t="shared" si="25"/>
        <v/>
      </c>
      <c r="I399" s="18" t="str">
        <f>IF($B399="","",H399-IF(Ventas!D399="",0,Ventas!D399))</f>
        <v/>
      </c>
      <c r="J399" t="str">
        <f t="shared" si="24"/>
        <v/>
      </c>
    </row>
    <row r="400" spans="1:10" hidden="1" x14ac:dyDescent="0.2">
      <c r="A400" s="18" t="str">
        <f t="shared" si="22"/>
        <v/>
      </c>
      <c r="F400" s="20" t="str">
        <f t="shared" si="23"/>
        <v/>
      </c>
      <c r="G400" s="18" t="str">
        <f t="shared" si="25"/>
        <v/>
      </c>
      <c r="I400" s="18" t="str">
        <f>IF($B400="","",H400-IF(Ventas!D400="",0,Ventas!D400))</f>
        <v/>
      </c>
      <c r="J400" t="str">
        <f t="shared" si="24"/>
        <v/>
      </c>
    </row>
    <row r="401" spans="1:10" hidden="1" x14ac:dyDescent="0.2">
      <c r="A401" s="18" t="str">
        <f t="shared" si="22"/>
        <v/>
      </c>
      <c r="F401" s="20" t="str">
        <f t="shared" si="23"/>
        <v/>
      </c>
      <c r="G401" s="18" t="str">
        <f t="shared" si="25"/>
        <v/>
      </c>
      <c r="I401" s="18" t="str">
        <f>IF($B401="","",H401-IF(Ventas!D401="",0,Ventas!D401))</f>
        <v/>
      </c>
      <c r="J401" t="str">
        <f t="shared" si="24"/>
        <v/>
      </c>
    </row>
    <row r="402" spans="1:10" hidden="1" x14ac:dyDescent="0.2">
      <c r="A402" s="18" t="str">
        <f t="shared" si="22"/>
        <v/>
      </c>
      <c r="F402" s="20" t="str">
        <f t="shared" si="23"/>
        <v/>
      </c>
      <c r="G402" s="18" t="str">
        <f t="shared" si="25"/>
        <v/>
      </c>
      <c r="I402" s="18" t="str">
        <f>IF($B402="","",H402-IF(Ventas!D402="",0,Ventas!D402))</f>
        <v/>
      </c>
      <c r="J402" t="str">
        <f t="shared" si="24"/>
        <v/>
      </c>
    </row>
    <row r="403" spans="1:10" hidden="1" x14ac:dyDescent="0.2">
      <c r="A403" s="18" t="str">
        <f t="shared" si="22"/>
        <v/>
      </c>
      <c r="F403" s="20" t="str">
        <f t="shared" si="23"/>
        <v/>
      </c>
      <c r="G403" s="18" t="str">
        <f t="shared" si="25"/>
        <v/>
      </c>
      <c r="I403" s="18" t="str">
        <f>IF($B403="","",H403-IF(Ventas!D403="",0,Ventas!D403))</f>
        <v/>
      </c>
      <c r="J403" t="str">
        <f t="shared" si="24"/>
        <v/>
      </c>
    </row>
    <row r="404" spans="1:10" hidden="1" x14ac:dyDescent="0.2">
      <c r="A404" s="18" t="str">
        <f t="shared" si="22"/>
        <v/>
      </c>
      <c r="F404" s="20" t="str">
        <f t="shared" si="23"/>
        <v/>
      </c>
      <c r="G404" s="18" t="str">
        <f t="shared" si="25"/>
        <v/>
      </c>
      <c r="I404" s="18" t="str">
        <f>IF($B404="","",H404-IF(Ventas!D404="",0,Ventas!D404))</f>
        <v/>
      </c>
      <c r="J404" t="str">
        <f t="shared" si="24"/>
        <v/>
      </c>
    </row>
    <row r="405" spans="1:10" hidden="1" x14ac:dyDescent="0.2">
      <c r="A405" s="18" t="str">
        <f t="shared" si="22"/>
        <v/>
      </c>
      <c r="F405" s="20" t="str">
        <f t="shared" si="23"/>
        <v/>
      </c>
      <c r="G405" s="18" t="str">
        <f t="shared" si="25"/>
        <v/>
      </c>
      <c r="I405" s="18" t="str">
        <f>IF($B405="","",H405-IF(Ventas!D405="",0,Ventas!D405))</f>
        <v/>
      </c>
      <c r="J405" t="str">
        <f t="shared" si="24"/>
        <v/>
      </c>
    </row>
    <row r="406" spans="1:10" hidden="1" x14ac:dyDescent="0.2">
      <c r="A406" s="18" t="str">
        <f t="shared" si="22"/>
        <v/>
      </c>
      <c r="F406" s="20" t="str">
        <f t="shared" si="23"/>
        <v/>
      </c>
      <c r="G406" s="18" t="str">
        <f t="shared" si="25"/>
        <v/>
      </c>
      <c r="I406" s="18" t="str">
        <f>IF($B406="","",H406-IF(Ventas!D406="",0,Ventas!D406))</f>
        <v/>
      </c>
      <c r="J406" t="str">
        <f t="shared" si="24"/>
        <v/>
      </c>
    </row>
    <row r="407" spans="1:10" hidden="1" x14ac:dyDescent="0.2">
      <c r="A407" s="18" t="str">
        <f t="shared" si="22"/>
        <v/>
      </c>
      <c r="F407" s="20" t="str">
        <f t="shared" si="23"/>
        <v/>
      </c>
      <c r="G407" s="18" t="str">
        <f t="shared" si="25"/>
        <v/>
      </c>
      <c r="I407" s="18" t="str">
        <f>IF($B407="","",H407-IF(Ventas!D407="",0,Ventas!D407))</f>
        <v/>
      </c>
      <c r="J407" t="str">
        <f t="shared" si="24"/>
        <v/>
      </c>
    </row>
    <row r="408" spans="1:10" hidden="1" x14ac:dyDescent="0.2">
      <c r="A408" s="18" t="str">
        <f t="shared" si="22"/>
        <v/>
      </c>
      <c r="F408" s="20" t="str">
        <f t="shared" si="23"/>
        <v/>
      </c>
      <c r="G408" s="18" t="str">
        <f t="shared" si="25"/>
        <v/>
      </c>
      <c r="I408" s="18" t="str">
        <f>IF($B408="","",H408-IF(Ventas!D408="",0,Ventas!D408))</f>
        <v/>
      </c>
      <c r="J408" t="str">
        <f t="shared" si="24"/>
        <v/>
      </c>
    </row>
    <row r="409" spans="1:10" hidden="1" x14ac:dyDescent="0.2">
      <c r="A409" s="18" t="str">
        <f t="shared" si="22"/>
        <v/>
      </c>
      <c r="F409" s="20" t="str">
        <f t="shared" si="23"/>
        <v/>
      </c>
      <c r="G409" s="18" t="str">
        <f t="shared" si="25"/>
        <v/>
      </c>
      <c r="I409" s="18" t="str">
        <f>IF($B409="","",H409-IF(Ventas!D409="",0,Ventas!D409))</f>
        <v/>
      </c>
      <c r="J409" t="str">
        <f t="shared" si="24"/>
        <v/>
      </c>
    </row>
    <row r="410" spans="1:10" hidden="1" x14ac:dyDescent="0.2">
      <c r="A410" s="18" t="str">
        <f t="shared" si="22"/>
        <v/>
      </c>
      <c r="F410" s="20" t="str">
        <f t="shared" si="23"/>
        <v/>
      </c>
      <c r="G410" s="18" t="str">
        <f t="shared" si="25"/>
        <v/>
      </c>
      <c r="I410" s="18" t="str">
        <f>IF($B410="","",H410-IF(Ventas!D410="",0,Ventas!D410))</f>
        <v/>
      </c>
      <c r="J410" t="str">
        <f t="shared" si="24"/>
        <v/>
      </c>
    </row>
    <row r="411" spans="1:10" hidden="1" x14ac:dyDescent="0.2">
      <c r="A411" s="18" t="str">
        <f t="shared" si="22"/>
        <v/>
      </c>
      <c r="F411" s="20" t="str">
        <f t="shared" si="23"/>
        <v/>
      </c>
      <c r="G411" s="18" t="str">
        <f t="shared" si="25"/>
        <v/>
      </c>
      <c r="I411" s="18" t="str">
        <f>IF($B411="","",H411-IF(Ventas!D411="",0,Ventas!D411))</f>
        <v/>
      </c>
      <c r="J411" t="str">
        <f t="shared" si="24"/>
        <v/>
      </c>
    </row>
    <row r="412" spans="1:10" hidden="1" x14ac:dyDescent="0.2">
      <c r="A412" s="18" t="str">
        <f t="shared" si="22"/>
        <v/>
      </c>
      <c r="F412" s="20" t="str">
        <f t="shared" si="23"/>
        <v/>
      </c>
      <c r="G412" s="18" t="str">
        <f t="shared" si="25"/>
        <v/>
      </c>
      <c r="I412" s="18" t="str">
        <f>IF($B412="","",H412-IF(Ventas!D412="",0,Ventas!D412))</f>
        <v/>
      </c>
      <c r="J412" t="str">
        <f t="shared" si="24"/>
        <v/>
      </c>
    </row>
    <row r="413" spans="1:10" hidden="1" x14ac:dyDescent="0.2">
      <c r="A413" s="18" t="str">
        <f t="shared" si="22"/>
        <v/>
      </c>
      <c r="F413" s="20" t="str">
        <f t="shared" si="23"/>
        <v/>
      </c>
      <c r="G413" s="18" t="str">
        <f t="shared" si="25"/>
        <v/>
      </c>
      <c r="I413" s="18" t="str">
        <f>IF($B413="","",H413-IF(Ventas!D413="",0,Ventas!D413))</f>
        <v/>
      </c>
      <c r="J413" t="str">
        <f t="shared" si="24"/>
        <v/>
      </c>
    </row>
    <row r="414" spans="1:10" hidden="1" x14ac:dyDescent="0.2">
      <c r="A414" s="18" t="str">
        <f t="shared" si="22"/>
        <v/>
      </c>
      <c r="F414" s="20" t="str">
        <f t="shared" si="23"/>
        <v/>
      </c>
      <c r="G414" s="18" t="str">
        <f t="shared" si="25"/>
        <v/>
      </c>
      <c r="I414" s="18" t="str">
        <f>IF($B414="","",H414-IF(Ventas!D414="",0,Ventas!D414))</f>
        <v/>
      </c>
      <c r="J414" t="str">
        <f t="shared" si="24"/>
        <v/>
      </c>
    </row>
    <row r="415" spans="1:10" hidden="1" x14ac:dyDescent="0.2">
      <c r="A415" s="18" t="str">
        <f t="shared" si="22"/>
        <v/>
      </c>
      <c r="F415" s="20" t="str">
        <f t="shared" si="23"/>
        <v/>
      </c>
      <c r="G415" s="18" t="str">
        <f t="shared" si="25"/>
        <v/>
      </c>
      <c r="I415" s="18" t="str">
        <f>IF($B415="","",H415-IF(Ventas!D415="",0,Ventas!D415))</f>
        <v/>
      </c>
      <c r="J415" t="str">
        <f t="shared" si="24"/>
        <v/>
      </c>
    </row>
    <row r="416" spans="1:10" hidden="1" x14ac:dyDescent="0.2">
      <c r="A416" s="18" t="str">
        <f t="shared" si="22"/>
        <v/>
      </c>
      <c r="F416" s="20" t="str">
        <f t="shared" si="23"/>
        <v/>
      </c>
      <c r="G416" s="18" t="str">
        <f t="shared" si="25"/>
        <v/>
      </c>
      <c r="I416" s="18" t="str">
        <f>IF($B416="","",H416-IF(Ventas!D416="",0,Ventas!D416))</f>
        <v/>
      </c>
      <c r="J416" t="str">
        <f t="shared" si="24"/>
        <v/>
      </c>
    </row>
    <row r="417" spans="1:10" hidden="1" x14ac:dyDescent="0.2">
      <c r="A417" s="18" t="str">
        <f t="shared" si="22"/>
        <v/>
      </c>
      <c r="F417" s="20" t="str">
        <f t="shared" si="23"/>
        <v/>
      </c>
      <c r="G417" s="18" t="str">
        <f t="shared" si="25"/>
        <v/>
      </c>
      <c r="I417" s="18" t="str">
        <f>IF($B417="","",H417-IF(Ventas!D417="",0,Ventas!D417))</f>
        <v/>
      </c>
      <c r="J417" t="str">
        <f t="shared" si="24"/>
        <v/>
      </c>
    </row>
    <row r="418" spans="1:10" hidden="1" x14ac:dyDescent="0.2">
      <c r="A418" s="18" t="str">
        <f t="shared" si="22"/>
        <v/>
      </c>
      <c r="F418" s="20" t="str">
        <f t="shared" si="23"/>
        <v/>
      </c>
      <c r="G418" s="18" t="str">
        <f t="shared" si="25"/>
        <v/>
      </c>
      <c r="I418" s="18" t="str">
        <f>IF($B418="","",H418-IF(Ventas!D418="",0,Ventas!D418))</f>
        <v/>
      </c>
      <c r="J418" t="str">
        <f t="shared" si="24"/>
        <v/>
      </c>
    </row>
    <row r="419" spans="1:10" hidden="1" x14ac:dyDescent="0.2">
      <c r="A419" s="18" t="str">
        <f t="shared" si="22"/>
        <v/>
      </c>
      <c r="F419" s="20" t="str">
        <f t="shared" si="23"/>
        <v/>
      </c>
      <c r="G419" s="18" t="str">
        <f t="shared" si="25"/>
        <v/>
      </c>
      <c r="I419" s="18" t="str">
        <f>IF($B419="","",H419-IF(Ventas!D419="",0,Ventas!D419))</f>
        <v/>
      </c>
      <c r="J419" t="str">
        <f t="shared" si="24"/>
        <v/>
      </c>
    </row>
    <row r="420" spans="1:10" hidden="1" x14ac:dyDescent="0.2">
      <c r="A420" s="18" t="str">
        <f t="shared" si="22"/>
        <v/>
      </c>
      <c r="F420" s="20" t="str">
        <f t="shared" si="23"/>
        <v/>
      </c>
      <c r="G420" s="18" t="str">
        <f t="shared" si="25"/>
        <v/>
      </c>
      <c r="I420" s="18" t="str">
        <f>IF($B420="","",H420-IF(Ventas!D420="",0,Ventas!D420))</f>
        <v/>
      </c>
      <c r="J420" t="str">
        <f t="shared" si="24"/>
        <v/>
      </c>
    </row>
    <row r="421" spans="1:10" hidden="1" x14ac:dyDescent="0.2">
      <c r="A421" s="18" t="str">
        <f t="shared" si="22"/>
        <v/>
      </c>
      <c r="F421" s="20" t="str">
        <f t="shared" si="23"/>
        <v/>
      </c>
      <c r="G421" s="18" t="str">
        <f t="shared" si="25"/>
        <v/>
      </c>
      <c r="I421" s="18" t="str">
        <f>IF($B421="","",H421-IF(Ventas!D421="",0,Ventas!D421))</f>
        <v/>
      </c>
      <c r="J421" t="str">
        <f t="shared" si="24"/>
        <v/>
      </c>
    </row>
    <row r="422" spans="1:10" hidden="1" x14ac:dyDescent="0.2">
      <c r="A422" s="18" t="str">
        <f t="shared" si="22"/>
        <v/>
      </c>
      <c r="F422" s="20" t="str">
        <f t="shared" si="23"/>
        <v/>
      </c>
      <c r="G422" s="18" t="str">
        <f t="shared" si="25"/>
        <v/>
      </c>
      <c r="I422" s="18" t="str">
        <f>IF($B422="","",H422-IF(Ventas!D422="",0,Ventas!D422))</f>
        <v/>
      </c>
      <c r="J422" t="str">
        <f t="shared" si="24"/>
        <v/>
      </c>
    </row>
    <row r="423" spans="1:10" hidden="1" x14ac:dyDescent="0.2">
      <c r="A423" s="18" t="str">
        <f t="shared" si="22"/>
        <v/>
      </c>
      <c r="F423" s="20" t="str">
        <f t="shared" si="23"/>
        <v/>
      </c>
      <c r="G423" s="18" t="str">
        <f t="shared" si="25"/>
        <v/>
      </c>
      <c r="I423" s="18" t="str">
        <f>IF($B423="","",H423-IF(Ventas!D423="",0,Ventas!D423))</f>
        <v/>
      </c>
      <c r="J423" t="str">
        <f t="shared" si="24"/>
        <v/>
      </c>
    </row>
    <row r="424" spans="1:10" hidden="1" x14ac:dyDescent="0.2">
      <c r="A424" s="18" t="str">
        <f t="shared" si="22"/>
        <v/>
      </c>
      <c r="F424" s="20" t="str">
        <f t="shared" si="23"/>
        <v/>
      </c>
      <c r="G424" s="18" t="str">
        <f t="shared" si="25"/>
        <v/>
      </c>
      <c r="I424" s="18" t="str">
        <f>IF($B424="","",H424-IF(Ventas!D424="",0,Ventas!D424))</f>
        <v/>
      </c>
      <c r="J424" t="str">
        <f t="shared" si="24"/>
        <v/>
      </c>
    </row>
    <row r="425" spans="1:10" hidden="1" x14ac:dyDescent="0.2">
      <c r="A425" s="18" t="str">
        <f t="shared" si="22"/>
        <v/>
      </c>
      <c r="F425" s="20" t="str">
        <f t="shared" si="23"/>
        <v/>
      </c>
      <c r="G425" s="18" t="str">
        <f t="shared" si="25"/>
        <v/>
      </c>
      <c r="I425" s="18" t="str">
        <f>IF($B425="","",H425-IF(Ventas!D425="",0,Ventas!D425))</f>
        <v/>
      </c>
      <c r="J425" t="str">
        <f t="shared" si="24"/>
        <v/>
      </c>
    </row>
    <row r="426" spans="1:10" hidden="1" x14ac:dyDescent="0.2">
      <c r="A426" s="18" t="str">
        <f t="shared" si="22"/>
        <v/>
      </c>
      <c r="F426" s="20" t="str">
        <f t="shared" si="23"/>
        <v/>
      </c>
      <c r="G426" s="18" t="str">
        <f t="shared" si="25"/>
        <v/>
      </c>
      <c r="I426" s="18" t="str">
        <f>IF($B426="","",H426-IF(Ventas!D426="",0,Ventas!D426))</f>
        <v/>
      </c>
      <c r="J426" t="str">
        <f t="shared" si="24"/>
        <v/>
      </c>
    </row>
    <row r="427" spans="1:10" hidden="1" x14ac:dyDescent="0.2">
      <c r="A427" s="18" t="str">
        <f t="shared" si="22"/>
        <v/>
      </c>
      <c r="F427" s="20" t="str">
        <f t="shared" si="23"/>
        <v/>
      </c>
      <c r="G427" s="18" t="str">
        <f t="shared" si="25"/>
        <v/>
      </c>
      <c r="I427" s="18" t="str">
        <f>IF($B427="","",H427-IF(Ventas!D427="",0,Ventas!D427))</f>
        <v/>
      </c>
      <c r="J427" t="str">
        <f t="shared" si="24"/>
        <v/>
      </c>
    </row>
    <row r="428" spans="1:10" hidden="1" x14ac:dyDescent="0.2">
      <c r="A428" s="18" t="str">
        <f t="shared" si="22"/>
        <v/>
      </c>
      <c r="F428" s="20" t="str">
        <f t="shared" si="23"/>
        <v/>
      </c>
      <c r="G428" s="18" t="str">
        <f t="shared" si="25"/>
        <v/>
      </c>
      <c r="I428" s="18" t="str">
        <f>IF($B428="","",H428-IF(Ventas!D428="",0,Ventas!D428))</f>
        <v/>
      </c>
      <c r="J428" t="str">
        <f t="shared" si="24"/>
        <v/>
      </c>
    </row>
    <row r="429" spans="1:10" hidden="1" x14ac:dyDescent="0.2">
      <c r="A429" s="18" t="str">
        <f t="shared" si="22"/>
        <v/>
      </c>
      <c r="F429" s="20" t="str">
        <f t="shared" si="23"/>
        <v/>
      </c>
      <c r="G429" s="18" t="str">
        <f t="shared" si="25"/>
        <v/>
      </c>
      <c r="I429" s="18" t="str">
        <f>IF($B429="","",H429-IF(Ventas!D429="",0,Ventas!D429))</f>
        <v/>
      </c>
      <c r="J429" t="str">
        <f t="shared" si="24"/>
        <v/>
      </c>
    </row>
    <row r="430" spans="1:10" hidden="1" x14ac:dyDescent="0.2">
      <c r="A430" s="18" t="str">
        <f t="shared" si="22"/>
        <v/>
      </c>
      <c r="F430" s="20" t="str">
        <f t="shared" si="23"/>
        <v/>
      </c>
      <c r="G430" s="18" t="str">
        <f t="shared" si="25"/>
        <v/>
      </c>
      <c r="I430" s="18" t="str">
        <f>IF($B430="","",H430-IF(Ventas!D430="",0,Ventas!D430))</f>
        <v/>
      </c>
      <c r="J430" t="str">
        <f t="shared" si="24"/>
        <v/>
      </c>
    </row>
    <row r="431" spans="1:10" hidden="1" x14ac:dyDescent="0.2">
      <c r="A431" s="18" t="str">
        <f t="shared" si="22"/>
        <v/>
      </c>
      <c r="F431" s="20" t="str">
        <f t="shared" si="23"/>
        <v/>
      </c>
      <c r="G431" s="18" t="str">
        <f t="shared" si="25"/>
        <v/>
      </c>
      <c r="I431" s="18" t="str">
        <f>IF($B431="","",H431-IF(Ventas!D431="",0,Ventas!D431))</f>
        <v/>
      </c>
      <c r="J431" t="str">
        <f t="shared" si="24"/>
        <v/>
      </c>
    </row>
    <row r="432" spans="1:10" hidden="1" x14ac:dyDescent="0.2">
      <c r="A432" s="18" t="str">
        <f t="shared" si="22"/>
        <v/>
      </c>
      <c r="F432" s="20" t="str">
        <f t="shared" si="23"/>
        <v/>
      </c>
      <c r="G432" s="18" t="str">
        <f t="shared" si="25"/>
        <v/>
      </c>
      <c r="I432" s="18" t="str">
        <f>IF($B432="","",H432-IF(Ventas!D432="",0,Ventas!D432))</f>
        <v/>
      </c>
      <c r="J432" t="str">
        <f t="shared" si="24"/>
        <v/>
      </c>
    </row>
    <row r="433" spans="1:10" hidden="1" x14ac:dyDescent="0.2">
      <c r="A433" s="18" t="str">
        <f t="shared" si="22"/>
        <v/>
      </c>
      <c r="F433" s="20" t="str">
        <f t="shared" si="23"/>
        <v/>
      </c>
      <c r="G433" s="18" t="str">
        <f t="shared" si="25"/>
        <v/>
      </c>
      <c r="I433" s="18" t="str">
        <f>IF($B433="","",H433-IF(Ventas!D433="",0,Ventas!D433))</f>
        <v/>
      </c>
      <c r="J433" t="str">
        <f t="shared" si="24"/>
        <v/>
      </c>
    </row>
    <row r="434" spans="1:10" hidden="1" x14ac:dyDescent="0.2">
      <c r="A434" s="18" t="str">
        <f t="shared" si="22"/>
        <v/>
      </c>
      <c r="F434" s="20" t="str">
        <f t="shared" si="23"/>
        <v/>
      </c>
      <c r="G434" s="18" t="str">
        <f t="shared" si="25"/>
        <v/>
      </c>
      <c r="I434" s="18" t="str">
        <f>IF($B434="","",H434-IF(Ventas!D434="",0,Ventas!D434))</f>
        <v/>
      </c>
      <c r="J434" t="str">
        <f t="shared" si="24"/>
        <v/>
      </c>
    </row>
    <row r="435" spans="1:10" hidden="1" x14ac:dyDescent="0.2">
      <c r="A435" s="18" t="str">
        <f t="shared" si="22"/>
        <v/>
      </c>
      <c r="F435" s="20" t="str">
        <f t="shared" si="23"/>
        <v/>
      </c>
      <c r="G435" s="18" t="str">
        <f t="shared" si="25"/>
        <v/>
      </c>
      <c r="I435" s="18" t="str">
        <f>IF($B435="","",H435-IF(Ventas!D435="",0,Ventas!D435))</f>
        <v/>
      </c>
      <c r="J435" t="str">
        <f t="shared" si="24"/>
        <v/>
      </c>
    </row>
    <row r="436" spans="1:10" hidden="1" x14ac:dyDescent="0.2">
      <c r="A436" s="18" t="str">
        <f t="shared" si="22"/>
        <v/>
      </c>
      <c r="F436" s="20" t="str">
        <f t="shared" si="23"/>
        <v/>
      </c>
      <c r="G436" s="18" t="str">
        <f t="shared" si="25"/>
        <v/>
      </c>
      <c r="I436" s="18" t="str">
        <f>IF($B436="","",H436-IF(Ventas!D436="",0,Ventas!D436))</f>
        <v/>
      </c>
      <c r="J436" t="str">
        <f t="shared" si="24"/>
        <v/>
      </c>
    </row>
    <row r="437" spans="1:10" hidden="1" x14ac:dyDescent="0.2">
      <c r="A437" s="18" t="str">
        <f t="shared" si="22"/>
        <v/>
      </c>
      <c r="F437" s="20" t="str">
        <f t="shared" si="23"/>
        <v/>
      </c>
      <c r="G437" s="18" t="str">
        <f t="shared" si="25"/>
        <v/>
      </c>
      <c r="I437" s="18" t="str">
        <f>IF($B437="","",H437-IF(Ventas!D437="",0,Ventas!D437))</f>
        <v/>
      </c>
      <c r="J437" t="str">
        <f t="shared" si="24"/>
        <v/>
      </c>
    </row>
    <row r="438" spans="1:10" hidden="1" x14ac:dyDescent="0.2">
      <c r="A438" s="18" t="str">
        <f t="shared" si="22"/>
        <v/>
      </c>
      <c r="F438" s="20" t="str">
        <f t="shared" si="23"/>
        <v/>
      </c>
      <c r="G438" s="18" t="str">
        <f t="shared" si="25"/>
        <v/>
      </c>
      <c r="I438" s="18" t="str">
        <f>IF($B438="","",H438-IF(Ventas!D438="",0,Ventas!D438))</f>
        <v/>
      </c>
      <c r="J438" t="str">
        <f t="shared" si="24"/>
        <v/>
      </c>
    </row>
    <row r="439" spans="1:10" hidden="1" x14ac:dyDescent="0.2">
      <c r="A439" s="18" t="str">
        <f t="shared" si="22"/>
        <v/>
      </c>
      <c r="F439" s="20" t="str">
        <f t="shared" si="23"/>
        <v/>
      </c>
      <c r="G439" s="18" t="str">
        <f t="shared" si="25"/>
        <v/>
      </c>
      <c r="I439" s="18" t="str">
        <f>IF($B439="","",H439-IF(Ventas!D439="",0,Ventas!D439))</f>
        <v/>
      </c>
      <c r="J439" t="str">
        <f t="shared" si="24"/>
        <v/>
      </c>
    </row>
    <row r="440" spans="1:10" hidden="1" x14ac:dyDescent="0.2">
      <c r="A440" s="18" t="str">
        <f t="shared" si="22"/>
        <v/>
      </c>
      <c r="F440" s="20" t="str">
        <f t="shared" si="23"/>
        <v/>
      </c>
      <c r="G440" s="18" t="str">
        <f t="shared" si="25"/>
        <v/>
      </c>
      <c r="I440" s="18" t="str">
        <f>IF($B440="","",H440-IF(Ventas!D440="",0,Ventas!D440))</f>
        <v/>
      </c>
      <c r="J440" t="str">
        <f t="shared" si="24"/>
        <v/>
      </c>
    </row>
    <row r="441" spans="1:10" hidden="1" x14ac:dyDescent="0.2">
      <c r="A441" s="18" t="str">
        <f t="shared" si="22"/>
        <v/>
      </c>
      <c r="F441" s="20" t="str">
        <f t="shared" si="23"/>
        <v/>
      </c>
      <c r="G441" s="18" t="str">
        <f t="shared" si="25"/>
        <v/>
      </c>
      <c r="I441" s="18" t="str">
        <f>IF($B441="","",H441-IF(Ventas!D441="",0,Ventas!D441))</f>
        <v/>
      </c>
      <c r="J441" t="str">
        <f t="shared" si="24"/>
        <v/>
      </c>
    </row>
    <row r="442" spans="1:10" hidden="1" x14ac:dyDescent="0.2">
      <c r="A442" s="18" t="str">
        <f t="shared" si="22"/>
        <v/>
      </c>
      <c r="F442" s="20" t="str">
        <f t="shared" si="23"/>
        <v/>
      </c>
      <c r="G442" s="18" t="str">
        <f t="shared" si="25"/>
        <v/>
      </c>
      <c r="I442" s="18" t="str">
        <f>IF($B442="","",H442-IF(Ventas!D442="",0,Ventas!D442))</f>
        <v/>
      </c>
      <c r="J442" t="str">
        <f t="shared" si="24"/>
        <v/>
      </c>
    </row>
    <row r="443" spans="1:10" hidden="1" x14ac:dyDescent="0.2">
      <c r="A443" s="18" t="str">
        <f t="shared" si="22"/>
        <v/>
      </c>
      <c r="F443" s="20" t="str">
        <f t="shared" si="23"/>
        <v/>
      </c>
      <c r="G443" s="18" t="str">
        <f t="shared" si="25"/>
        <v/>
      </c>
      <c r="I443" s="18" t="str">
        <f>IF($B443="","",H443-IF(Ventas!D443="",0,Ventas!D443))</f>
        <v/>
      </c>
      <c r="J443" t="str">
        <f t="shared" si="24"/>
        <v/>
      </c>
    </row>
    <row r="444" spans="1:10" hidden="1" x14ac:dyDescent="0.2">
      <c r="A444" s="18" t="str">
        <f t="shared" si="22"/>
        <v/>
      </c>
      <c r="F444" s="20" t="str">
        <f t="shared" si="23"/>
        <v/>
      </c>
      <c r="G444" s="18" t="str">
        <f t="shared" si="25"/>
        <v/>
      </c>
      <c r="I444" s="18" t="str">
        <f>IF($B444="","",H444-IF(Ventas!D444="",0,Ventas!D444))</f>
        <v/>
      </c>
      <c r="J444" t="str">
        <f t="shared" si="24"/>
        <v/>
      </c>
    </row>
    <row r="445" spans="1:10" hidden="1" x14ac:dyDescent="0.2">
      <c r="A445" s="18" t="str">
        <f t="shared" si="22"/>
        <v/>
      </c>
      <c r="F445" s="20" t="str">
        <f t="shared" si="23"/>
        <v/>
      </c>
      <c r="G445" s="18" t="str">
        <f t="shared" si="25"/>
        <v/>
      </c>
      <c r="I445" s="18" t="str">
        <f>IF($B445="","",H445-IF(Ventas!D445="",0,Ventas!D445))</f>
        <v/>
      </c>
      <c r="J445" t="str">
        <f t="shared" si="24"/>
        <v/>
      </c>
    </row>
    <row r="446" spans="1:10" hidden="1" x14ac:dyDescent="0.2">
      <c r="A446" s="18" t="str">
        <f t="shared" si="22"/>
        <v/>
      </c>
      <c r="F446" s="20" t="str">
        <f t="shared" si="23"/>
        <v/>
      </c>
      <c r="G446" s="18" t="str">
        <f t="shared" si="25"/>
        <v/>
      </c>
      <c r="I446" s="18" t="str">
        <f>IF($B446="","",H446-IF(Ventas!D446="",0,Ventas!D446))</f>
        <v/>
      </c>
      <c r="J446" t="str">
        <f t="shared" si="24"/>
        <v/>
      </c>
    </row>
    <row r="447" spans="1:10" hidden="1" x14ac:dyDescent="0.2">
      <c r="A447" s="18" t="str">
        <f t="shared" si="22"/>
        <v/>
      </c>
      <c r="F447" s="20" t="str">
        <f t="shared" si="23"/>
        <v/>
      </c>
      <c r="G447" s="18" t="str">
        <f t="shared" si="25"/>
        <v/>
      </c>
      <c r="I447" s="18" t="str">
        <f>IF($B447="","",H447-IF(Ventas!D447="",0,Ventas!D447))</f>
        <v/>
      </c>
      <c r="J447" t="str">
        <f t="shared" si="24"/>
        <v/>
      </c>
    </row>
    <row r="448" spans="1:10" hidden="1" x14ac:dyDescent="0.2">
      <c r="A448" s="18" t="str">
        <f t="shared" si="22"/>
        <v/>
      </c>
      <c r="F448" s="20" t="str">
        <f t="shared" si="23"/>
        <v/>
      </c>
      <c r="G448" s="18" t="str">
        <f t="shared" si="25"/>
        <v/>
      </c>
      <c r="I448" s="18" t="str">
        <f>IF($B448="","",H448-IF(Ventas!D448="",0,Ventas!D448))</f>
        <v/>
      </c>
      <c r="J448" t="str">
        <f t="shared" si="24"/>
        <v/>
      </c>
    </row>
    <row r="449" spans="1:10" hidden="1" x14ac:dyDescent="0.2">
      <c r="A449" s="18" t="str">
        <f t="shared" si="22"/>
        <v/>
      </c>
      <c r="F449" s="20" t="str">
        <f t="shared" si="23"/>
        <v/>
      </c>
      <c r="G449" s="18" t="str">
        <f t="shared" si="25"/>
        <v/>
      </c>
      <c r="I449" s="18" t="str">
        <f>IF($B449="","",H449-IF(Ventas!D449="",0,Ventas!D449))</f>
        <v/>
      </c>
      <c r="J449" t="str">
        <f t="shared" si="24"/>
        <v/>
      </c>
    </row>
    <row r="450" spans="1:10" hidden="1" x14ac:dyDescent="0.2">
      <c r="A450" s="18" t="str">
        <f t="shared" si="22"/>
        <v/>
      </c>
      <c r="F450" s="20" t="str">
        <f t="shared" si="23"/>
        <v/>
      </c>
      <c r="G450" s="18" t="str">
        <f t="shared" si="25"/>
        <v/>
      </c>
      <c r="I450" s="18" t="str">
        <f>IF($B450="","",H450-IF(Ventas!D450="",0,Ventas!D450))</f>
        <v/>
      </c>
      <c r="J450" t="str">
        <f t="shared" si="24"/>
        <v/>
      </c>
    </row>
    <row r="451" spans="1:10" hidden="1" x14ac:dyDescent="0.2">
      <c r="A451" s="18" t="str">
        <f t="shared" ref="A451:A514" si="26">IF(B451="","","P"&amp;TEXT(ROW()-1,"000"))</f>
        <v/>
      </c>
      <c r="F451" s="20" t="str">
        <f t="shared" ref="F451:F514" si="27">IF(OR(E451="",D451="",D451=0),"",E451/D451)</f>
        <v/>
      </c>
      <c r="G451" s="18" t="str">
        <f t="shared" si="25"/>
        <v/>
      </c>
      <c r="I451" s="18" t="str">
        <f>IF($B451="","",H451-IF(Ventas!D451="",0,Ventas!D451))</f>
        <v/>
      </c>
      <c r="J451" t="str">
        <f t="shared" ref="J451:J514" si="28">IF($B451="","",IF(N(I451)=0,"Agotado","Activo"))</f>
        <v/>
      </c>
    </row>
    <row r="452" spans="1:10" hidden="1" x14ac:dyDescent="0.2">
      <c r="A452" s="18" t="str">
        <f t="shared" si="26"/>
        <v/>
      </c>
      <c r="F452" s="20" t="str">
        <f t="shared" si="27"/>
        <v/>
      </c>
      <c r="G452" s="18" t="str">
        <f t="shared" si="25"/>
        <v/>
      </c>
      <c r="I452" s="18" t="str">
        <f>IF($B452="","",H452-IF(Ventas!D452="",0,Ventas!D452))</f>
        <v/>
      </c>
      <c r="J452" t="str">
        <f t="shared" si="28"/>
        <v/>
      </c>
    </row>
    <row r="453" spans="1:10" hidden="1" x14ac:dyDescent="0.2">
      <c r="A453" s="18" t="str">
        <f t="shared" si="26"/>
        <v/>
      </c>
      <c r="F453" s="20" t="str">
        <f t="shared" si="27"/>
        <v/>
      </c>
      <c r="G453" s="18" t="str">
        <f t="shared" si="25"/>
        <v/>
      </c>
      <c r="I453" s="18" t="str">
        <f>IF($B453="","",H453-IF(Ventas!D453="",0,Ventas!D453))</f>
        <v/>
      </c>
      <c r="J453" t="str">
        <f t="shared" si="28"/>
        <v/>
      </c>
    </row>
    <row r="454" spans="1:10" hidden="1" x14ac:dyDescent="0.2">
      <c r="A454" s="18" t="str">
        <f t="shared" si="26"/>
        <v/>
      </c>
      <c r="F454" s="20" t="str">
        <f t="shared" si="27"/>
        <v/>
      </c>
      <c r="G454" s="18" t="str">
        <f t="shared" ref="G454:G517" si="29">IF(F454="","",ROUND(F454*1.33,0))</f>
        <v/>
      </c>
      <c r="I454" s="18" t="str">
        <f>IF($B454="","",H454-IF(Ventas!D454="",0,Ventas!D454))</f>
        <v/>
      </c>
      <c r="J454" t="str">
        <f t="shared" si="28"/>
        <v/>
      </c>
    </row>
    <row r="455" spans="1:10" hidden="1" x14ac:dyDescent="0.2">
      <c r="A455" s="18" t="str">
        <f t="shared" si="26"/>
        <v/>
      </c>
      <c r="F455" s="20" t="str">
        <f t="shared" si="27"/>
        <v/>
      </c>
      <c r="G455" s="18" t="str">
        <f t="shared" si="29"/>
        <v/>
      </c>
      <c r="I455" s="18" t="str">
        <f>IF($B455="","",H455-IF(Ventas!D455="",0,Ventas!D455))</f>
        <v/>
      </c>
      <c r="J455" t="str">
        <f t="shared" si="28"/>
        <v/>
      </c>
    </row>
    <row r="456" spans="1:10" hidden="1" x14ac:dyDescent="0.2">
      <c r="A456" s="18" t="str">
        <f t="shared" si="26"/>
        <v/>
      </c>
      <c r="F456" s="20" t="str">
        <f t="shared" si="27"/>
        <v/>
      </c>
      <c r="G456" s="18" t="str">
        <f t="shared" si="29"/>
        <v/>
      </c>
      <c r="I456" s="18" t="str">
        <f>IF($B456="","",H456-IF(Ventas!D456="",0,Ventas!D456))</f>
        <v/>
      </c>
      <c r="J456" t="str">
        <f t="shared" si="28"/>
        <v/>
      </c>
    </row>
    <row r="457" spans="1:10" hidden="1" x14ac:dyDescent="0.2">
      <c r="A457" s="18" t="str">
        <f t="shared" si="26"/>
        <v/>
      </c>
      <c r="F457" s="20" t="str">
        <f t="shared" si="27"/>
        <v/>
      </c>
      <c r="G457" s="18" t="str">
        <f t="shared" si="29"/>
        <v/>
      </c>
      <c r="I457" s="18" t="str">
        <f>IF($B457="","",H457-IF(Ventas!D457="",0,Ventas!D457))</f>
        <v/>
      </c>
      <c r="J457" t="str">
        <f t="shared" si="28"/>
        <v/>
      </c>
    </row>
    <row r="458" spans="1:10" hidden="1" x14ac:dyDescent="0.2">
      <c r="A458" s="18" t="str">
        <f t="shared" si="26"/>
        <v/>
      </c>
      <c r="F458" s="20" t="str">
        <f t="shared" si="27"/>
        <v/>
      </c>
      <c r="G458" s="18" t="str">
        <f t="shared" si="29"/>
        <v/>
      </c>
      <c r="I458" s="18" t="str">
        <f>IF($B458="","",H458-IF(Ventas!D458="",0,Ventas!D458))</f>
        <v/>
      </c>
      <c r="J458" t="str">
        <f t="shared" si="28"/>
        <v/>
      </c>
    </row>
    <row r="459" spans="1:10" hidden="1" x14ac:dyDescent="0.2">
      <c r="A459" s="18" t="str">
        <f t="shared" si="26"/>
        <v/>
      </c>
      <c r="F459" s="20" t="str">
        <f t="shared" si="27"/>
        <v/>
      </c>
      <c r="G459" s="18" t="str">
        <f t="shared" si="29"/>
        <v/>
      </c>
      <c r="I459" s="18" t="str">
        <f>IF($B459="","",H459-IF(Ventas!D459="",0,Ventas!D459))</f>
        <v/>
      </c>
      <c r="J459" t="str">
        <f t="shared" si="28"/>
        <v/>
      </c>
    </row>
    <row r="460" spans="1:10" hidden="1" x14ac:dyDescent="0.2">
      <c r="A460" s="18" t="str">
        <f t="shared" si="26"/>
        <v/>
      </c>
      <c r="F460" s="20" t="str">
        <f t="shared" si="27"/>
        <v/>
      </c>
      <c r="G460" s="18" t="str">
        <f t="shared" si="29"/>
        <v/>
      </c>
      <c r="I460" s="18" t="str">
        <f>IF($B460="","",H460-IF(Ventas!D460="",0,Ventas!D460))</f>
        <v/>
      </c>
      <c r="J460" t="str">
        <f t="shared" si="28"/>
        <v/>
      </c>
    </row>
    <row r="461" spans="1:10" hidden="1" x14ac:dyDescent="0.2">
      <c r="A461" s="18" t="str">
        <f t="shared" si="26"/>
        <v/>
      </c>
      <c r="F461" s="20" t="str">
        <f t="shared" si="27"/>
        <v/>
      </c>
      <c r="G461" s="18" t="str">
        <f t="shared" si="29"/>
        <v/>
      </c>
      <c r="I461" s="18" t="str">
        <f>IF($B461="","",H461-IF(Ventas!D461="",0,Ventas!D461))</f>
        <v/>
      </c>
      <c r="J461" t="str">
        <f t="shared" si="28"/>
        <v/>
      </c>
    </row>
    <row r="462" spans="1:10" hidden="1" x14ac:dyDescent="0.2">
      <c r="A462" s="18" t="str">
        <f t="shared" si="26"/>
        <v/>
      </c>
      <c r="F462" s="20" t="str">
        <f t="shared" si="27"/>
        <v/>
      </c>
      <c r="G462" s="18" t="str">
        <f t="shared" si="29"/>
        <v/>
      </c>
      <c r="I462" s="18" t="str">
        <f>IF($B462="","",H462-IF(Ventas!D462="",0,Ventas!D462))</f>
        <v/>
      </c>
      <c r="J462" t="str">
        <f t="shared" si="28"/>
        <v/>
      </c>
    </row>
    <row r="463" spans="1:10" hidden="1" x14ac:dyDescent="0.2">
      <c r="A463" s="18" t="str">
        <f t="shared" si="26"/>
        <v/>
      </c>
      <c r="F463" s="20" t="str">
        <f t="shared" si="27"/>
        <v/>
      </c>
      <c r="G463" s="18" t="str">
        <f t="shared" si="29"/>
        <v/>
      </c>
      <c r="I463" s="18" t="str">
        <f>IF($B463="","",H463-IF(Ventas!D463="",0,Ventas!D463))</f>
        <v/>
      </c>
      <c r="J463" t="str">
        <f t="shared" si="28"/>
        <v/>
      </c>
    </row>
    <row r="464" spans="1:10" hidden="1" x14ac:dyDescent="0.2">
      <c r="A464" s="18" t="str">
        <f t="shared" si="26"/>
        <v/>
      </c>
      <c r="F464" s="20" t="str">
        <f t="shared" si="27"/>
        <v/>
      </c>
      <c r="G464" s="18" t="str">
        <f t="shared" si="29"/>
        <v/>
      </c>
      <c r="I464" s="18" t="str">
        <f>IF($B464="","",H464-IF(Ventas!D464="",0,Ventas!D464))</f>
        <v/>
      </c>
      <c r="J464" t="str">
        <f t="shared" si="28"/>
        <v/>
      </c>
    </row>
    <row r="465" spans="1:10" hidden="1" x14ac:dyDescent="0.2">
      <c r="A465" s="18" t="str">
        <f t="shared" si="26"/>
        <v/>
      </c>
      <c r="F465" s="20" t="str">
        <f t="shared" si="27"/>
        <v/>
      </c>
      <c r="G465" s="18" t="str">
        <f t="shared" si="29"/>
        <v/>
      </c>
      <c r="I465" s="18" t="str">
        <f>IF($B465="","",H465-IF(Ventas!D465="",0,Ventas!D465))</f>
        <v/>
      </c>
      <c r="J465" t="str">
        <f t="shared" si="28"/>
        <v/>
      </c>
    </row>
    <row r="466" spans="1:10" hidden="1" x14ac:dyDescent="0.2">
      <c r="A466" s="18" t="str">
        <f t="shared" si="26"/>
        <v/>
      </c>
      <c r="F466" s="20" t="str">
        <f t="shared" si="27"/>
        <v/>
      </c>
      <c r="G466" s="18" t="str">
        <f t="shared" si="29"/>
        <v/>
      </c>
      <c r="I466" s="18" t="str">
        <f>IF($B466="","",H466-IF(Ventas!D466="",0,Ventas!D466))</f>
        <v/>
      </c>
      <c r="J466" t="str">
        <f t="shared" si="28"/>
        <v/>
      </c>
    </row>
    <row r="467" spans="1:10" hidden="1" x14ac:dyDescent="0.2">
      <c r="A467" s="18" t="str">
        <f t="shared" si="26"/>
        <v/>
      </c>
      <c r="F467" s="20" t="str">
        <f t="shared" si="27"/>
        <v/>
      </c>
      <c r="G467" s="18" t="str">
        <f t="shared" si="29"/>
        <v/>
      </c>
      <c r="I467" s="18" t="str">
        <f>IF($B467="","",H467-IF(Ventas!D467="",0,Ventas!D467))</f>
        <v/>
      </c>
      <c r="J467" t="str">
        <f t="shared" si="28"/>
        <v/>
      </c>
    </row>
    <row r="468" spans="1:10" hidden="1" x14ac:dyDescent="0.2">
      <c r="A468" s="18" t="str">
        <f t="shared" si="26"/>
        <v/>
      </c>
      <c r="F468" s="20" t="str">
        <f t="shared" si="27"/>
        <v/>
      </c>
      <c r="G468" s="18" t="str">
        <f t="shared" si="29"/>
        <v/>
      </c>
      <c r="I468" s="18" t="str">
        <f>IF($B468="","",H468-IF(Ventas!D468="",0,Ventas!D468))</f>
        <v/>
      </c>
      <c r="J468" t="str">
        <f t="shared" si="28"/>
        <v/>
      </c>
    </row>
    <row r="469" spans="1:10" hidden="1" x14ac:dyDescent="0.2">
      <c r="A469" s="18" t="str">
        <f t="shared" si="26"/>
        <v/>
      </c>
      <c r="F469" s="20" t="str">
        <f t="shared" si="27"/>
        <v/>
      </c>
      <c r="G469" s="18" t="str">
        <f t="shared" si="29"/>
        <v/>
      </c>
      <c r="I469" s="18" t="str">
        <f>IF($B469="","",H469-IF(Ventas!D469="",0,Ventas!D469))</f>
        <v/>
      </c>
      <c r="J469" t="str">
        <f t="shared" si="28"/>
        <v/>
      </c>
    </row>
    <row r="470" spans="1:10" hidden="1" x14ac:dyDescent="0.2">
      <c r="A470" s="18" t="str">
        <f t="shared" si="26"/>
        <v/>
      </c>
      <c r="F470" s="20" t="str">
        <f t="shared" si="27"/>
        <v/>
      </c>
      <c r="G470" s="18" t="str">
        <f t="shared" si="29"/>
        <v/>
      </c>
      <c r="I470" s="18" t="str">
        <f>IF($B470="","",H470-IF(Ventas!D470="",0,Ventas!D470))</f>
        <v/>
      </c>
      <c r="J470" t="str">
        <f t="shared" si="28"/>
        <v/>
      </c>
    </row>
    <row r="471" spans="1:10" hidden="1" x14ac:dyDescent="0.2">
      <c r="A471" s="18" t="str">
        <f t="shared" si="26"/>
        <v/>
      </c>
      <c r="F471" s="20" t="str">
        <f t="shared" si="27"/>
        <v/>
      </c>
      <c r="G471" s="18" t="str">
        <f t="shared" si="29"/>
        <v/>
      </c>
      <c r="I471" s="18" t="str">
        <f>IF($B471="","",H471-IF(Ventas!D471="",0,Ventas!D471))</f>
        <v/>
      </c>
      <c r="J471" t="str">
        <f t="shared" si="28"/>
        <v/>
      </c>
    </row>
    <row r="472" spans="1:10" hidden="1" x14ac:dyDescent="0.2">
      <c r="A472" s="18" t="str">
        <f t="shared" si="26"/>
        <v/>
      </c>
      <c r="F472" s="20" t="str">
        <f t="shared" si="27"/>
        <v/>
      </c>
      <c r="G472" s="18" t="str">
        <f t="shared" si="29"/>
        <v/>
      </c>
      <c r="I472" s="18" t="str">
        <f>IF($B472="","",H472-IF(Ventas!D472="",0,Ventas!D472))</f>
        <v/>
      </c>
      <c r="J472" t="str">
        <f t="shared" si="28"/>
        <v/>
      </c>
    </row>
    <row r="473" spans="1:10" hidden="1" x14ac:dyDescent="0.2">
      <c r="A473" s="18" t="str">
        <f t="shared" si="26"/>
        <v/>
      </c>
      <c r="F473" s="20" t="str">
        <f t="shared" si="27"/>
        <v/>
      </c>
      <c r="G473" s="18" t="str">
        <f t="shared" si="29"/>
        <v/>
      </c>
      <c r="I473" s="18" t="str">
        <f>IF($B473="","",H473-IF(Ventas!D473="",0,Ventas!D473))</f>
        <v/>
      </c>
      <c r="J473" t="str">
        <f t="shared" si="28"/>
        <v/>
      </c>
    </row>
    <row r="474" spans="1:10" hidden="1" x14ac:dyDescent="0.2">
      <c r="A474" s="18" t="str">
        <f t="shared" si="26"/>
        <v/>
      </c>
      <c r="F474" s="20" t="str">
        <f t="shared" si="27"/>
        <v/>
      </c>
      <c r="G474" s="18" t="str">
        <f t="shared" si="29"/>
        <v/>
      </c>
      <c r="I474" s="18" t="str">
        <f>IF($B474="","",H474-IF(Ventas!D474="",0,Ventas!D474))</f>
        <v/>
      </c>
      <c r="J474" t="str">
        <f t="shared" si="28"/>
        <v/>
      </c>
    </row>
    <row r="475" spans="1:10" hidden="1" x14ac:dyDescent="0.2">
      <c r="A475" s="18" t="str">
        <f t="shared" si="26"/>
        <v/>
      </c>
      <c r="F475" s="20" t="str">
        <f t="shared" si="27"/>
        <v/>
      </c>
      <c r="G475" s="18" t="str">
        <f t="shared" si="29"/>
        <v/>
      </c>
      <c r="I475" s="18" t="str">
        <f>IF($B475="","",H475-IF(Ventas!D475="",0,Ventas!D475))</f>
        <v/>
      </c>
      <c r="J475" t="str">
        <f t="shared" si="28"/>
        <v/>
      </c>
    </row>
    <row r="476" spans="1:10" hidden="1" x14ac:dyDescent="0.2">
      <c r="A476" s="18" t="str">
        <f t="shared" si="26"/>
        <v/>
      </c>
      <c r="F476" s="20" t="str">
        <f t="shared" si="27"/>
        <v/>
      </c>
      <c r="G476" s="18" t="str">
        <f t="shared" si="29"/>
        <v/>
      </c>
      <c r="I476" s="18" t="str">
        <f>IF($B476="","",H476-IF(Ventas!D476="",0,Ventas!D476))</f>
        <v/>
      </c>
      <c r="J476" t="str">
        <f t="shared" si="28"/>
        <v/>
      </c>
    </row>
    <row r="477" spans="1:10" hidden="1" x14ac:dyDescent="0.2">
      <c r="A477" s="18" t="str">
        <f t="shared" si="26"/>
        <v/>
      </c>
      <c r="F477" s="20" t="str">
        <f t="shared" si="27"/>
        <v/>
      </c>
      <c r="G477" s="18" t="str">
        <f t="shared" si="29"/>
        <v/>
      </c>
      <c r="I477" s="18" t="str">
        <f>IF($B477="","",H477-IF(Ventas!D477="",0,Ventas!D477))</f>
        <v/>
      </c>
      <c r="J477" t="str">
        <f t="shared" si="28"/>
        <v/>
      </c>
    </row>
    <row r="478" spans="1:10" hidden="1" x14ac:dyDescent="0.2">
      <c r="A478" s="18" t="str">
        <f t="shared" si="26"/>
        <v/>
      </c>
      <c r="F478" s="20" t="str">
        <f t="shared" si="27"/>
        <v/>
      </c>
      <c r="G478" s="18" t="str">
        <f t="shared" si="29"/>
        <v/>
      </c>
      <c r="I478" s="18" t="str">
        <f>IF($B478="","",H478-IF(Ventas!D478="",0,Ventas!D478))</f>
        <v/>
      </c>
      <c r="J478" t="str">
        <f t="shared" si="28"/>
        <v/>
      </c>
    </row>
    <row r="479" spans="1:10" hidden="1" x14ac:dyDescent="0.2">
      <c r="A479" s="18" t="str">
        <f t="shared" si="26"/>
        <v/>
      </c>
      <c r="F479" s="20" t="str">
        <f t="shared" si="27"/>
        <v/>
      </c>
      <c r="G479" s="18" t="str">
        <f t="shared" si="29"/>
        <v/>
      </c>
      <c r="I479" s="18" t="str">
        <f>IF($B479="","",H479-IF(Ventas!D479="",0,Ventas!D479))</f>
        <v/>
      </c>
      <c r="J479" t="str">
        <f t="shared" si="28"/>
        <v/>
      </c>
    </row>
    <row r="480" spans="1:10" hidden="1" x14ac:dyDescent="0.2">
      <c r="A480" s="18" t="str">
        <f t="shared" si="26"/>
        <v/>
      </c>
      <c r="F480" s="20" t="str">
        <f t="shared" si="27"/>
        <v/>
      </c>
      <c r="G480" s="18" t="str">
        <f t="shared" si="29"/>
        <v/>
      </c>
      <c r="I480" s="18" t="str">
        <f>IF($B480="","",H480-IF(Ventas!D480="",0,Ventas!D480))</f>
        <v/>
      </c>
      <c r="J480" t="str">
        <f t="shared" si="28"/>
        <v/>
      </c>
    </row>
    <row r="481" spans="1:10" hidden="1" x14ac:dyDescent="0.2">
      <c r="A481" s="18" t="str">
        <f t="shared" si="26"/>
        <v/>
      </c>
      <c r="F481" s="20" t="str">
        <f t="shared" si="27"/>
        <v/>
      </c>
      <c r="G481" s="18" t="str">
        <f t="shared" si="29"/>
        <v/>
      </c>
      <c r="I481" s="18" t="str">
        <f>IF($B481="","",H481-IF(Ventas!D481="",0,Ventas!D481))</f>
        <v/>
      </c>
      <c r="J481" t="str">
        <f t="shared" si="28"/>
        <v/>
      </c>
    </row>
    <row r="482" spans="1:10" hidden="1" x14ac:dyDescent="0.2">
      <c r="A482" s="18" t="str">
        <f t="shared" si="26"/>
        <v/>
      </c>
      <c r="F482" s="20" t="str">
        <f t="shared" si="27"/>
        <v/>
      </c>
      <c r="G482" s="18" t="str">
        <f t="shared" si="29"/>
        <v/>
      </c>
      <c r="I482" s="18" t="str">
        <f>IF($B482="","",H482-IF(Ventas!D482="",0,Ventas!D482))</f>
        <v/>
      </c>
      <c r="J482" t="str">
        <f t="shared" si="28"/>
        <v/>
      </c>
    </row>
    <row r="483" spans="1:10" hidden="1" x14ac:dyDescent="0.2">
      <c r="A483" s="18" t="str">
        <f t="shared" si="26"/>
        <v/>
      </c>
      <c r="F483" s="20" t="str">
        <f t="shared" si="27"/>
        <v/>
      </c>
      <c r="G483" s="18" t="str">
        <f t="shared" si="29"/>
        <v/>
      </c>
      <c r="I483" s="18" t="str">
        <f>IF($B483="","",H483-IF(Ventas!D483="",0,Ventas!D483))</f>
        <v/>
      </c>
      <c r="J483" t="str">
        <f t="shared" si="28"/>
        <v/>
      </c>
    </row>
    <row r="484" spans="1:10" hidden="1" x14ac:dyDescent="0.2">
      <c r="A484" s="18" t="str">
        <f t="shared" si="26"/>
        <v/>
      </c>
      <c r="F484" s="20" t="str">
        <f t="shared" si="27"/>
        <v/>
      </c>
      <c r="G484" s="18" t="str">
        <f t="shared" si="29"/>
        <v/>
      </c>
      <c r="I484" s="18" t="str">
        <f>IF($B484="","",H484-IF(Ventas!D484="",0,Ventas!D484))</f>
        <v/>
      </c>
      <c r="J484" t="str">
        <f t="shared" si="28"/>
        <v/>
      </c>
    </row>
    <row r="485" spans="1:10" hidden="1" x14ac:dyDescent="0.2">
      <c r="A485" s="18" t="str">
        <f t="shared" si="26"/>
        <v/>
      </c>
      <c r="F485" s="20" t="str">
        <f t="shared" si="27"/>
        <v/>
      </c>
      <c r="G485" s="18" t="str">
        <f t="shared" si="29"/>
        <v/>
      </c>
      <c r="I485" s="18" t="str">
        <f>IF($B485="","",H485-IF(Ventas!D485="",0,Ventas!D485))</f>
        <v/>
      </c>
      <c r="J485" t="str">
        <f t="shared" si="28"/>
        <v/>
      </c>
    </row>
    <row r="486" spans="1:10" hidden="1" x14ac:dyDescent="0.2">
      <c r="A486" s="18" t="str">
        <f t="shared" si="26"/>
        <v/>
      </c>
      <c r="F486" s="20" t="str">
        <f t="shared" si="27"/>
        <v/>
      </c>
      <c r="G486" s="18" t="str">
        <f t="shared" si="29"/>
        <v/>
      </c>
      <c r="I486" s="18" t="str">
        <f>IF($B486="","",H486-IF(Ventas!D486="",0,Ventas!D486))</f>
        <v/>
      </c>
      <c r="J486" t="str">
        <f t="shared" si="28"/>
        <v/>
      </c>
    </row>
    <row r="487" spans="1:10" hidden="1" x14ac:dyDescent="0.2">
      <c r="A487" s="18" t="str">
        <f t="shared" si="26"/>
        <v/>
      </c>
      <c r="F487" s="20" t="str">
        <f t="shared" si="27"/>
        <v/>
      </c>
      <c r="G487" s="18" t="str">
        <f t="shared" si="29"/>
        <v/>
      </c>
      <c r="I487" s="18" t="str">
        <f>IF($B487="","",H487-IF(Ventas!D487="",0,Ventas!D487))</f>
        <v/>
      </c>
      <c r="J487" t="str">
        <f t="shared" si="28"/>
        <v/>
      </c>
    </row>
    <row r="488" spans="1:10" hidden="1" x14ac:dyDescent="0.2">
      <c r="A488" s="18" t="str">
        <f t="shared" si="26"/>
        <v/>
      </c>
      <c r="F488" s="20" t="str">
        <f t="shared" si="27"/>
        <v/>
      </c>
      <c r="G488" s="18" t="str">
        <f t="shared" si="29"/>
        <v/>
      </c>
      <c r="I488" s="18" t="str">
        <f>IF($B488="","",H488-IF(Ventas!D488="",0,Ventas!D488))</f>
        <v/>
      </c>
      <c r="J488" t="str">
        <f t="shared" si="28"/>
        <v/>
      </c>
    </row>
    <row r="489" spans="1:10" hidden="1" x14ac:dyDescent="0.2">
      <c r="A489" s="18" t="str">
        <f t="shared" si="26"/>
        <v/>
      </c>
      <c r="F489" s="20" t="str">
        <f t="shared" si="27"/>
        <v/>
      </c>
      <c r="G489" s="18" t="str">
        <f t="shared" si="29"/>
        <v/>
      </c>
      <c r="I489" s="18" t="str">
        <f>IF($B489="","",H489-IF(Ventas!D489="",0,Ventas!D489))</f>
        <v/>
      </c>
      <c r="J489" t="str">
        <f t="shared" si="28"/>
        <v/>
      </c>
    </row>
    <row r="490" spans="1:10" hidden="1" x14ac:dyDescent="0.2">
      <c r="A490" s="18" t="str">
        <f t="shared" si="26"/>
        <v/>
      </c>
      <c r="F490" s="20" t="str">
        <f t="shared" si="27"/>
        <v/>
      </c>
      <c r="G490" s="18" t="str">
        <f t="shared" si="29"/>
        <v/>
      </c>
      <c r="I490" s="18" t="str">
        <f>IF($B490="","",H490-IF(Ventas!D490="",0,Ventas!D490))</f>
        <v/>
      </c>
      <c r="J490" t="str">
        <f t="shared" si="28"/>
        <v/>
      </c>
    </row>
    <row r="491" spans="1:10" hidden="1" x14ac:dyDescent="0.2">
      <c r="A491" s="18" t="str">
        <f t="shared" si="26"/>
        <v/>
      </c>
      <c r="F491" s="20" t="str">
        <f t="shared" si="27"/>
        <v/>
      </c>
      <c r="G491" s="18" t="str">
        <f t="shared" si="29"/>
        <v/>
      </c>
      <c r="I491" s="18" t="str">
        <f>IF($B491="","",H491-IF(Ventas!D491="",0,Ventas!D491))</f>
        <v/>
      </c>
      <c r="J491" t="str">
        <f t="shared" si="28"/>
        <v/>
      </c>
    </row>
    <row r="492" spans="1:10" hidden="1" x14ac:dyDescent="0.2">
      <c r="A492" s="18" t="str">
        <f t="shared" si="26"/>
        <v/>
      </c>
      <c r="F492" s="20" t="str">
        <f t="shared" si="27"/>
        <v/>
      </c>
      <c r="G492" s="18" t="str">
        <f t="shared" si="29"/>
        <v/>
      </c>
      <c r="I492" s="18" t="str">
        <f>IF($B492="","",H492-IF(Ventas!D492="",0,Ventas!D492))</f>
        <v/>
      </c>
      <c r="J492" t="str">
        <f t="shared" si="28"/>
        <v/>
      </c>
    </row>
    <row r="493" spans="1:10" hidden="1" x14ac:dyDescent="0.2">
      <c r="A493" s="18" t="str">
        <f t="shared" si="26"/>
        <v/>
      </c>
      <c r="F493" s="20" t="str">
        <f t="shared" si="27"/>
        <v/>
      </c>
      <c r="G493" s="18" t="str">
        <f t="shared" si="29"/>
        <v/>
      </c>
      <c r="I493" s="18" t="str">
        <f>IF($B493="","",H493-IF(Ventas!D493="",0,Ventas!D493))</f>
        <v/>
      </c>
      <c r="J493" t="str">
        <f t="shared" si="28"/>
        <v/>
      </c>
    </row>
    <row r="494" spans="1:10" hidden="1" x14ac:dyDescent="0.2">
      <c r="A494" s="18" t="str">
        <f t="shared" si="26"/>
        <v/>
      </c>
      <c r="F494" s="20" t="str">
        <f t="shared" si="27"/>
        <v/>
      </c>
      <c r="G494" s="18" t="str">
        <f t="shared" si="29"/>
        <v/>
      </c>
      <c r="I494" s="18" t="str">
        <f>IF($B494="","",H494-IF(Ventas!D494="",0,Ventas!D494))</f>
        <v/>
      </c>
      <c r="J494" t="str">
        <f t="shared" si="28"/>
        <v/>
      </c>
    </row>
    <row r="495" spans="1:10" hidden="1" x14ac:dyDescent="0.2">
      <c r="A495" s="18" t="str">
        <f t="shared" si="26"/>
        <v/>
      </c>
      <c r="F495" s="20" t="str">
        <f t="shared" si="27"/>
        <v/>
      </c>
      <c r="G495" s="18" t="str">
        <f t="shared" si="29"/>
        <v/>
      </c>
      <c r="I495" s="18" t="str">
        <f>IF($B495="","",H495-IF(Ventas!D495="",0,Ventas!D495))</f>
        <v/>
      </c>
      <c r="J495" t="str">
        <f t="shared" si="28"/>
        <v/>
      </c>
    </row>
    <row r="496" spans="1:10" hidden="1" x14ac:dyDescent="0.2">
      <c r="A496" s="18" t="str">
        <f t="shared" si="26"/>
        <v/>
      </c>
      <c r="F496" s="20" t="str">
        <f t="shared" si="27"/>
        <v/>
      </c>
      <c r="G496" s="18" t="str">
        <f t="shared" si="29"/>
        <v/>
      </c>
      <c r="I496" s="18" t="str">
        <f>IF($B496="","",H496-IF(Ventas!D496="",0,Ventas!D496))</f>
        <v/>
      </c>
      <c r="J496" t="str">
        <f t="shared" si="28"/>
        <v/>
      </c>
    </row>
    <row r="497" spans="1:10" hidden="1" x14ac:dyDescent="0.2">
      <c r="A497" s="18" t="str">
        <f t="shared" si="26"/>
        <v/>
      </c>
      <c r="F497" s="20" t="str">
        <f t="shared" si="27"/>
        <v/>
      </c>
      <c r="G497" s="18" t="str">
        <f t="shared" si="29"/>
        <v/>
      </c>
      <c r="I497" s="18" t="str">
        <f>IF($B497="","",H497-IF(Ventas!D497="",0,Ventas!D497))</f>
        <v/>
      </c>
      <c r="J497" t="str">
        <f t="shared" si="28"/>
        <v/>
      </c>
    </row>
    <row r="498" spans="1:10" hidden="1" x14ac:dyDescent="0.2">
      <c r="A498" s="18" t="str">
        <f t="shared" si="26"/>
        <v/>
      </c>
      <c r="F498" s="20" t="str">
        <f t="shared" si="27"/>
        <v/>
      </c>
      <c r="G498" s="18" t="str">
        <f t="shared" si="29"/>
        <v/>
      </c>
      <c r="I498" s="18" t="str">
        <f>IF($B498="","",H498-IF(Ventas!D498="",0,Ventas!D498))</f>
        <v/>
      </c>
      <c r="J498" t="str">
        <f t="shared" si="28"/>
        <v/>
      </c>
    </row>
    <row r="499" spans="1:10" hidden="1" x14ac:dyDescent="0.2">
      <c r="A499" s="18" t="str">
        <f t="shared" si="26"/>
        <v/>
      </c>
      <c r="F499" s="20" t="str">
        <f t="shared" si="27"/>
        <v/>
      </c>
      <c r="G499" s="18" t="str">
        <f t="shared" si="29"/>
        <v/>
      </c>
      <c r="I499" s="18" t="str">
        <f>IF($B499="","",H499-IF(Ventas!D499="",0,Ventas!D499))</f>
        <v/>
      </c>
      <c r="J499" t="str">
        <f t="shared" si="28"/>
        <v/>
      </c>
    </row>
    <row r="500" spans="1:10" hidden="1" x14ac:dyDescent="0.2">
      <c r="A500" s="18" t="str">
        <f t="shared" si="26"/>
        <v/>
      </c>
      <c r="F500" s="20" t="str">
        <f t="shared" si="27"/>
        <v/>
      </c>
      <c r="G500" s="18" t="str">
        <f t="shared" si="29"/>
        <v/>
      </c>
      <c r="I500" s="18" t="str">
        <f>IF($B500="","",H500-IF(Ventas!D500="",0,Ventas!D500))</f>
        <v/>
      </c>
      <c r="J500" t="str">
        <f t="shared" si="28"/>
        <v/>
      </c>
    </row>
    <row r="501" spans="1:10" hidden="1" x14ac:dyDescent="0.2">
      <c r="A501" s="18" t="str">
        <f t="shared" si="26"/>
        <v/>
      </c>
      <c r="F501" s="20" t="str">
        <f t="shared" si="27"/>
        <v/>
      </c>
      <c r="G501" s="18" t="str">
        <f t="shared" si="29"/>
        <v/>
      </c>
      <c r="I501" s="18" t="str">
        <f>IF($B501="","",H501-IF(Ventas!D501="",0,Ventas!D501))</f>
        <v/>
      </c>
      <c r="J501" t="str">
        <f t="shared" si="28"/>
        <v/>
      </c>
    </row>
    <row r="502" spans="1:10" hidden="1" x14ac:dyDescent="0.2">
      <c r="A502" s="18" t="str">
        <f t="shared" si="26"/>
        <v/>
      </c>
      <c r="F502" s="20" t="str">
        <f t="shared" si="27"/>
        <v/>
      </c>
      <c r="G502" s="18" t="str">
        <f t="shared" si="29"/>
        <v/>
      </c>
      <c r="I502" s="18" t="str">
        <f>IF($B502="","",H502-IF(Ventas!D502="",0,Ventas!D502))</f>
        <v/>
      </c>
      <c r="J502" t="str">
        <f t="shared" si="28"/>
        <v/>
      </c>
    </row>
    <row r="503" spans="1:10" hidden="1" x14ac:dyDescent="0.2">
      <c r="A503" s="18" t="str">
        <f t="shared" si="26"/>
        <v/>
      </c>
      <c r="F503" s="20" t="str">
        <f t="shared" si="27"/>
        <v/>
      </c>
      <c r="G503" s="18" t="str">
        <f t="shared" si="29"/>
        <v/>
      </c>
      <c r="I503" s="18" t="str">
        <f>IF($B503="","",H503-IF(Ventas!D503="",0,Ventas!D503))</f>
        <v/>
      </c>
      <c r="J503" t="str">
        <f t="shared" si="28"/>
        <v/>
      </c>
    </row>
    <row r="504" spans="1:10" hidden="1" x14ac:dyDescent="0.2">
      <c r="A504" s="18" t="str">
        <f t="shared" si="26"/>
        <v/>
      </c>
      <c r="F504" s="20" t="str">
        <f t="shared" si="27"/>
        <v/>
      </c>
      <c r="G504" s="18" t="str">
        <f t="shared" si="29"/>
        <v/>
      </c>
      <c r="I504" s="18" t="str">
        <f>IF($B504="","",H504-IF(Ventas!D504="",0,Ventas!D504))</f>
        <v/>
      </c>
      <c r="J504" t="str">
        <f t="shared" si="28"/>
        <v/>
      </c>
    </row>
    <row r="505" spans="1:10" hidden="1" x14ac:dyDescent="0.2">
      <c r="A505" s="18" t="str">
        <f t="shared" si="26"/>
        <v/>
      </c>
      <c r="F505" s="20" t="str">
        <f t="shared" si="27"/>
        <v/>
      </c>
      <c r="G505" s="18" t="str">
        <f t="shared" si="29"/>
        <v/>
      </c>
      <c r="I505" s="18" t="str">
        <f>IF($B505="","",H505-IF(Ventas!D505="",0,Ventas!D505))</f>
        <v/>
      </c>
      <c r="J505" t="str">
        <f t="shared" si="28"/>
        <v/>
      </c>
    </row>
    <row r="506" spans="1:10" hidden="1" x14ac:dyDescent="0.2">
      <c r="A506" s="18" t="str">
        <f t="shared" si="26"/>
        <v/>
      </c>
      <c r="F506" s="20" t="str">
        <f t="shared" si="27"/>
        <v/>
      </c>
      <c r="G506" s="18" t="str">
        <f t="shared" si="29"/>
        <v/>
      </c>
      <c r="I506" s="18" t="str">
        <f>IF($B506="","",H506-IF(Ventas!D506="",0,Ventas!D506))</f>
        <v/>
      </c>
      <c r="J506" t="str">
        <f t="shared" si="28"/>
        <v/>
      </c>
    </row>
    <row r="507" spans="1:10" hidden="1" x14ac:dyDescent="0.2">
      <c r="A507" s="18" t="str">
        <f t="shared" si="26"/>
        <v/>
      </c>
      <c r="F507" s="20" t="str">
        <f t="shared" si="27"/>
        <v/>
      </c>
      <c r="G507" s="18" t="str">
        <f t="shared" si="29"/>
        <v/>
      </c>
      <c r="I507" s="18" t="str">
        <f>IF($B507="","",H507-IF(Ventas!D507="",0,Ventas!D507))</f>
        <v/>
      </c>
      <c r="J507" t="str">
        <f t="shared" si="28"/>
        <v/>
      </c>
    </row>
    <row r="508" spans="1:10" hidden="1" x14ac:dyDescent="0.2">
      <c r="A508" s="18" t="str">
        <f t="shared" si="26"/>
        <v/>
      </c>
      <c r="F508" s="20" t="str">
        <f t="shared" si="27"/>
        <v/>
      </c>
      <c r="G508" s="18" t="str">
        <f t="shared" si="29"/>
        <v/>
      </c>
      <c r="I508" s="18" t="str">
        <f>IF($B508="","",H508-IF(Ventas!D508="",0,Ventas!D508))</f>
        <v/>
      </c>
      <c r="J508" t="str">
        <f t="shared" si="28"/>
        <v/>
      </c>
    </row>
    <row r="509" spans="1:10" hidden="1" x14ac:dyDescent="0.2">
      <c r="A509" s="18" t="str">
        <f t="shared" si="26"/>
        <v/>
      </c>
      <c r="F509" s="20" t="str">
        <f t="shared" si="27"/>
        <v/>
      </c>
      <c r="G509" s="18" t="str">
        <f t="shared" si="29"/>
        <v/>
      </c>
      <c r="I509" s="18" t="str">
        <f>IF($B509="","",H509-IF(Ventas!D509="",0,Ventas!D509))</f>
        <v/>
      </c>
      <c r="J509" t="str">
        <f t="shared" si="28"/>
        <v/>
      </c>
    </row>
    <row r="510" spans="1:10" hidden="1" x14ac:dyDescent="0.2">
      <c r="A510" s="18" t="str">
        <f t="shared" si="26"/>
        <v/>
      </c>
      <c r="F510" s="20" t="str">
        <f t="shared" si="27"/>
        <v/>
      </c>
      <c r="G510" s="18" t="str">
        <f t="shared" si="29"/>
        <v/>
      </c>
      <c r="I510" s="18" t="str">
        <f>IF($B510="","",H510-IF(Ventas!D510="",0,Ventas!D510))</f>
        <v/>
      </c>
      <c r="J510" t="str">
        <f t="shared" si="28"/>
        <v/>
      </c>
    </row>
    <row r="511" spans="1:10" hidden="1" x14ac:dyDescent="0.2">
      <c r="A511" s="18" t="str">
        <f t="shared" si="26"/>
        <v/>
      </c>
      <c r="F511" s="20" t="str">
        <f t="shared" si="27"/>
        <v/>
      </c>
      <c r="G511" s="18" t="str">
        <f t="shared" si="29"/>
        <v/>
      </c>
      <c r="I511" s="18" t="str">
        <f>IF($B511="","",H511-IF(Ventas!D511="",0,Ventas!D511))</f>
        <v/>
      </c>
      <c r="J511" t="str">
        <f t="shared" si="28"/>
        <v/>
      </c>
    </row>
    <row r="512" spans="1:10" hidden="1" x14ac:dyDescent="0.2">
      <c r="A512" s="18" t="str">
        <f t="shared" si="26"/>
        <v/>
      </c>
      <c r="F512" s="20" t="str">
        <f t="shared" si="27"/>
        <v/>
      </c>
      <c r="G512" s="18" t="str">
        <f t="shared" si="29"/>
        <v/>
      </c>
      <c r="I512" s="18" t="str">
        <f>IF($B512="","",H512-IF(Ventas!D512="",0,Ventas!D512))</f>
        <v/>
      </c>
      <c r="J512" t="str">
        <f t="shared" si="28"/>
        <v/>
      </c>
    </row>
    <row r="513" spans="1:10" hidden="1" x14ac:dyDescent="0.2">
      <c r="A513" s="18" t="str">
        <f t="shared" si="26"/>
        <v/>
      </c>
      <c r="F513" s="20" t="str">
        <f t="shared" si="27"/>
        <v/>
      </c>
      <c r="G513" s="18" t="str">
        <f t="shared" si="29"/>
        <v/>
      </c>
      <c r="I513" s="18" t="str">
        <f>IF($B513="","",H513-IF(Ventas!D513="",0,Ventas!D513))</f>
        <v/>
      </c>
      <c r="J513" t="str">
        <f t="shared" si="28"/>
        <v/>
      </c>
    </row>
    <row r="514" spans="1:10" hidden="1" x14ac:dyDescent="0.2">
      <c r="A514" s="18" t="str">
        <f t="shared" si="26"/>
        <v/>
      </c>
      <c r="F514" s="20" t="str">
        <f t="shared" si="27"/>
        <v/>
      </c>
      <c r="G514" s="18" t="str">
        <f t="shared" si="29"/>
        <v/>
      </c>
      <c r="I514" s="18" t="str">
        <f>IF($B514="","",H514-IF(Ventas!D514="",0,Ventas!D514))</f>
        <v/>
      </c>
      <c r="J514" t="str">
        <f t="shared" si="28"/>
        <v/>
      </c>
    </row>
    <row r="515" spans="1:10" hidden="1" x14ac:dyDescent="0.2">
      <c r="A515" s="18" t="str">
        <f t="shared" ref="A515:A578" si="30">IF(B515="","","P"&amp;TEXT(ROW()-1,"000"))</f>
        <v/>
      </c>
      <c r="F515" s="20" t="str">
        <f t="shared" ref="F515:F578" si="31">IF(OR(E515="",D515="",D515=0),"",E515/D515)</f>
        <v/>
      </c>
      <c r="G515" s="18" t="str">
        <f t="shared" si="29"/>
        <v/>
      </c>
      <c r="I515" s="18" t="str">
        <f>IF($B515="","",H515-IF(Ventas!D515="",0,Ventas!D515))</f>
        <v/>
      </c>
      <c r="J515" t="str">
        <f t="shared" ref="J515:J578" si="32">IF($B515="","",IF(N(I515)=0,"Agotado","Activo"))</f>
        <v/>
      </c>
    </row>
    <row r="516" spans="1:10" hidden="1" x14ac:dyDescent="0.2">
      <c r="A516" s="18" t="str">
        <f t="shared" si="30"/>
        <v/>
      </c>
      <c r="F516" s="20" t="str">
        <f t="shared" si="31"/>
        <v/>
      </c>
      <c r="G516" s="18" t="str">
        <f t="shared" si="29"/>
        <v/>
      </c>
      <c r="I516" s="18" t="str">
        <f>IF($B516="","",H516-IF(Ventas!D516="",0,Ventas!D516))</f>
        <v/>
      </c>
      <c r="J516" t="str">
        <f t="shared" si="32"/>
        <v/>
      </c>
    </row>
    <row r="517" spans="1:10" hidden="1" x14ac:dyDescent="0.2">
      <c r="A517" s="18" t="str">
        <f t="shared" si="30"/>
        <v/>
      </c>
      <c r="F517" s="20" t="str">
        <f t="shared" si="31"/>
        <v/>
      </c>
      <c r="G517" s="18" t="str">
        <f t="shared" si="29"/>
        <v/>
      </c>
      <c r="I517" s="18" t="str">
        <f>IF($B517="","",H517-IF(Ventas!D517="",0,Ventas!D517))</f>
        <v/>
      </c>
      <c r="J517" t="str">
        <f t="shared" si="32"/>
        <v/>
      </c>
    </row>
    <row r="518" spans="1:10" hidden="1" x14ac:dyDescent="0.2">
      <c r="A518" s="18" t="str">
        <f t="shared" si="30"/>
        <v/>
      </c>
      <c r="F518" s="20" t="str">
        <f t="shared" si="31"/>
        <v/>
      </c>
      <c r="G518" s="18" t="str">
        <f t="shared" ref="G518:G581" si="33">IF(F518="","",ROUND(F518*1.33,0))</f>
        <v/>
      </c>
      <c r="I518" s="18" t="str">
        <f>IF($B518="","",H518-IF(Ventas!D518="",0,Ventas!D518))</f>
        <v/>
      </c>
      <c r="J518" t="str">
        <f t="shared" si="32"/>
        <v/>
      </c>
    </row>
    <row r="519" spans="1:10" hidden="1" x14ac:dyDescent="0.2">
      <c r="A519" s="18" t="str">
        <f t="shared" si="30"/>
        <v/>
      </c>
      <c r="F519" s="20" t="str">
        <f t="shared" si="31"/>
        <v/>
      </c>
      <c r="G519" s="18" t="str">
        <f t="shared" si="33"/>
        <v/>
      </c>
      <c r="I519" s="18" t="str">
        <f>IF($B519="","",H519-IF(Ventas!D519="",0,Ventas!D519))</f>
        <v/>
      </c>
      <c r="J519" t="str">
        <f t="shared" si="32"/>
        <v/>
      </c>
    </row>
    <row r="520" spans="1:10" hidden="1" x14ac:dyDescent="0.2">
      <c r="A520" s="18" t="str">
        <f t="shared" si="30"/>
        <v/>
      </c>
      <c r="F520" s="20" t="str">
        <f t="shared" si="31"/>
        <v/>
      </c>
      <c r="G520" s="18" t="str">
        <f t="shared" si="33"/>
        <v/>
      </c>
      <c r="I520" s="18" t="str">
        <f>IF($B520="","",H520-IF(Ventas!D520="",0,Ventas!D520))</f>
        <v/>
      </c>
      <c r="J520" t="str">
        <f t="shared" si="32"/>
        <v/>
      </c>
    </row>
    <row r="521" spans="1:10" hidden="1" x14ac:dyDescent="0.2">
      <c r="A521" s="18" t="str">
        <f t="shared" si="30"/>
        <v/>
      </c>
      <c r="F521" s="20" t="str">
        <f t="shared" si="31"/>
        <v/>
      </c>
      <c r="G521" s="18" t="str">
        <f t="shared" si="33"/>
        <v/>
      </c>
      <c r="I521" s="18" t="str">
        <f>IF($B521="","",H521-IF(Ventas!D521="",0,Ventas!D521))</f>
        <v/>
      </c>
      <c r="J521" t="str">
        <f t="shared" si="32"/>
        <v/>
      </c>
    </row>
    <row r="522" spans="1:10" hidden="1" x14ac:dyDescent="0.2">
      <c r="A522" s="18" t="str">
        <f t="shared" si="30"/>
        <v/>
      </c>
      <c r="F522" s="20" t="str">
        <f t="shared" si="31"/>
        <v/>
      </c>
      <c r="G522" s="18" t="str">
        <f t="shared" si="33"/>
        <v/>
      </c>
      <c r="I522" s="18" t="str">
        <f>IF($B522="","",H522-IF(Ventas!D522="",0,Ventas!D522))</f>
        <v/>
      </c>
      <c r="J522" t="str">
        <f t="shared" si="32"/>
        <v/>
      </c>
    </row>
    <row r="523" spans="1:10" hidden="1" x14ac:dyDescent="0.2">
      <c r="A523" s="18" t="str">
        <f t="shared" si="30"/>
        <v/>
      </c>
      <c r="F523" s="20" t="str">
        <f t="shared" si="31"/>
        <v/>
      </c>
      <c r="G523" s="18" t="str">
        <f t="shared" si="33"/>
        <v/>
      </c>
      <c r="I523" s="18" t="str">
        <f>IF($B523="","",H523-IF(Ventas!D523="",0,Ventas!D523))</f>
        <v/>
      </c>
      <c r="J523" t="str">
        <f t="shared" si="32"/>
        <v/>
      </c>
    </row>
    <row r="524" spans="1:10" hidden="1" x14ac:dyDescent="0.2">
      <c r="A524" s="18" t="str">
        <f t="shared" si="30"/>
        <v/>
      </c>
      <c r="F524" s="20" t="str">
        <f t="shared" si="31"/>
        <v/>
      </c>
      <c r="G524" s="18" t="str">
        <f t="shared" si="33"/>
        <v/>
      </c>
      <c r="I524" s="18" t="str">
        <f>IF($B524="","",H524-IF(Ventas!D524="",0,Ventas!D524))</f>
        <v/>
      </c>
      <c r="J524" t="str">
        <f t="shared" si="32"/>
        <v/>
      </c>
    </row>
    <row r="525" spans="1:10" hidden="1" x14ac:dyDescent="0.2">
      <c r="A525" s="18" t="str">
        <f t="shared" si="30"/>
        <v/>
      </c>
      <c r="F525" s="20" t="str">
        <f t="shared" si="31"/>
        <v/>
      </c>
      <c r="G525" s="18" t="str">
        <f t="shared" si="33"/>
        <v/>
      </c>
      <c r="I525" s="18" t="str">
        <f>IF($B525="","",H525-IF(Ventas!D525="",0,Ventas!D525))</f>
        <v/>
      </c>
      <c r="J525" t="str">
        <f t="shared" si="32"/>
        <v/>
      </c>
    </row>
    <row r="526" spans="1:10" hidden="1" x14ac:dyDescent="0.2">
      <c r="A526" s="18" t="str">
        <f t="shared" si="30"/>
        <v/>
      </c>
      <c r="F526" s="20" t="str">
        <f t="shared" si="31"/>
        <v/>
      </c>
      <c r="G526" s="18" t="str">
        <f t="shared" si="33"/>
        <v/>
      </c>
      <c r="I526" s="18" t="str">
        <f>IF($B526="","",H526-IF(Ventas!D526="",0,Ventas!D526))</f>
        <v/>
      </c>
      <c r="J526" t="str">
        <f t="shared" si="32"/>
        <v/>
      </c>
    </row>
    <row r="527" spans="1:10" hidden="1" x14ac:dyDescent="0.2">
      <c r="A527" s="18" t="str">
        <f t="shared" si="30"/>
        <v/>
      </c>
      <c r="F527" s="20" t="str">
        <f t="shared" si="31"/>
        <v/>
      </c>
      <c r="G527" s="18" t="str">
        <f t="shared" si="33"/>
        <v/>
      </c>
      <c r="I527" s="18" t="str">
        <f>IF($B527="","",H527-IF(Ventas!D527="",0,Ventas!D527))</f>
        <v/>
      </c>
      <c r="J527" t="str">
        <f t="shared" si="32"/>
        <v/>
      </c>
    </row>
    <row r="528" spans="1:10" hidden="1" x14ac:dyDescent="0.2">
      <c r="A528" s="18" t="str">
        <f t="shared" si="30"/>
        <v/>
      </c>
      <c r="F528" s="20" t="str">
        <f t="shared" si="31"/>
        <v/>
      </c>
      <c r="G528" s="18" t="str">
        <f t="shared" si="33"/>
        <v/>
      </c>
      <c r="I528" s="18" t="str">
        <f>IF($B528="","",H528-IF(Ventas!D528="",0,Ventas!D528))</f>
        <v/>
      </c>
      <c r="J528" t="str">
        <f t="shared" si="32"/>
        <v/>
      </c>
    </row>
    <row r="529" spans="1:10" hidden="1" x14ac:dyDescent="0.2">
      <c r="A529" s="18" t="str">
        <f t="shared" si="30"/>
        <v/>
      </c>
      <c r="F529" s="20" t="str">
        <f t="shared" si="31"/>
        <v/>
      </c>
      <c r="G529" s="18" t="str">
        <f t="shared" si="33"/>
        <v/>
      </c>
      <c r="I529" s="18" t="str">
        <f>IF($B529="","",H529-IF(Ventas!D529="",0,Ventas!D529))</f>
        <v/>
      </c>
      <c r="J529" t="str">
        <f t="shared" si="32"/>
        <v/>
      </c>
    </row>
    <row r="530" spans="1:10" hidden="1" x14ac:dyDescent="0.2">
      <c r="A530" s="18" t="str">
        <f t="shared" si="30"/>
        <v/>
      </c>
      <c r="F530" s="20" t="str">
        <f t="shared" si="31"/>
        <v/>
      </c>
      <c r="G530" s="18" t="str">
        <f t="shared" si="33"/>
        <v/>
      </c>
      <c r="I530" s="18" t="str">
        <f>IF($B530="","",H530-IF(Ventas!D530="",0,Ventas!D530))</f>
        <v/>
      </c>
      <c r="J530" t="str">
        <f t="shared" si="32"/>
        <v/>
      </c>
    </row>
    <row r="531" spans="1:10" hidden="1" x14ac:dyDescent="0.2">
      <c r="A531" s="18" t="str">
        <f t="shared" si="30"/>
        <v/>
      </c>
      <c r="F531" s="20" t="str">
        <f t="shared" si="31"/>
        <v/>
      </c>
      <c r="G531" s="18" t="str">
        <f t="shared" si="33"/>
        <v/>
      </c>
      <c r="I531" s="18" t="str">
        <f>IF($B531="","",H531-IF(Ventas!D531="",0,Ventas!D531))</f>
        <v/>
      </c>
      <c r="J531" t="str">
        <f t="shared" si="32"/>
        <v/>
      </c>
    </row>
    <row r="532" spans="1:10" hidden="1" x14ac:dyDescent="0.2">
      <c r="A532" s="18" t="str">
        <f t="shared" si="30"/>
        <v/>
      </c>
      <c r="F532" s="20" t="str">
        <f t="shared" si="31"/>
        <v/>
      </c>
      <c r="G532" s="18" t="str">
        <f t="shared" si="33"/>
        <v/>
      </c>
      <c r="I532" s="18" t="str">
        <f>IF($B532="","",H532-IF(Ventas!D532="",0,Ventas!D532))</f>
        <v/>
      </c>
      <c r="J532" t="str">
        <f t="shared" si="32"/>
        <v/>
      </c>
    </row>
    <row r="533" spans="1:10" hidden="1" x14ac:dyDescent="0.2">
      <c r="A533" s="18" t="str">
        <f t="shared" si="30"/>
        <v/>
      </c>
      <c r="F533" s="20" t="str">
        <f t="shared" si="31"/>
        <v/>
      </c>
      <c r="G533" s="18" t="str">
        <f t="shared" si="33"/>
        <v/>
      </c>
      <c r="I533" s="18" t="str">
        <f>IF($B533="","",H533-IF(Ventas!D533="",0,Ventas!D533))</f>
        <v/>
      </c>
      <c r="J533" t="str">
        <f t="shared" si="32"/>
        <v/>
      </c>
    </row>
    <row r="534" spans="1:10" hidden="1" x14ac:dyDescent="0.2">
      <c r="A534" s="18" t="str">
        <f t="shared" si="30"/>
        <v/>
      </c>
      <c r="F534" s="20" t="str">
        <f t="shared" si="31"/>
        <v/>
      </c>
      <c r="G534" s="18" t="str">
        <f t="shared" si="33"/>
        <v/>
      </c>
      <c r="I534" s="18" t="str">
        <f>IF($B534="","",H534-IF(Ventas!D534="",0,Ventas!D534))</f>
        <v/>
      </c>
      <c r="J534" t="str">
        <f t="shared" si="32"/>
        <v/>
      </c>
    </row>
    <row r="535" spans="1:10" hidden="1" x14ac:dyDescent="0.2">
      <c r="A535" s="18" t="str">
        <f t="shared" si="30"/>
        <v/>
      </c>
      <c r="F535" s="20" t="str">
        <f t="shared" si="31"/>
        <v/>
      </c>
      <c r="G535" s="18" t="str">
        <f t="shared" si="33"/>
        <v/>
      </c>
      <c r="I535" s="18" t="str">
        <f>IF($B535="","",H535-IF(Ventas!D535="",0,Ventas!D535))</f>
        <v/>
      </c>
      <c r="J535" t="str">
        <f t="shared" si="32"/>
        <v/>
      </c>
    </row>
    <row r="536" spans="1:10" hidden="1" x14ac:dyDescent="0.2">
      <c r="A536" s="18" t="str">
        <f t="shared" si="30"/>
        <v/>
      </c>
      <c r="F536" s="20" t="str">
        <f t="shared" si="31"/>
        <v/>
      </c>
      <c r="G536" s="18" t="str">
        <f t="shared" si="33"/>
        <v/>
      </c>
      <c r="I536" s="18" t="str">
        <f>IF($B536="","",H536-IF(Ventas!D536="",0,Ventas!D536))</f>
        <v/>
      </c>
      <c r="J536" t="str">
        <f t="shared" si="32"/>
        <v/>
      </c>
    </row>
    <row r="537" spans="1:10" hidden="1" x14ac:dyDescent="0.2">
      <c r="A537" s="18" t="str">
        <f t="shared" si="30"/>
        <v/>
      </c>
      <c r="F537" s="20" t="str">
        <f t="shared" si="31"/>
        <v/>
      </c>
      <c r="G537" s="18" t="str">
        <f t="shared" si="33"/>
        <v/>
      </c>
      <c r="I537" s="18" t="str">
        <f>IF($B537="","",H537-IF(Ventas!D537="",0,Ventas!D537))</f>
        <v/>
      </c>
      <c r="J537" t="str">
        <f t="shared" si="32"/>
        <v/>
      </c>
    </row>
    <row r="538" spans="1:10" hidden="1" x14ac:dyDescent="0.2">
      <c r="A538" s="18" t="str">
        <f t="shared" si="30"/>
        <v/>
      </c>
      <c r="F538" s="20" t="str">
        <f t="shared" si="31"/>
        <v/>
      </c>
      <c r="G538" s="18" t="str">
        <f t="shared" si="33"/>
        <v/>
      </c>
      <c r="I538" s="18" t="str">
        <f>IF($B538="","",H538-IF(Ventas!D538="",0,Ventas!D538))</f>
        <v/>
      </c>
      <c r="J538" t="str">
        <f t="shared" si="32"/>
        <v/>
      </c>
    </row>
    <row r="539" spans="1:10" hidden="1" x14ac:dyDescent="0.2">
      <c r="A539" s="18" t="str">
        <f t="shared" si="30"/>
        <v/>
      </c>
      <c r="F539" s="20" t="str">
        <f t="shared" si="31"/>
        <v/>
      </c>
      <c r="G539" s="18" t="str">
        <f t="shared" si="33"/>
        <v/>
      </c>
      <c r="I539" s="18" t="str">
        <f>IF($B539="","",H539-IF(Ventas!D539="",0,Ventas!D539))</f>
        <v/>
      </c>
      <c r="J539" t="str">
        <f t="shared" si="32"/>
        <v/>
      </c>
    </row>
    <row r="540" spans="1:10" hidden="1" x14ac:dyDescent="0.2">
      <c r="A540" s="18" t="str">
        <f t="shared" si="30"/>
        <v/>
      </c>
      <c r="F540" s="20" t="str">
        <f t="shared" si="31"/>
        <v/>
      </c>
      <c r="G540" s="18" t="str">
        <f t="shared" si="33"/>
        <v/>
      </c>
      <c r="I540" s="18" t="str">
        <f>IF($B540="","",H540-IF(Ventas!D540="",0,Ventas!D540))</f>
        <v/>
      </c>
      <c r="J540" t="str">
        <f t="shared" si="32"/>
        <v/>
      </c>
    </row>
    <row r="541" spans="1:10" hidden="1" x14ac:dyDescent="0.2">
      <c r="A541" s="18" t="str">
        <f t="shared" si="30"/>
        <v/>
      </c>
      <c r="F541" s="20" t="str">
        <f t="shared" si="31"/>
        <v/>
      </c>
      <c r="G541" s="18" t="str">
        <f t="shared" si="33"/>
        <v/>
      </c>
      <c r="I541" s="18" t="str">
        <f>IF($B541="","",H541-IF(Ventas!D541="",0,Ventas!D541))</f>
        <v/>
      </c>
      <c r="J541" t="str">
        <f t="shared" si="32"/>
        <v/>
      </c>
    </row>
    <row r="542" spans="1:10" hidden="1" x14ac:dyDescent="0.2">
      <c r="A542" s="18" t="str">
        <f t="shared" si="30"/>
        <v/>
      </c>
      <c r="F542" s="20" t="str">
        <f t="shared" si="31"/>
        <v/>
      </c>
      <c r="G542" s="18" t="str">
        <f t="shared" si="33"/>
        <v/>
      </c>
      <c r="I542" s="18" t="str">
        <f>IF($B542="","",H542-IF(Ventas!D542="",0,Ventas!D542))</f>
        <v/>
      </c>
      <c r="J542" t="str">
        <f t="shared" si="32"/>
        <v/>
      </c>
    </row>
    <row r="543" spans="1:10" hidden="1" x14ac:dyDescent="0.2">
      <c r="A543" s="18" t="str">
        <f t="shared" si="30"/>
        <v/>
      </c>
      <c r="F543" s="20" t="str">
        <f t="shared" si="31"/>
        <v/>
      </c>
      <c r="G543" s="18" t="str">
        <f t="shared" si="33"/>
        <v/>
      </c>
      <c r="I543" s="18" t="str">
        <f>IF($B543="","",H543-IF(Ventas!D543="",0,Ventas!D543))</f>
        <v/>
      </c>
      <c r="J543" t="str">
        <f t="shared" si="32"/>
        <v/>
      </c>
    </row>
    <row r="544" spans="1:10" hidden="1" x14ac:dyDescent="0.2">
      <c r="A544" s="18" t="str">
        <f t="shared" si="30"/>
        <v/>
      </c>
      <c r="F544" s="20" t="str">
        <f t="shared" si="31"/>
        <v/>
      </c>
      <c r="G544" s="18" t="str">
        <f t="shared" si="33"/>
        <v/>
      </c>
      <c r="I544" s="18" t="str">
        <f>IF($B544="","",H544-IF(Ventas!D544="",0,Ventas!D544))</f>
        <v/>
      </c>
      <c r="J544" t="str">
        <f t="shared" si="32"/>
        <v/>
      </c>
    </row>
    <row r="545" spans="1:10" hidden="1" x14ac:dyDescent="0.2">
      <c r="A545" s="18" t="str">
        <f t="shared" si="30"/>
        <v/>
      </c>
      <c r="F545" s="20" t="str">
        <f t="shared" si="31"/>
        <v/>
      </c>
      <c r="G545" s="18" t="str">
        <f t="shared" si="33"/>
        <v/>
      </c>
      <c r="I545" s="18" t="str">
        <f>IF($B545="","",H545-IF(Ventas!D545="",0,Ventas!D545))</f>
        <v/>
      </c>
      <c r="J545" t="str">
        <f t="shared" si="32"/>
        <v/>
      </c>
    </row>
    <row r="546" spans="1:10" hidden="1" x14ac:dyDescent="0.2">
      <c r="A546" s="18" t="str">
        <f t="shared" si="30"/>
        <v/>
      </c>
      <c r="F546" s="20" t="str">
        <f t="shared" si="31"/>
        <v/>
      </c>
      <c r="G546" s="18" t="str">
        <f t="shared" si="33"/>
        <v/>
      </c>
      <c r="I546" s="18" t="str">
        <f>IF($B546="","",H546-IF(Ventas!D546="",0,Ventas!D546))</f>
        <v/>
      </c>
      <c r="J546" t="str">
        <f t="shared" si="32"/>
        <v/>
      </c>
    </row>
    <row r="547" spans="1:10" hidden="1" x14ac:dyDescent="0.2">
      <c r="A547" s="18" t="str">
        <f t="shared" si="30"/>
        <v/>
      </c>
      <c r="F547" s="20" t="str">
        <f t="shared" si="31"/>
        <v/>
      </c>
      <c r="G547" s="18" t="str">
        <f t="shared" si="33"/>
        <v/>
      </c>
      <c r="I547" s="18" t="str">
        <f>IF($B547="","",H547-IF(Ventas!D547="",0,Ventas!D547))</f>
        <v/>
      </c>
      <c r="J547" t="str">
        <f t="shared" si="32"/>
        <v/>
      </c>
    </row>
    <row r="548" spans="1:10" hidden="1" x14ac:dyDescent="0.2">
      <c r="A548" s="18" t="str">
        <f t="shared" si="30"/>
        <v/>
      </c>
      <c r="F548" s="20" t="str">
        <f t="shared" si="31"/>
        <v/>
      </c>
      <c r="G548" s="18" t="str">
        <f t="shared" si="33"/>
        <v/>
      </c>
      <c r="I548" s="18" t="str">
        <f>IF($B548="","",H548-IF(Ventas!D548="",0,Ventas!D548))</f>
        <v/>
      </c>
      <c r="J548" t="str">
        <f t="shared" si="32"/>
        <v/>
      </c>
    </row>
    <row r="549" spans="1:10" hidden="1" x14ac:dyDescent="0.2">
      <c r="A549" s="18" t="str">
        <f t="shared" si="30"/>
        <v/>
      </c>
      <c r="F549" s="20" t="str">
        <f t="shared" si="31"/>
        <v/>
      </c>
      <c r="G549" s="18" t="str">
        <f t="shared" si="33"/>
        <v/>
      </c>
      <c r="I549" s="18" t="str">
        <f>IF($B549="","",H549-IF(Ventas!D549="",0,Ventas!D549))</f>
        <v/>
      </c>
      <c r="J549" t="str">
        <f t="shared" si="32"/>
        <v/>
      </c>
    </row>
    <row r="550" spans="1:10" hidden="1" x14ac:dyDescent="0.2">
      <c r="A550" s="18" t="str">
        <f t="shared" si="30"/>
        <v/>
      </c>
      <c r="F550" s="20" t="str">
        <f t="shared" si="31"/>
        <v/>
      </c>
      <c r="G550" s="18" t="str">
        <f t="shared" si="33"/>
        <v/>
      </c>
      <c r="I550" s="18" t="str">
        <f>IF($B550="","",H550-IF(Ventas!D550="",0,Ventas!D550))</f>
        <v/>
      </c>
      <c r="J550" t="str">
        <f t="shared" si="32"/>
        <v/>
      </c>
    </row>
    <row r="551" spans="1:10" hidden="1" x14ac:dyDescent="0.2">
      <c r="A551" s="18" t="str">
        <f t="shared" si="30"/>
        <v/>
      </c>
      <c r="F551" s="20" t="str">
        <f t="shared" si="31"/>
        <v/>
      </c>
      <c r="G551" s="18" t="str">
        <f t="shared" si="33"/>
        <v/>
      </c>
      <c r="I551" s="18" t="str">
        <f>IF($B551="","",H551-IF(Ventas!D551="",0,Ventas!D551))</f>
        <v/>
      </c>
      <c r="J551" t="str">
        <f t="shared" si="32"/>
        <v/>
      </c>
    </row>
    <row r="552" spans="1:10" hidden="1" x14ac:dyDescent="0.2">
      <c r="A552" s="18" t="str">
        <f t="shared" si="30"/>
        <v/>
      </c>
      <c r="F552" s="20" t="str">
        <f t="shared" si="31"/>
        <v/>
      </c>
      <c r="G552" s="18" t="str">
        <f t="shared" si="33"/>
        <v/>
      </c>
      <c r="I552" s="18" t="str">
        <f>IF($B552="","",H552-IF(Ventas!D552="",0,Ventas!D552))</f>
        <v/>
      </c>
      <c r="J552" t="str">
        <f t="shared" si="32"/>
        <v/>
      </c>
    </row>
    <row r="553" spans="1:10" hidden="1" x14ac:dyDescent="0.2">
      <c r="A553" s="18" t="str">
        <f t="shared" si="30"/>
        <v/>
      </c>
      <c r="F553" s="20" t="str">
        <f t="shared" si="31"/>
        <v/>
      </c>
      <c r="G553" s="18" t="str">
        <f t="shared" si="33"/>
        <v/>
      </c>
      <c r="I553" s="18" t="str">
        <f>IF($B553="","",H553-IF(Ventas!D553="",0,Ventas!D553))</f>
        <v/>
      </c>
      <c r="J553" t="str">
        <f t="shared" si="32"/>
        <v/>
      </c>
    </row>
    <row r="554" spans="1:10" hidden="1" x14ac:dyDescent="0.2">
      <c r="A554" s="18" t="str">
        <f t="shared" si="30"/>
        <v/>
      </c>
      <c r="F554" s="20" t="str">
        <f t="shared" si="31"/>
        <v/>
      </c>
      <c r="G554" s="18" t="str">
        <f t="shared" si="33"/>
        <v/>
      </c>
      <c r="I554" s="18" t="str">
        <f>IF($B554="","",H554-IF(Ventas!D554="",0,Ventas!D554))</f>
        <v/>
      </c>
      <c r="J554" t="str">
        <f t="shared" si="32"/>
        <v/>
      </c>
    </row>
    <row r="555" spans="1:10" hidden="1" x14ac:dyDescent="0.2">
      <c r="A555" s="18" t="str">
        <f t="shared" si="30"/>
        <v/>
      </c>
      <c r="F555" s="20" t="str">
        <f t="shared" si="31"/>
        <v/>
      </c>
      <c r="G555" s="18" t="str">
        <f t="shared" si="33"/>
        <v/>
      </c>
      <c r="I555" s="18" t="str">
        <f>IF($B555="","",H555-IF(Ventas!D555="",0,Ventas!D555))</f>
        <v/>
      </c>
      <c r="J555" t="str">
        <f t="shared" si="32"/>
        <v/>
      </c>
    </row>
    <row r="556" spans="1:10" hidden="1" x14ac:dyDescent="0.2">
      <c r="A556" s="18" t="str">
        <f t="shared" si="30"/>
        <v/>
      </c>
      <c r="F556" s="20" t="str">
        <f t="shared" si="31"/>
        <v/>
      </c>
      <c r="G556" s="18" t="str">
        <f t="shared" si="33"/>
        <v/>
      </c>
      <c r="I556" s="18" t="str">
        <f>IF($B556="","",H556-IF(Ventas!D556="",0,Ventas!D556))</f>
        <v/>
      </c>
      <c r="J556" t="str">
        <f t="shared" si="32"/>
        <v/>
      </c>
    </row>
    <row r="557" spans="1:10" hidden="1" x14ac:dyDescent="0.2">
      <c r="A557" s="18" t="str">
        <f t="shared" si="30"/>
        <v/>
      </c>
      <c r="F557" s="20" t="str">
        <f t="shared" si="31"/>
        <v/>
      </c>
      <c r="G557" s="18" t="str">
        <f t="shared" si="33"/>
        <v/>
      </c>
      <c r="I557" s="18" t="str">
        <f>IF($B557="","",H557-IF(Ventas!D557="",0,Ventas!D557))</f>
        <v/>
      </c>
      <c r="J557" t="str">
        <f t="shared" si="32"/>
        <v/>
      </c>
    </row>
    <row r="558" spans="1:10" hidden="1" x14ac:dyDescent="0.2">
      <c r="A558" s="18" t="str">
        <f t="shared" si="30"/>
        <v/>
      </c>
      <c r="F558" s="20" t="str">
        <f t="shared" si="31"/>
        <v/>
      </c>
      <c r="G558" s="18" t="str">
        <f t="shared" si="33"/>
        <v/>
      </c>
      <c r="I558" s="18" t="str">
        <f>IF($B558="","",H558-IF(Ventas!D558="",0,Ventas!D558))</f>
        <v/>
      </c>
      <c r="J558" t="str">
        <f t="shared" si="32"/>
        <v/>
      </c>
    </row>
    <row r="559" spans="1:10" hidden="1" x14ac:dyDescent="0.2">
      <c r="A559" s="18" t="str">
        <f t="shared" si="30"/>
        <v/>
      </c>
      <c r="F559" s="20" t="str">
        <f t="shared" si="31"/>
        <v/>
      </c>
      <c r="G559" s="18" t="str">
        <f t="shared" si="33"/>
        <v/>
      </c>
      <c r="I559" s="18" t="str">
        <f>IF($B559="","",H559-IF(Ventas!D559="",0,Ventas!D559))</f>
        <v/>
      </c>
      <c r="J559" t="str">
        <f t="shared" si="32"/>
        <v/>
      </c>
    </row>
    <row r="560" spans="1:10" hidden="1" x14ac:dyDescent="0.2">
      <c r="A560" s="18" t="str">
        <f t="shared" si="30"/>
        <v/>
      </c>
      <c r="F560" s="20" t="str">
        <f t="shared" si="31"/>
        <v/>
      </c>
      <c r="G560" s="18" t="str">
        <f t="shared" si="33"/>
        <v/>
      </c>
      <c r="I560" s="18" t="str">
        <f>IF($B560="","",H560-IF(Ventas!D560="",0,Ventas!D560))</f>
        <v/>
      </c>
      <c r="J560" t="str">
        <f t="shared" si="32"/>
        <v/>
      </c>
    </row>
    <row r="561" spans="1:10" hidden="1" x14ac:dyDescent="0.2">
      <c r="A561" s="18" t="str">
        <f t="shared" si="30"/>
        <v/>
      </c>
      <c r="F561" s="20" t="str">
        <f t="shared" si="31"/>
        <v/>
      </c>
      <c r="G561" s="18" t="str">
        <f t="shared" si="33"/>
        <v/>
      </c>
      <c r="I561" s="18" t="str">
        <f>IF($B561="","",H561-IF(Ventas!D561="",0,Ventas!D561))</f>
        <v/>
      </c>
      <c r="J561" t="str">
        <f t="shared" si="32"/>
        <v/>
      </c>
    </row>
    <row r="562" spans="1:10" hidden="1" x14ac:dyDescent="0.2">
      <c r="A562" s="18" t="str">
        <f t="shared" si="30"/>
        <v/>
      </c>
      <c r="F562" s="20" t="str">
        <f t="shared" si="31"/>
        <v/>
      </c>
      <c r="G562" s="18" t="str">
        <f t="shared" si="33"/>
        <v/>
      </c>
      <c r="I562" s="18" t="str">
        <f>IF($B562="","",H562-IF(Ventas!D562="",0,Ventas!D562))</f>
        <v/>
      </c>
      <c r="J562" t="str">
        <f t="shared" si="32"/>
        <v/>
      </c>
    </row>
    <row r="563" spans="1:10" hidden="1" x14ac:dyDescent="0.2">
      <c r="A563" s="18" t="str">
        <f t="shared" si="30"/>
        <v/>
      </c>
      <c r="F563" s="20" t="str">
        <f t="shared" si="31"/>
        <v/>
      </c>
      <c r="G563" s="18" t="str">
        <f t="shared" si="33"/>
        <v/>
      </c>
      <c r="I563" s="18" t="str">
        <f>IF($B563="","",H563-IF(Ventas!D563="",0,Ventas!D563))</f>
        <v/>
      </c>
      <c r="J563" t="str">
        <f t="shared" si="32"/>
        <v/>
      </c>
    </row>
    <row r="564" spans="1:10" hidden="1" x14ac:dyDescent="0.2">
      <c r="A564" s="18" t="str">
        <f t="shared" si="30"/>
        <v/>
      </c>
      <c r="F564" s="20" t="str">
        <f t="shared" si="31"/>
        <v/>
      </c>
      <c r="G564" s="18" t="str">
        <f t="shared" si="33"/>
        <v/>
      </c>
      <c r="I564" s="18" t="str">
        <f>IF($B564="","",H564-IF(Ventas!D564="",0,Ventas!D564))</f>
        <v/>
      </c>
      <c r="J564" t="str">
        <f t="shared" si="32"/>
        <v/>
      </c>
    </row>
    <row r="565" spans="1:10" hidden="1" x14ac:dyDescent="0.2">
      <c r="A565" s="18" t="str">
        <f t="shared" si="30"/>
        <v/>
      </c>
      <c r="F565" s="20" t="str">
        <f t="shared" si="31"/>
        <v/>
      </c>
      <c r="G565" s="18" t="str">
        <f t="shared" si="33"/>
        <v/>
      </c>
      <c r="I565" s="18" t="str">
        <f>IF($B565="","",H565-IF(Ventas!D565="",0,Ventas!D565))</f>
        <v/>
      </c>
      <c r="J565" t="str">
        <f t="shared" si="32"/>
        <v/>
      </c>
    </row>
    <row r="566" spans="1:10" hidden="1" x14ac:dyDescent="0.2">
      <c r="A566" s="18" t="str">
        <f t="shared" si="30"/>
        <v/>
      </c>
      <c r="F566" s="20" t="str">
        <f t="shared" si="31"/>
        <v/>
      </c>
      <c r="G566" s="18" t="str">
        <f t="shared" si="33"/>
        <v/>
      </c>
      <c r="I566" s="18" t="str">
        <f>IF($B566="","",H566-IF(Ventas!D566="",0,Ventas!D566))</f>
        <v/>
      </c>
      <c r="J566" t="str">
        <f t="shared" si="32"/>
        <v/>
      </c>
    </row>
    <row r="567" spans="1:10" hidden="1" x14ac:dyDescent="0.2">
      <c r="A567" s="18" t="str">
        <f t="shared" si="30"/>
        <v/>
      </c>
      <c r="F567" s="20" t="str">
        <f t="shared" si="31"/>
        <v/>
      </c>
      <c r="G567" s="18" t="str">
        <f t="shared" si="33"/>
        <v/>
      </c>
      <c r="I567" s="18" t="str">
        <f>IF($B567="","",H567-IF(Ventas!D567="",0,Ventas!D567))</f>
        <v/>
      </c>
      <c r="J567" t="str">
        <f t="shared" si="32"/>
        <v/>
      </c>
    </row>
    <row r="568" spans="1:10" hidden="1" x14ac:dyDescent="0.2">
      <c r="A568" s="18" t="str">
        <f t="shared" si="30"/>
        <v/>
      </c>
      <c r="F568" s="20" t="str">
        <f t="shared" si="31"/>
        <v/>
      </c>
      <c r="G568" s="18" t="str">
        <f t="shared" si="33"/>
        <v/>
      </c>
      <c r="I568" s="18" t="str">
        <f>IF($B568="","",H568-IF(Ventas!D568="",0,Ventas!D568))</f>
        <v/>
      </c>
      <c r="J568" t="str">
        <f t="shared" si="32"/>
        <v/>
      </c>
    </row>
    <row r="569" spans="1:10" hidden="1" x14ac:dyDescent="0.2">
      <c r="A569" s="18" t="str">
        <f t="shared" si="30"/>
        <v/>
      </c>
      <c r="F569" s="20" t="str">
        <f t="shared" si="31"/>
        <v/>
      </c>
      <c r="G569" s="18" t="str">
        <f t="shared" si="33"/>
        <v/>
      </c>
      <c r="I569" s="18" t="str">
        <f>IF($B569="","",H569-IF(Ventas!D569="",0,Ventas!D569))</f>
        <v/>
      </c>
      <c r="J569" t="str">
        <f t="shared" si="32"/>
        <v/>
      </c>
    </row>
    <row r="570" spans="1:10" hidden="1" x14ac:dyDescent="0.2">
      <c r="A570" s="18" t="str">
        <f t="shared" si="30"/>
        <v/>
      </c>
      <c r="F570" s="20" t="str">
        <f t="shared" si="31"/>
        <v/>
      </c>
      <c r="G570" s="18" t="str">
        <f t="shared" si="33"/>
        <v/>
      </c>
      <c r="I570" s="18" t="str">
        <f>IF($B570="","",H570-IF(Ventas!D570="",0,Ventas!D570))</f>
        <v/>
      </c>
      <c r="J570" t="str">
        <f t="shared" si="32"/>
        <v/>
      </c>
    </row>
    <row r="571" spans="1:10" hidden="1" x14ac:dyDescent="0.2">
      <c r="A571" s="18" t="str">
        <f t="shared" si="30"/>
        <v/>
      </c>
      <c r="F571" s="20" t="str">
        <f t="shared" si="31"/>
        <v/>
      </c>
      <c r="G571" s="18" t="str">
        <f t="shared" si="33"/>
        <v/>
      </c>
      <c r="I571" s="18" t="str">
        <f>IF($B571="","",H571-IF(Ventas!D571="",0,Ventas!D571))</f>
        <v/>
      </c>
      <c r="J571" t="str">
        <f t="shared" si="32"/>
        <v/>
      </c>
    </row>
    <row r="572" spans="1:10" hidden="1" x14ac:dyDescent="0.2">
      <c r="A572" s="18" t="str">
        <f t="shared" si="30"/>
        <v/>
      </c>
      <c r="F572" s="20" t="str">
        <f t="shared" si="31"/>
        <v/>
      </c>
      <c r="G572" s="18" t="str">
        <f t="shared" si="33"/>
        <v/>
      </c>
      <c r="I572" s="18" t="str">
        <f>IF($B572="","",H572-IF(Ventas!D572="",0,Ventas!D572))</f>
        <v/>
      </c>
      <c r="J572" t="str">
        <f t="shared" si="32"/>
        <v/>
      </c>
    </row>
    <row r="573" spans="1:10" hidden="1" x14ac:dyDescent="0.2">
      <c r="A573" s="18" t="str">
        <f t="shared" si="30"/>
        <v/>
      </c>
      <c r="F573" s="20" t="str">
        <f t="shared" si="31"/>
        <v/>
      </c>
      <c r="G573" s="18" t="str">
        <f t="shared" si="33"/>
        <v/>
      </c>
      <c r="I573" s="18" t="str">
        <f>IF($B573="","",H573-IF(Ventas!D573="",0,Ventas!D573))</f>
        <v/>
      </c>
      <c r="J573" t="str">
        <f t="shared" si="32"/>
        <v/>
      </c>
    </row>
    <row r="574" spans="1:10" hidden="1" x14ac:dyDescent="0.2">
      <c r="A574" s="18" t="str">
        <f t="shared" si="30"/>
        <v/>
      </c>
      <c r="F574" s="20" t="str">
        <f t="shared" si="31"/>
        <v/>
      </c>
      <c r="G574" s="18" t="str">
        <f t="shared" si="33"/>
        <v/>
      </c>
      <c r="I574" s="18" t="str">
        <f>IF($B574="","",H574-IF(Ventas!D574="",0,Ventas!D574))</f>
        <v/>
      </c>
      <c r="J574" t="str">
        <f t="shared" si="32"/>
        <v/>
      </c>
    </row>
    <row r="575" spans="1:10" hidden="1" x14ac:dyDescent="0.2">
      <c r="A575" s="18" t="str">
        <f t="shared" si="30"/>
        <v/>
      </c>
      <c r="F575" s="20" t="str">
        <f t="shared" si="31"/>
        <v/>
      </c>
      <c r="G575" s="18" t="str">
        <f t="shared" si="33"/>
        <v/>
      </c>
      <c r="I575" s="18" t="str">
        <f>IF($B575="","",H575-IF(Ventas!D575="",0,Ventas!D575))</f>
        <v/>
      </c>
      <c r="J575" t="str">
        <f t="shared" si="32"/>
        <v/>
      </c>
    </row>
    <row r="576" spans="1:10" hidden="1" x14ac:dyDescent="0.2">
      <c r="A576" s="18" t="str">
        <f t="shared" si="30"/>
        <v/>
      </c>
      <c r="F576" s="20" t="str">
        <f t="shared" si="31"/>
        <v/>
      </c>
      <c r="G576" s="18" t="str">
        <f t="shared" si="33"/>
        <v/>
      </c>
      <c r="I576" s="18" t="str">
        <f>IF($B576="","",H576-IF(Ventas!D576="",0,Ventas!D576))</f>
        <v/>
      </c>
      <c r="J576" t="str">
        <f t="shared" si="32"/>
        <v/>
      </c>
    </row>
    <row r="577" spans="1:10" hidden="1" x14ac:dyDescent="0.2">
      <c r="A577" s="18" t="str">
        <f t="shared" si="30"/>
        <v/>
      </c>
      <c r="F577" s="20" t="str">
        <f t="shared" si="31"/>
        <v/>
      </c>
      <c r="G577" s="18" t="str">
        <f t="shared" si="33"/>
        <v/>
      </c>
      <c r="I577" s="18" t="str">
        <f>IF($B577="","",H577-IF(Ventas!D577="",0,Ventas!D577))</f>
        <v/>
      </c>
      <c r="J577" t="str">
        <f t="shared" si="32"/>
        <v/>
      </c>
    </row>
    <row r="578" spans="1:10" hidden="1" x14ac:dyDescent="0.2">
      <c r="A578" s="18" t="str">
        <f t="shared" si="30"/>
        <v/>
      </c>
      <c r="F578" s="20" t="str">
        <f t="shared" si="31"/>
        <v/>
      </c>
      <c r="G578" s="18" t="str">
        <f t="shared" si="33"/>
        <v/>
      </c>
      <c r="I578" s="18" t="str">
        <f>IF($B578="","",H578-IF(Ventas!D578="",0,Ventas!D578))</f>
        <v/>
      </c>
      <c r="J578" t="str">
        <f t="shared" si="32"/>
        <v/>
      </c>
    </row>
    <row r="579" spans="1:10" hidden="1" x14ac:dyDescent="0.2">
      <c r="A579" s="18" t="str">
        <f t="shared" ref="A579:A642" si="34">IF(B579="","","P"&amp;TEXT(ROW()-1,"000"))</f>
        <v/>
      </c>
      <c r="F579" s="20" t="str">
        <f t="shared" ref="F579:F642" si="35">IF(OR(E579="",D579="",D579=0),"",E579/D579)</f>
        <v/>
      </c>
      <c r="G579" s="18" t="str">
        <f t="shared" si="33"/>
        <v/>
      </c>
      <c r="I579" s="18" t="str">
        <f>IF($B579="","",H579-IF(Ventas!D579="",0,Ventas!D579))</f>
        <v/>
      </c>
      <c r="J579" t="str">
        <f t="shared" ref="J579:J642" si="36">IF($B579="","",IF(N(I579)=0,"Agotado","Activo"))</f>
        <v/>
      </c>
    </row>
    <row r="580" spans="1:10" hidden="1" x14ac:dyDescent="0.2">
      <c r="A580" s="18" t="str">
        <f t="shared" si="34"/>
        <v/>
      </c>
      <c r="F580" s="20" t="str">
        <f t="shared" si="35"/>
        <v/>
      </c>
      <c r="G580" s="18" t="str">
        <f t="shared" si="33"/>
        <v/>
      </c>
      <c r="I580" s="18" t="str">
        <f>IF($B580="","",H580-IF(Ventas!D580="",0,Ventas!D580))</f>
        <v/>
      </c>
      <c r="J580" t="str">
        <f t="shared" si="36"/>
        <v/>
      </c>
    </row>
    <row r="581" spans="1:10" hidden="1" x14ac:dyDescent="0.2">
      <c r="A581" s="18" t="str">
        <f t="shared" si="34"/>
        <v/>
      </c>
      <c r="F581" s="20" t="str">
        <f t="shared" si="35"/>
        <v/>
      </c>
      <c r="G581" s="18" t="str">
        <f t="shared" si="33"/>
        <v/>
      </c>
      <c r="I581" s="18" t="str">
        <f>IF($B581="","",H581-IF(Ventas!D581="",0,Ventas!D581))</f>
        <v/>
      </c>
      <c r="J581" t="str">
        <f t="shared" si="36"/>
        <v/>
      </c>
    </row>
    <row r="582" spans="1:10" hidden="1" x14ac:dyDescent="0.2">
      <c r="A582" s="18" t="str">
        <f t="shared" si="34"/>
        <v/>
      </c>
      <c r="F582" s="20" t="str">
        <f t="shared" si="35"/>
        <v/>
      </c>
      <c r="G582" s="18" t="str">
        <f t="shared" ref="G582:G645" si="37">IF(F582="","",ROUND(F582*1.33,0))</f>
        <v/>
      </c>
      <c r="I582" s="18" t="str">
        <f>IF($B582="","",H582-IF(Ventas!D582="",0,Ventas!D582))</f>
        <v/>
      </c>
      <c r="J582" t="str">
        <f t="shared" si="36"/>
        <v/>
      </c>
    </row>
    <row r="583" spans="1:10" hidden="1" x14ac:dyDescent="0.2">
      <c r="A583" s="18" t="str">
        <f t="shared" si="34"/>
        <v/>
      </c>
      <c r="F583" s="20" t="str">
        <f t="shared" si="35"/>
        <v/>
      </c>
      <c r="G583" s="18" t="str">
        <f t="shared" si="37"/>
        <v/>
      </c>
      <c r="I583" s="18" t="str">
        <f>IF($B583="","",H583-IF(Ventas!D583="",0,Ventas!D583))</f>
        <v/>
      </c>
      <c r="J583" t="str">
        <f t="shared" si="36"/>
        <v/>
      </c>
    </row>
    <row r="584" spans="1:10" hidden="1" x14ac:dyDescent="0.2">
      <c r="A584" s="18" t="str">
        <f t="shared" si="34"/>
        <v/>
      </c>
      <c r="F584" s="20" t="str">
        <f t="shared" si="35"/>
        <v/>
      </c>
      <c r="G584" s="18" t="str">
        <f t="shared" si="37"/>
        <v/>
      </c>
      <c r="I584" s="18" t="str">
        <f>IF($B584="","",H584-IF(Ventas!D584="",0,Ventas!D584))</f>
        <v/>
      </c>
      <c r="J584" t="str">
        <f t="shared" si="36"/>
        <v/>
      </c>
    </row>
    <row r="585" spans="1:10" hidden="1" x14ac:dyDescent="0.2">
      <c r="A585" s="18" t="str">
        <f t="shared" si="34"/>
        <v/>
      </c>
      <c r="F585" s="20" t="str">
        <f t="shared" si="35"/>
        <v/>
      </c>
      <c r="G585" s="18" t="str">
        <f t="shared" si="37"/>
        <v/>
      </c>
      <c r="I585" s="18" t="str">
        <f>IF($B585="","",H585-IF(Ventas!D585="",0,Ventas!D585))</f>
        <v/>
      </c>
      <c r="J585" t="str">
        <f t="shared" si="36"/>
        <v/>
      </c>
    </row>
    <row r="586" spans="1:10" hidden="1" x14ac:dyDescent="0.2">
      <c r="A586" s="18" t="str">
        <f t="shared" si="34"/>
        <v/>
      </c>
      <c r="F586" s="20" t="str">
        <f t="shared" si="35"/>
        <v/>
      </c>
      <c r="G586" s="18" t="str">
        <f t="shared" si="37"/>
        <v/>
      </c>
      <c r="I586" s="18" t="str">
        <f>IF($B586="","",H586-IF(Ventas!D586="",0,Ventas!D586))</f>
        <v/>
      </c>
      <c r="J586" t="str">
        <f t="shared" si="36"/>
        <v/>
      </c>
    </row>
    <row r="587" spans="1:10" hidden="1" x14ac:dyDescent="0.2">
      <c r="A587" s="18" t="str">
        <f t="shared" si="34"/>
        <v/>
      </c>
      <c r="F587" s="20" t="str">
        <f t="shared" si="35"/>
        <v/>
      </c>
      <c r="G587" s="18" t="str">
        <f t="shared" si="37"/>
        <v/>
      </c>
      <c r="I587" s="18" t="str">
        <f>IF($B587="","",H587-IF(Ventas!D587="",0,Ventas!D587))</f>
        <v/>
      </c>
      <c r="J587" t="str">
        <f t="shared" si="36"/>
        <v/>
      </c>
    </row>
    <row r="588" spans="1:10" hidden="1" x14ac:dyDescent="0.2">
      <c r="A588" s="18" t="str">
        <f t="shared" si="34"/>
        <v/>
      </c>
      <c r="F588" s="20" t="str">
        <f t="shared" si="35"/>
        <v/>
      </c>
      <c r="G588" s="18" t="str">
        <f t="shared" si="37"/>
        <v/>
      </c>
      <c r="I588" s="18" t="str">
        <f>IF($B588="","",H588-IF(Ventas!D588="",0,Ventas!D588))</f>
        <v/>
      </c>
      <c r="J588" t="str">
        <f t="shared" si="36"/>
        <v/>
      </c>
    </row>
    <row r="589" spans="1:10" hidden="1" x14ac:dyDescent="0.2">
      <c r="A589" s="18" t="str">
        <f t="shared" si="34"/>
        <v/>
      </c>
      <c r="F589" s="20" t="str">
        <f t="shared" si="35"/>
        <v/>
      </c>
      <c r="G589" s="18" t="str">
        <f t="shared" si="37"/>
        <v/>
      </c>
      <c r="I589" s="18" t="str">
        <f>IF($B589="","",H589-IF(Ventas!D589="",0,Ventas!D589))</f>
        <v/>
      </c>
      <c r="J589" t="str">
        <f t="shared" si="36"/>
        <v/>
      </c>
    </row>
    <row r="590" spans="1:10" hidden="1" x14ac:dyDescent="0.2">
      <c r="A590" s="18" t="str">
        <f t="shared" si="34"/>
        <v/>
      </c>
      <c r="F590" s="20" t="str">
        <f t="shared" si="35"/>
        <v/>
      </c>
      <c r="G590" s="18" t="str">
        <f t="shared" si="37"/>
        <v/>
      </c>
      <c r="I590" s="18" t="str">
        <f>IF($B590="","",H590-IF(Ventas!D590="",0,Ventas!D590))</f>
        <v/>
      </c>
      <c r="J590" t="str">
        <f t="shared" si="36"/>
        <v/>
      </c>
    </row>
    <row r="591" spans="1:10" hidden="1" x14ac:dyDescent="0.2">
      <c r="A591" s="18" t="str">
        <f t="shared" si="34"/>
        <v/>
      </c>
      <c r="F591" s="20" t="str">
        <f t="shared" si="35"/>
        <v/>
      </c>
      <c r="G591" s="18" t="str">
        <f t="shared" si="37"/>
        <v/>
      </c>
      <c r="I591" s="18" t="str">
        <f>IF($B591="","",H591-IF(Ventas!D591="",0,Ventas!D591))</f>
        <v/>
      </c>
      <c r="J591" t="str">
        <f t="shared" si="36"/>
        <v/>
      </c>
    </row>
    <row r="592" spans="1:10" hidden="1" x14ac:dyDescent="0.2">
      <c r="A592" s="18" t="str">
        <f t="shared" si="34"/>
        <v/>
      </c>
      <c r="F592" s="20" t="str">
        <f t="shared" si="35"/>
        <v/>
      </c>
      <c r="G592" s="18" t="str">
        <f t="shared" si="37"/>
        <v/>
      </c>
      <c r="I592" s="18" t="str">
        <f>IF($B592="","",H592-IF(Ventas!D592="",0,Ventas!D592))</f>
        <v/>
      </c>
      <c r="J592" t="str">
        <f t="shared" si="36"/>
        <v/>
      </c>
    </row>
    <row r="593" spans="1:10" hidden="1" x14ac:dyDescent="0.2">
      <c r="A593" s="18" t="str">
        <f t="shared" si="34"/>
        <v/>
      </c>
      <c r="F593" s="20" t="str">
        <f t="shared" si="35"/>
        <v/>
      </c>
      <c r="G593" s="18" t="str">
        <f t="shared" si="37"/>
        <v/>
      </c>
      <c r="I593" s="18" t="str">
        <f>IF($B593="","",H593-IF(Ventas!D593="",0,Ventas!D593))</f>
        <v/>
      </c>
      <c r="J593" t="str">
        <f t="shared" si="36"/>
        <v/>
      </c>
    </row>
    <row r="594" spans="1:10" hidden="1" x14ac:dyDescent="0.2">
      <c r="A594" s="18" t="str">
        <f t="shared" si="34"/>
        <v/>
      </c>
      <c r="F594" s="20" t="str">
        <f t="shared" si="35"/>
        <v/>
      </c>
      <c r="G594" s="18" t="str">
        <f t="shared" si="37"/>
        <v/>
      </c>
      <c r="I594" s="18" t="str">
        <f>IF($B594="","",H594-IF(Ventas!D594="",0,Ventas!D594))</f>
        <v/>
      </c>
      <c r="J594" t="str">
        <f t="shared" si="36"/>
        <v/>
      </c>
    </row>
    <row r="595" spans="1:10" hidden="1" x14ac:dyDescent="0.2">
      <c r="A595" s="18" t="str">
        <f t="shared" si="34"/>
        <v/>
      </c>
      <c r="F595" s="20" t="str">
        <f t="shared" si="35"/>
        <v/>
      </c>
      <c r="G595" s="18" t="str">
        <f t="shared" si="37"/>
        <v/>
      </c>
      <c r="I595" s="18" t="str">
        <f>IF($B595="","",H595-IF(Ventas!D595="",0,Ventas!D595))</f>
        <v/>
      </c>
      <c r="J595" t="str">
        <f t="shared" si="36"/>
        <v/>
      </c>
    </row>
    <row r="596" spans="1:10" hidden="1" x14ac:dyDescent="0.2">
      <c r="A596" s="18" t="str">
        <f t="shared" si="34"/>
        <v/>
      </c>
      <c r="F596" s="20" t="str">
        <f t="shared" si="35"/>
        <v/>
      </c>
      <c r="G596" s="18" t="str">
        <f t="shared" si="37"/>
        <v/>
      </c>
      <c r="I596" s="18" t="str">
        <f>IF($B596="","",H596-IF(Ventas!D596="",0,Ventas!D596))</f>
        <v/>
      </c>
      <c r="J596" t="str">
        <f t="shared" si="36"/>
        <v/>
      </c>
    </row>
    <row r="597" spans="1:10" hidden="1" x14ac:dyDescent="0.2">
      <c r="A597" s="18" t="str">
        <f t="shared" si="34"/>
        <v/>
      </c>
      <c r="F597" s="20" t="str">
        <f t="shared" si="35"/>
        <v/>
      </c>
      <c r="G597" s="18" t="str">
        <f t="shared" si="37"/>
        <v/>
      </c>
      <c r="I597" s="18" t="str">
        <f>IF($B597="","",H597-IF(Ventas!D597="",0,Ventas!D597))</f>
        <v/>
      </c>
      <c r="J597" t="str">
        <f t="shared" si="36"/>
        <v/>
      </c>
    </row>
    <row r="598" spans="1:10" hidden="1" x14ac:dyDescent="0.2">
      <c r="A598" s="18" t="str">
        <f t="shared" si="34"/>
        <v/>
      </c>
      <c r="F598" s="20" t="str">
        <f t="shared" si="35"/>
        <v/>
      </c>
      <c r="G598" s="18" t="str">
        <f t="shared" si="37"/>
        <v/>
      </c>
      <c r="I598" s="18" t="str">
        <f>IF($B598="","",H598-IF(Ventas!D598="",0,Ventas!D598))</f>
        <v/>
      </c>
      <c r="J598" t="str">
        <f t="shared" si="36"/>
        <v/>
      </c>
    </row>
    <row r="599" spans="1:10" hidden="1" x14ac:dyDescent="0.2">
      <c r="A599" s="18" t="str">
        <f t="shared" si="34"/>
        <v/>
      </c>
      <c r="F599" s="20" t="str">
        <f t="shared" si="35"/>
        <v/>
      </c>
      <c r="G599" s="18" t="str">
        <f t="shared" si="37"/>
        <v/>
      </c>
      <c r="I599" s="18" t="str">
        <f>IF($B599="","",H599-IF(Ventas!D599="",0,Ventas!D599))</f>
        <v/>
      </c>
      <c r="J599" t="str">
        <f t="shared" si="36"/>
        <v/>
      </c>
    </row>
    <row r="600" spans="1:10" hidden="1" x14ac:dyDescent="0.2">
      <c r="A600" s="18" t="str">
        <f t="shared" si="34"/>
        <v/>
      </c>
      <c r="F600" s="20" t="str">
        <f t="shared" si="35"/>
        <v/>
      </c>
      <c r="G600" s="18" t="str">
        <f t="shared" si="37"/>
        <v/>
      </c>
      <c r="I600" s="18" t="str">
        <f>IF($B600="","",H600-IF(Ventas!D600="",0,Ventas!D600))</f>
        <v/>
      </c>
      <c r="J600" t="str">
        <f t="shared" si="36"/>
        <v/>
      </c>
    </row>
    <row r="601" spans="1:10" hidden="1" x14ac:dyDescent="0.2">
      <c r="A601" s="18" t="str">
        <f t="shared" si="34"/>
        <v/>
      </c>
      <c r="F601" s="20" t="str">
        <f t="shared" si="35"/>
        <v/>
      </c>
      <c r="G601" s="18" t="str">
        <f t="shared" si="37"/>
        <v/>
      </c>
      <c r="I601" s="18" t="str">
        <f>IF($B601="","",H601-IF(Ventas!D601="",0,Ventas!D601))</f>
        <v/>
      </c>
      <c r="J601" t="str">
        <f t="shared" si="36"/>
        <v/>
      </c>
    </row>
    <row r="602" spans="1:10" hidden="1" x14ac:dyDescent="0.2">
      <c r="A602" s="18" t="str">
        <f t="shared" si="34"/>
        <v/>
      </c>
      <c r="F602" s="20" t="str">
        <f t="shared" si="35"/>
        <v/>
      </c>
      <c r="G602" s="18" t="str">
        <f t="shared" si="37"/>
        <v/>
      </c>
      <c r="I602" s="18" t="str">
        <f>IF($B602="","",H602-IF(Ventas!D602="",0,Ventas!D602))</f>
        <v/>
      </c>
      <c r="J602" t="str">
        <f t="shared" si="36"/>
        <v/>
      </c>
    </row>
    <row r="603" spans="1:10" hidden="1" x14ac:dyDescent="0.2">
      <c r="A603" s="18" t="str">
        <f t="shared" si="34"/>
        <v/>
      </c>
      <c r="F603" s="20" t="str">
        <f t="shared" si="35"/>
        <v/>
      </c>
      <c r="G603" s="18" t="str">
        <f t="shared" si="37"/>
        <v/>
      </c>
      <c r="I603" s="18" t="str">
        <f>IF($B603="","",H603-IF(Ventas!D603="",0,Ventas!D603))</f>
        <v/>
      </c>
      <c r="J603" t="str">
        <f t="shared" si="36"/>
        <v/>
      </c>
    </row>
    <row r="604" spans="1:10" hidden="1" x14ac:dyDescent="0.2">
      <c r="A604" s="18" t="str">
        <f t="shared" si="34"/>
        <v/>
      </c>
      <c r="F604" s="20" t="str">
        <f t="shared" si="35"/>
        <v/>
      </c>
      <c r="G604" s="18" t="str">
        <f t="shared" si="37"/>
        <v/>
      </c>
      <c r="I604" s="18" t="str">
        <f>IF($B604="","",H604-IF(Ventas!D604="",0,Ventas!D604))</f>
        <v/>
      </c>
      <c r="J604" t="str">
        <f t="shared" si="36"/>
        <v/>
      </c>
    </row>
    <row r="605" spans="1:10" hidden="1" x14ac:dyDescent="0.2">
      <c r="A605" s="18" t="str">
        <f t="shared" si="34"/>
        <v/>
      </c>
      <c r="F605" s="20" t="str">
        <f t="shared" si="35"/>
        <v/>
      </c>
      <c r="G605" s="18" t="str">
        <f t="shared" si="37"/>
        <v/>
      </c>
      <c r="I605" s="18" t="str">
        <f>IF($B605="","",H605-IF(Ventas!D605="",0,Ventas!D605))</f>
        <v/>
      </c>
      <c r="J605" t="str">
        <f t="shared" si="36"/>
        <v/>
      </c>
    </row>
    <row r="606" spans="1:10" hidden="1" x14ac:dyDescent="0.2">
      <c r="A606" s="18" t="str">
        <f t="shared" si="34"/>
        <v/>
      </c>
      <c r="F606" s="20" t="str">
        <f t="shared" si="35"/>
        <v/>
      </c>
      <c r="G606" s="18" t="str">
        <f t="shared" si="37"/>
        <v/>
      </c>
      <c r="I606" s="18" t="str">
        <f>IF($B606="","",H606-IF(Ventas!D606="",0,Ventas!D606))</f>
        <v/>
      </c>
      <c r="J606" t="str">
        <f t="shared" si="36"/>
        <v/>
      </c>
    </row>
    <row r="607" spans="1:10" hidden="1" x14ac:dyDescent="0.2">
      <c r="A607" s="18" t="str">
        <f t="shared" si="34"/>
        <v/>
      </c>
      <c r="F607" s="20" t="str">
        <f t="shared" si="35"/>
        <v/>
      </c>
      <c r="G607" s="18" t="str">
        <f t="shared" si="37"/>
        <v/>
      </c>
      <c r="I607" s="18" t="str">
        <f>IF($B607="","",H607-IF(Ventas!D607="",0,Ventas!D607))</f>
        <v/>
      </c>
      <c r="J607" t="str">
        <f t="shared" si="36"/>
        <v/>
      </c>
    </row>
    <row r="608" spans="1:10" hidden="1" x14ac:dyDescent="0.2">
      <c r="A608" s="18" t="str">
        <f t="shared" si="34"/>
        <v/>
      </c>
      <c r="F608" s="20" t="str">
        <f t="shared" si="35"/>
        <v/>
      </c>
      <c r="G608" s="18" t="str">
        <f t="shared" si="37"/>
        <v/>
      </c>
      <c r="I608" s="18" t="str">
        <f>IF($B608="","",H608-IF(Ventas!D608="",0,Ventas!D608))</f>
        <v/>
      </c>
      <c r="J608" t="str">
        <f t="shared" si="36"/>
        <v/>
      </c>
    </row>
    <row r="609" spans="1:10" hidden="1" x14ac:dyDescent="0.2">
      <c r="A609" s="18" t="str">
        <f t="shared" si="34"/>
        <v/>
      </c>
      <c r="F609" s="20" t="str">
        <f t="shared" si="35"/>
        <v/>
      </c>
      <c r="G609" s="18" t="str">
        <f t="shared" si="37"/>
        <v/>
      </c>
      <c r="I609" s="18" t="str">
        <f>IF($B609="","",H609-IF(Ventas!D609="",0,Ventas!D609))</f>
        <v/>
      </c>
      <c r="J609" t="str">
        <f t="shared" si="36"/>
        <v/>
      </c>
    </row>
    <row r="610" spans="1:10" hidden="1" x14ac:dyDescent="0.2">
      <c r="A610" s="18" t="str">
        <f t="shared" si="34"/>
        <v/>
      </c>
      <c r="F610" s="20" t="str">
        <f t="shared" si="35"/>
        <v/>
      </c>
      <c r="G610" s="18" t="str">
        <f t="shared" si="37"/>
        <v/>
      </c>
      <c r="I610" s="18" t="str">
        <f>IF($B610="","",H610-IF(Ventas!D610="",0,Ventas!D610))</f>
        <v/>
      </c>
      <c r="J610" t="str">
        <f t="shared" si="36"/>
        <v/>
      </c>
    </row>
    <row r="611" spans="1:10" hidden="1" x14ac:dyDescent="0.2">
      <c r="A611" s="18" t="str">
        <f t="shared" si="34"/>
        <v/>
      </c>
      <c r="F611" s="20" t="str">
        <f t="shared" si="35"/>
        <v/>
      </c>
      <c r="G611" s="18" t="str">
        <f t="shared" si="37"/>
        <v/>
      </c>
      <c r="I611" s="18" t="str">
        <f>IF($B611="","",H611-IF(Ventas!D611="",0,Ventas!D611))</f>
        <v/>
      </c>
      <c r="J611" t="str">
        <f t="shared" si="36"/>
        <v/>
      </c>
    </row>
    <row r="612" spans="1:10" hidden="1" x14ac:dyDescent="0.2">
      <c r="A612" s="18" t="str">
        <f t="shared" si="34"/>
        <v/>
      </c>
      <c r="F612" s="20" t="str">
        <f t="shared" si="35"/>
        <v/>
      </c>
      <c r="G612" s="18" t="str">
        <f t="shared" si="37"/>
        <v/>
      </c>
      <c r="I612" s="18" t="str">
        <f>IF($B612="","",H612-IF(Ventas!D612="",0,Ventas!D612))</f>
        <v/>
      </c>
      <c r="J612" t="str">
        <f t="shared" si="36"/>
        <v/>
      </c>
    </row>
    <row r="613" spans="1:10" hidden="1" x14ac:dyDescent="0.2">
      <c r="A613" s="18" t="str">
        <f t="shared" si="34"/>
        <v/>
      </c>
      <c r="F613" s="20" t="str">
        <f t="shared" si="35"/>
        <v/>
      </c>
      <c r="G613" s="18" t="str">
        <f t="shared" si="37"/>
        <v/>
      </c>
      <c r="I613" s="18" t="str">
        <f>IF($B613="","",H613-IF(Ventas!D613="",0,Ventas!D613))</f>
        <v/>
      </c>
      <c r="J613" t="str">
        <f t="shared" si="36"/>
        <v/>
      </c>
    </row>
    <row r="614" spans="1:10" hidden="1" x14ac:dyDescent="0.2">
      <c r="A614" s="18" t="str">
        <f t="shared" si="34"/>
        <v/>
      </c>
      <c r="F614" s="20" t="str">
        <f t="shared" si="35"/>
        <v/>
      </c>
      <c r="G614" s="18" t="str">
        <f t="shared" si="37"/>
        <v/>
      </c>
      <c r="I614" s="18" t="str">
        <f>IF($B614="","",H614-IF(Ventas!D614="",0,Ventas!D614))</f>
        <v/>
      </c>
      <c r="J614" t="str">
        <f t="shared" si="36"/>
        <v/>
      </c>
    </row>
    <row r="615" spans="1:10" hidden="1" x14ac:dyDescent="0.2">
      <c r="A615" s="18" t="str">
        <f t="shared" si="34"/>
        <v/>
      </c>
      <c r="F615" s="20" t="str">
        <f t="shared" si="35"/>
        <v/>
      </c>
      <c r="G615" s="18" t="str">
        <f t="shared" si="37"/>
        <v/>
      </c>
      <c r="I615" s="18" t="str">
        <f>IF($B615="","",H615-IF(Ventas!D615="",0,Ventas!D615))</f>
        <v/>
      </c>
      <c r="J615" t="str">
        <f t="shared" si="36"/>
        <v/>
      </c>
    </row>
    <row r="616" spans="1:10" hidden="1" x14ac:dyDescent="0.2">
      <c r="A616" s="18" t="str">
        <f t="shared" si="34"/>
        <v/>
      </c>
      <c r="F616" s="20" t="str">
        <f t="shared" si="35"/>
        <v/>
      </c>
      <c r="G616" s="18" t="str">
        <f t="shared" si="37"/>
        <v/>
      </c>
      <c r="I616" s="18" t="str">
        <f>IF($B616="","",H616-IF(Ventas!D616="",0,Ventas!D616))</f>
        <v/>
      </c>
      <c r="J616" t="str">
        <f t="shared" si="36"/>
        <v/>
      </c>
    </row>
    <row r="617" spans="1:10" hidden="1" x14ac:dyDescent="0.2">
      <c r="A617" s="18" t="str">
        <f t="shared" si="34"/>
        <v/>
      </c>
      <c r="F617" s="20" t="str">
        <f t="shared" si="35"/>
        <v/>
      </c>
      <c r="G617" s="18" t="str">
        <f t="shared" si="37"/>
        <v/>
      </c>
      <c r="I617" s="18" t="str">
        <f>IF($B617="","",H617-IF(Ventas!D617="",0,Ventas!D617))</f>
        <v/>
      </c>
      <c r="J617" t="str">
        <f t="shared" si="36"/>
        <v/>
      </c>
    </row>
    <row r="618" spans="1:10" hidden="1" x14ac:dyDescent="0.2">
      <c r="A618" s="18" t="str">
        <f t="shared" si="34"/>
        <v/>
      </c>
      <c r="F618" s="20" t="str">
        <f t="shared" si="35"/>
        <v/>
      </c>
      <c r="G618" s="18" t="str">
        <f t="shared" si="37"/>
        <v/>
      </c>
      <c r="I618" s="18" t="str">
        <f>IF($B618="","",H618-IF(Ventas!D618="",0,Ventas!D618))</f>
        <v/>
      </c>
      <c r="J618" t="str">
        <f t="shared" si="36"/>
        <v/>
      </c>
    </row>
    <row r="619" spans="1:10" hidden="1" x14ac:dyDescent="0.2">
      <c r="A619" s="18" t="str">
        <f t="shared" si="34"/>
        <v/>
      </c>
      <c r="F619" s="20" t="str">
        <f t="shared" si="35"/>
        <v/>
      </c>
      <c r="G619" s="18" t="str">
        <f t="shared" si="37"/>
        <v/>
      </c>
      <c r="I619" s="18" t="str">
        <f>IF($B619="","",H619-IF(Ventas!D619="",0,Ventas!D619))</f>
        <v/>
      </c>
      <c r="J619" t="str">
        <f t="shared" si="36"/>
        <v/>
      </c>
    </row>
    <row r="620" spans="1:10" hidden="1" x14ac:dyDescent="0.2">
      <c r="A620" s="18" t="str">
        <f t="shared" si="34"/>
        <v/>
      </c>
      <c r="F620" s="20" t="str">
        <f t="shared" si="35"/>
        <v/>
      </c>
      <c r="G620" s="18" t="str">
        <f t="shared" si="37"/>
        <v/>
      </c>
      <c r="I620" s="18" t="str">
        <f>IF($B620="","",H620-IF(Ventas!D620="",0,Ventas!D620))</f>
        <v/>
      </c>
      <c r="J620" t="str">
        <f t="shared" si="36"/>
        <v/>
      </c>
    </row>
    <row r="621" spans="1:10" hidden="1" x14ac:dyDescent="0.2">
      <c r="A621" s="18" t="str">
        <f t="shared" si="34"/>
        <v/>
      </c>
      <c r="F621" s="20" t="str">
        <f t="shared" si="35"/>
        <v/>
      </c>
      <c r="G621" s="18" t="str">
        <f t="shared" si="37"/>
        <v/>
      </c>
      <c r="I621" s="18" t="str">
        <f>IF($B621="","",H621-IF(Ventas!D621="",0,Ventas!D621))</f>
        <v/>
      </c>
      <c r="J621" t="str">
        <f t="shared" si="36"/>
        <v/>
      </c>
    </row>
    <row r="622" spans="1:10" hidden="1" x14ac:dyDescent="0.2">
      <c r="A622" s="18" t="str">
        <f t="shared" si="34"/>
        <v/>
      </c>
      <c r="F622" s="20" t="str">
        <f t="shared" si="35"/>
        <v/>
      </c>
      <c r="G622" s="18" t="str">
        <f t="shared" si="37"/>
        <v/>
      </c>
      <c r="I622" s="18" t="str">
        <f>IF($B622="","",H622-IF(Ventas!D622="",0,Ventas!D622))</f>
        <v/>
      </c>
      <c r="J622" t="str">
        <f t="shared" si="36"/>
        <v/>
      </c>
    </row>
    <row r="623" spans="1:10" hidden="1" x14ac:dyDescent="0.2">
      <c r="A623" s="18" t="str">
        <f t="shared" si="34"/>
        <v/>
      </c>
      <c r="F623" s="20" t="str">
        <f t="shared" si="35"/>
        <v/>
      </c>
      <c r="G623" s="18" t="str">
        <f t="shared" si="37"/>
        <v/>
      </c>
      <c r="I623" s="18" t="str">
        <f>IF($B623="","",H623-IF(Ventas!D623="",0,Ventas!D623))</f>
        <v/>
      </c>
      <c r="J623" t="str">
        <f t="shared" si="36"/>
        <v/>
      </c>
    </row>
    <row r="624" spans="1:10" hidden="1" x14ac:dyDescent="0.2">
      <c r="A624" s="18" t="str">
        <f t="shared" si="34"/>
        <v/>
      </c>
      <c r="F624" s="20" t="str">
        <f t="shared" si="35"/>
        <v/>
      </c>
      <c r="G624" s="18" t="str">
        <f t="shared" si="37"/>
        <v/>
      </c>
      <c r="I624" s="18" t="str">
        <f>IF($B624="","",H624-IF(Ventas!D624="",0,Ventas!D624))</f>
        <v/>
      </c>
      <c r="J624" t="str">
        <f t="shared" si="36"/>
        <v/>
      </c>
    </row>
    <row r="625" spans="1:10" hidden="1" x14ac:dyDescent="0.2">
      <c r="A625" s="18" t="str">
        <f t="shared" si="34"/>
        <v/>
      </c>
      <c r="F625" s="20" t="str">
        <f t="shared" si="35"/>
        <v/>
      </c>
      <c r="G625" s="18" t="str">
        <f t="shared" si="37"/>
        <v/>
      </c>
      <c r="I625" s="18" t="str">
        <f>IF($B625="","",H625-IF(Ventas!D625="",0,Ventas!D625))</f>
        <v/>
      </c>
      <c r="J625" t="str">
        <f t="shared" si="36"/>
        <v/>
      </c>
    </row>
    <row r="626" spans="1:10" hidden="1" x14ac:dyDescent="0.2">
      <c r="A626" s="18" t="str">
        <f t="shared" si="34"/>
        <v/>
      </c>
      <c r="F626" s="20" t="str">
        <f t="shared" si="35"/>
        <v/>
      </c>
      <c r="G626" s="18" t="str">
        <f t="shared" si="37"/>
        <v/>
      </c>
      <c r="I626" s="18" t="str">
        <f>IF($B626="","",H626-IF(Ventas!D626="",0,Ventas!D626))</f>
        <v/>
      </c>
      <c r="J626" t="str">
        <f t="shared" si="36"/>
        <v/>
      </c>
    </row>
    <row r="627" spans="1:10" hidden="1" x14ac:dyDescent="0.2">
      <c r="A627" s="18" t="str">
        <f t="shared" si="34"/>
        <v/>
      </c>
      <c r="F627" s="20" t="str">
        <f t="shared" si="35"/>
        <v/>
      </c>
      <c r="G627" s="18" t="str">
        <f t="shared" si="37"/>
        <v/>
      </c>
      <c r="I627" s="18" t="str">
        <f>IF($B627="","",H627-IF(Ventas!D627="",0,Ventas!D627))</f>
        <v/>
      </c>
      <c r="J627" t="str">
        <f t="shared" si="36"/>
        <v/>
      </c>
    </row>
    <row r="628" spans="1:10" hidden="1" x14ac:dyDescent="0.2">
      <c r="A628" s="18" t="str">
        <f t="shared" si="34"/>
        <v/>
      </c>
      <c r="F628" s="20" t="str">
        <f t="shared" si="35"/>
        <v/>
      </c>
      <c r="G628" s="18" t="str">
        <f t="shared" si="37"/>
        <v/>
      </c>
      <c r="I628" s="18" t="str">
        <f>IF($B628="","",H628-IF(Ventas!D628="",0,Ventas!D628))</f>
        <v/>
      </c>
      <c r="J628" t="str">
        <f t="shared" si="36"/>
        <v/>
      </c>
    </row>
    <row r="629" spans="1:10" hidden="1" x14ac:dyDescent="0.2">
      <c r="A629" s="18" t="str">
        <f t="shared" si="34"/>
        <v/>
      </c>
      <c r="F629" s="20" t="str">
        <f t="shared" si="35"/>
        <v/>
      </c>
      <c r="G629" s="18" t="str">
        <f t="shared" si="37"/>
        <v/>
      </c>
      <c r="I629" s="18" t="str">
        <f>IF($B629="","",H629-IF(Ventas!D629="",0,Ventas!D629))</f>
        <v/>
      </c>
      <c r="J629" t="str">
        <f t="shared" si="36"/>
        <v/>
      </c>
    </row>
    <row r="630" spans="1:10" hidden="1" x14ac:dyDescent="0.2">
      <c r="A630" s="18" t="str">
        <f t="shared" si="34"/>
        <v/>
      </c>
      <c r="F630" s="20" t="str">
        <f t="shared" si="35"/>
        <v/>
      </c>
      <c r="G630" s="18" t="str">
        <f t="shared" si="37"/>
        <v/>
      </c>
      <c r="I630" s="18" t="str">
        <f>IF($B630="","",H630-IF(Ventas!D630="",0,Ventas!D630))</f>
        <v/>
      </c>
      <c r="J630" t="str">
        <f t="shared" si="36"/>
        <v/>
      </c>
    </row>
    <row r="631" spans="1:10" hidden="1" x14ac:dyDescent="0.2">
      <c r="A631" s="18" t="str">
        <f t="shared" si="34"/>
        <v/>
      </c>
      <c r="F631" s="20" t="str">
        <f t="shared" si="35"/>
        <v/>
      </c>
      <c r="G631" s="18" t="str">
        <f t="shared" si="37"/>
        <v/>
      </c>
      <c r="I631" s="18" t="str">
        <f>IF($B631="","",H631-IF(Ventas!D631="",0,Ventas!D631))</f>
        <v/>
      </c>
      <c r="J631" t="str">
        <f t="shared" si="36"/>
        <v/>
      </c>
    </row>
    <row r="632" spans="1:10" hidden="1" x14ac:dyDescent="0.2">
      <c r="A632" s="18" t="str">
        <f t="shared" si="34"/>
        <v/>
      </c>
      <c r="F632" s="20" t="str">
        <f t="shared" si="35"/>
        <v/>
      </c>
      <c r="G632" s="18" t="str">
        <f t="shared" si="37"/>
        <v/>
      </c>
      <c r="I632" s="18" t="str">
        <f>IF($B632="","",H632-IF(Ventas!D632="",0,Ventas!D632))</f>
        <v/>
      </c>
      <c r="J632" t="str">
        <f t="shared" si="36"/>
        <v/>
      </c>
    </row>
    <row r="633" spans="1:10" hidden="1" x14ac:dyDescent="0.2">
      <c r="A633" s="18" t="str">
        <f t="shared" si="34"/>
        <v/>
      </c>
      <c r="F633" s="20" t="str">
        <f t="shared" si="35"/>
        <v/>
      </c>
      <c r="G633" s="18" t="str">
        <f t="shared" si="37"/>
        <v/>
      </c>
      <c r="I633" s="18" t="str">
        <f>IF($B633="","",H633-IF(Ventas!D633="",0,Ventas!D633))</f>
        <v/>
      </c>
      <c r="J633" t="str">
        <f t="shared" si="36"/>
        <v/>
      </c>
    </row>
    <row r="634" spans="1:10" hidden="1" x14ac:dyDescent="0.2">
      <c r="A634" s="18" t="str">
        <f t="shared" si="34"/>
        <v/>
      </c>
      <c r="F634" s="20" t="str">
        <f t="shared" si="35"/>
        <v/>
      </c>
      <c r="G634" s="18" t="str">
        <f t="shared" si="37"/>
        <v/>
      </c>
      <c r="I634" s="18" t="str">
        <f>IF($B634="","",H634-IF(Ventas!D634="",0,Ventas!D634))</f>
        <v/>
      </c>
      <c r="J634" t="str">
        <f t="shared" si="36"/>
        <v/>
      </c>
    </row>
    <row r="635" spans="1:10" hidden="1" x14ac:dyDescent="0.2">
      <c r="A635" s="18" t="str">
        <f t="shared" si="34"/>
        <v/>
      </c>
      <c r="F635" s="20" t="str">
        <f t="shared" si="35"/>
        <v/>
      </c>
      <c r="G635" s="18" t="str">
        <f t="shared" si="37"/>
        <v/>
      </c>
      <c r="I635" s="18" t="str">
        <f>IF($B635="","",H635-IF(Ventas!D635="",0,Ventas!D635))</f>
        <v/>
      </c>
      <c r="J635" t="str">
        <f t="shared" si="36"/>
        <v/>
      </c>
    </row>
    <row r="636" spans="1:10" hidden="1" x14ac:dyDescent="0.2">
      <c r="A636" s="18" t="str">
        <f t="shared" si="34"/>
        <v/>
      </c>
      <c r="F636" s="20" t="str">
        <f t="shared" si="35"/>
        <v/>
      </c>
      <c r="G636" s="18" t="str">
        <f t="shared" si="37"/>
        <v/>
      </c>
      <c r="I636" s="18" t="str">
        <f>IF($B636="","",H636-IF(Ventas!D636="",0,Ventas!D636))</f>
        <v/>
      </c>
      <c r="J636" t="str">
        <f t="shared" si="36"/>
        <v/>
      </c>
    </row>
    <row r="637" spans="1:10" hidden="1" x14ac:dyDescent="0.2">
      <c r="A637" s="18" t="str">
        <f t="shared" si="34"/>
        <v/>
      </c>
      <c r="F637" s="20" t="str">
        <f t="shared" si="35"/>
        <v/>
      </c>
      <c r="G637" s="18" t="str">
        <f t="shared" si="37"/>
        <v/>
      </c>
      <c r="I637" s="18" t="str">
        <f>IF($B637="","",H637-IF(Ventas!D637="",0,Ventas!D637))</f>
        <v/>
      </c>
      <c r="J637" t="str">
        <f t="shared" si="36"/>
        <v/>
      </c>
    </row>
    <row r="638" spans="1:10" hidden="1" x14ac:dyDescent="0.2">
      <c r="A638" s="18" t="str">
        <f t="shared" si="34"/>
        <v/>
      </c>
      <c r="F638" s="20" t="str">
        <f t="shared" si="35"/>
        <v/>
      </c>
      <c r="G638" s="18" t="str">
        <f t="shared" si="37"/>
        <v/>
      </c>
      <c r="I638" s="18" t="str">
        <f>IF($B638="","",H638-IF(Ventas!D638="",0,Ventas!D638))</f>
        <v/>
      </c>
      <c r="J638" t="str">
        <f t="shared" si="36"/>
        <v/>
      </c>
    </row>
    <row r="639" spans="1:10" hidden="1" x14ac:dyDescent="0.2">
      <c r="A639" s="18" t="str">
        <f t="shared" si="34"/>
        <v/>
      </c>
      <c r="F639" s="20" t="str">
        <f t="shared" si="35"/>
        <v/>
      </c>
      <c r="G639" s="18" t="str">
        <f t="shared" si="37"/>
        <v/>
      </c>
      <c r="I639" s="18" t="str">
        <f>IF($B639="","",H639-IF(Ventas!D639="",0,Ventas!D639))</f>
        <v/>
      </c>
      <c r="J639" t="str">
        <f t="shared" si="36"/>
        <v/>
      </c>
    </row>
    <row r="640" spans="1:10" hidden="1" x14ac:dyDescent="0.2">
      <c r="A640" s="18" t="str">
        <f t="shared" si="34"/>
        <v/>
      </c>
      <c r="F640" s="20" t="str">
        <f t="shared" si="35"/>
        <v/>
      </c>
      <c r="G640" s="18" t="str">
        <f t="shared" si="37"/>
        <v/>
      </c>
      <c r="I640" s="18" t="str">
        <f>IF($B640="","",H640-IF(Ventas!D640="",0,Ventas!D640))</f>
        <v/>
      </c>
      <c r="J640" t="str">
        <f t="shared" si="36"/>
        <v/>
      </c>
    </row>
    <row r="641" spans="1:10" hidden="1" x14ac:dyDescent="0.2">
      <c r="A641" s="18" t="str">
        <f t="shared" si="34"/>
        <v/>
      </c>
      <c r="F641" s="20" t="str">
        <f t="shared" si="35"/>
        <v/>
      </c>
      <c r="G641" s="18" t="str">
        <f t="shared" si="37"/>
        <v/>
      </c>
      <c r="I641" s="18" t="str">
        <f>IF($B641="","",H641-IF(Ventas!D641="",0,Ventas!D641))</f>
        <v/>
      </c>
      <c r="J641" t="str">
        <f t="shared" si="36"/>
        <v/>
      </c>
    </row>
    <row r="642" spans="1:10" hidden="1" x14ac:dyDescent="0.2">
      <c r="A642" s="18" t="str">
        <f t="shared" si="34"/>
        <v/>
      </c>
      <c r="F642" s="20" t="str">
        <f t="shared" si="35"/>
        <v/>
      </c>
      <c r="G642" s="18" t="str">
        <f t="shared" si="37"/>
        <v/>
      </c>
      <c r="I642" s="18" t="str">
        <f>IF($B642="","",H642-IF(Ventas!D642="",0,Ventas!D642))</f>
        <v/>
      </c>
      <c r="J642" t="str">
        <f t="shared" si="36"/>
        <v/>
      </c>
    </row>
    <row r="643" spans="1:10" hidden="1" x14ac:dyDescent="0.2">
      <c r="A643" s="18" t="str">
        <f t="shared" ref="A643:A706" si="38">IF(B643="","","P"&amp;TEXT(ROW()-1,"000"))</f>
        <v/>
      </c>
      <c r="F643" s="20" t="str">
        <f t="shared" ref="F643:F706" si="39">IF(OR(E643="",D643="",D643=0),"",E643/D643)</f>
        <v/>
      </c>
      <c r="G643" s="18" t="str">
        <f t="shared" si="37"/>
        <v/>
      </c>
      <c r="I643" s="18" t="str">
        <f>IF($B643="","",H643-IF(Ventas!D643="",0,Ventas!D643))</f>
        <v/>
      </c>
      <c r="J643" t="str">
        <f t="shared" ref="J643:J706" si="40">IF($B643="","",IF(N(I643)=0,"Agotado","Activo"))</f>
        <v/>
      </c>
    </row>
    <row r="644" spans="1:10" hidden="1" x14ac:dyDescent="0.2">
      <c r="A644" s="18" t="str">
        <f t="shared" si="38"/>
        <v/>
      </c>
      <c r="F644" s="20" t="str">
        <f t="shared" si="39"/>
        <v/>
      </c>
      <c r="G644" s="18" t="str">
        <f t="shared" si="37"/>
        <v/>
      </c>
      <c r="I644" s="18" t="str">
        <f>IF($B644="","",H644-IF(Ventas!D644="",0,Ventas!D644))</f>
        <v/>
      </c>
      <c r="J644" t="str">
        <f t="shared" si="40"/>
        <v/>
      </c>
    </row>
    <row r="645" spans="1:10" hidden="1" x14ac:dyDescent="0.2">
      <c r="A645" s="18" t="str">
        <f t="shared" si="38"/>
        <v/>
      </c>
      <c r="F645" s="20" t="str">
        <f t="shared" si="39"/>
        <v/>
      </c>
      <c r="G645" s="18" t="str">
        <f t="shared" si="37"/>
        <v/>
      </c>
      <c r="I645" s="18" t="str">
        <f>IF($B645="","",H645-IF(Ventas!D645="",0,Ventas!D645))</f>
        <v/>
      </c>
      <c r="J645" t="str">
        <f t="shared" si="40"/>
        <v/>
      </c>
    </row>
    <row r="646" spans="1:10" hidden="1" x14ac:dyDescent="0.2">
      <c r="A646" s="18" t="str">
        <f t="shared" si="38"/>
        <v/>
      </c>
      <c r="F646" s="20" t="str">
        <f t="shared" si="39"/>
        <v/>
      </c>
      <c r="G646" s="18" t="str">
        <f t="shared" ref="G646:G709" si="41">IF(F646="","",ROUND(F646*1.33,0))</f>
        <v/>
      </c>
      <c r="I646" s="18" t="str">
        <f>IF($B646="","",H646-IF(Ventas!D646="",0,Ventas!D646))</f>
        <v/>
      </c>
      <c r="J646" t="str">
        <f t="shared" si="40"/>
        <v/>
      </c>
    </row>
    <row r="647" spans="1:10" hidden="1" x14ac:dyDescent="0.2">
      <c r="A647" s="18" t="str">
        <f t="shared" si="38"/>
        <v/>
      </c>
      <c r="F647" s="20" t="str">
        <f t="shared" si="39"/>
        <v/>
      </c>
      <c r="G647" s="18" t="str">
        <f t="shared" si="41"/>
        <v/>
      </c>
      <c r="I647" s="18" t="str">
        <f>IF($B647="","",H647-IF(Ventas!D647="",0,Ventas!D647))</f>
        <v/>
      </c>
      <c r="J647" t="str">
        <f t="shared" si="40"/>
        <v/>
      </c>
    </row>
    <row r="648" spans="1:10" hidden="1" x14ac:dyDescent="0.2">
      <c r="A648" s="18" t="str">
        <f t="shared" si="38"/>
        <v/>
      </c>
      <c r="F648" s="20" t="str">
        <f t="shared" si="39"/>
        <v/>
      </c>
      <c r="G648" s="18" t="str">
        <f t="shared" si="41"/>
        <v/>
      </c>
      <c r="I648" s="18" t="str">
        <f>IF($B648="","",H648-IF(Ventas!D648="",0,Ventas!D648))</f>
        <v/>
      </c>
      <c r="J648" t="str">
        <f t="shared" si="40"/>
        <v/>
      </c>
    </row>
    <row r="649" spans="1:10" hidden="1" x14ac:dyDescent="0.2">
      <c r="A649" s="18" t="str">
        <f t="shared" si="38"/>
        <v/>
      </c>
      <c r="F649" s="20" t="str">
        <f t="shared" si="39"/>
        <v/>
      </c>
      <c r="G649" s="18" t="str">
        <f t="shared" si="41"/>
        <v/>
      </c>
      <c r="I649" s="18" t="str">
        <f>IF($B649="","",H649-IF(Ventas!D649="",0,Ventas!D649))</f>
        <v/>
      </c>
      <c r="J649" t="str">
        <f t="shared" si="40"/>
        <v/>
      </c>
    </row>
    <row r="650" spans="1:10" hidden="1" x14ac:dyDescent="0.2">
      <c r="A650" s="18" t="str">
        <f t="shared" si="38"/>
        <v/>
      </c>
      <c r="F650" s="20" t="str">
        <f t="shared" si="39"/>
        <v/>
      </c>
      <c r="G650" s="18" t="str">
        <f t="shared" si="41"/>
        <v/>
      </c>
      <c r="I650" s="18" t="str">
        <f>IF($B650="","",H650-IF(Ventas!D650="",0,Ventas!D650))</f>
        <v/>
      </c>
      <c r="J650" t="str">
        <f t="shared" si="40"/>
        <v/>
      </c>
    </row>
    <row r="651" spans="1:10" hidden="1" x14ac:dyDescent="0.2">
      <c r="A651" s="18" t="str">
        <f t="shared" si="38"/>
        <v/>
      </c>
      <c r="F651" s="20" t="str">
        <f t="shared" si="39"/>
        <v/>
      </c>
      <c r="G651" s="18" t="str">
        <f t="shared" si="41"/>
        <v/>
      </c>
      <c r="I651" s="18" t="str">
        <f>IF($B651="","",H651-IF(Ventas!D651="",0,Ventas!D651))</f>
        <v/>
      </c>
      <c r="J651" t="str">
        <f t="shared" si="40"/>
        <v/>
      </c>
    </row>
    <row r="652" spans="1:10" hidden="1" x14ac:dyDescent="0.2">
      <c r="A652" s="18" t="str">
        <f t="shared" si="38"/>
        <v/>
      </c>
      <c r="F652" s="20" t="str">
        <f t="shared" si="39"/>
        <v/>
      </c>
      <c r="G652" s="18" t="str">
        <f t="shared" si="41"/>
        <v/>
      </c>
      <c r="I652" s="18" t="str">
        <f>IF($B652="","",H652-IF(Ventas!D652="",0,Ventas!D652))</f>
        <v/>
      </c>
      <c r="J652" t="str">
        <f t="shared" si="40"/>
        <v/>
      </c>
    </row>
    <row r="653" spans="1:10" hidden="1" x14ac:dyDescent="0.2">
      <c r="A653" s="18" t="str">
        <f t="shared" si="38"/>
        <v/>
      </c>
      <c r="F653" s="20" t="str">
        <f t="shared" si="39"/>
        <v/>
      </c>
      <c r="G653" s="18" t="str">
        <f t="shared" si="41"/>
        <v/>
      </c>
      <c r="I653" s="18" t="str">
        <f>IF($B653="","",H653-IF(Ventas!D653="",0,Ventas!D653))</f>
        <v/>
      </c>
      <c r="J653" t="str">
        <f t="shared" si="40"/>
        <v/>
      </c>
    </row>
    <row r="654" spans="1:10" hidden="1" x14ac:dyDescent="0.2">
      <c r="A654" s="18" t="str">
        <f t="shared" si="38"/>
        <v/>
      </c>
      <c r="F654" s="20" t="str">
        <f t="shared" si="39"/>
        <v/>
      </c>
      <c r="G654" s="18" t="str">
        <f t="shared" si="41"/>
        <v/>
      </c>
      <c r="I654" s="18" t="str">
        <f>IF($B654="","",H654-IF(Ventas!D654="",0,Ventas!D654))</f>
        <v/>
      </c>
      <c r="J654" t="str">
        <f t="shared" si="40"/>
        <v/>
      </c>
    </row>
    <row r="655" spans="1:10" hidden="1" x14ac:dyDescent="0.2">
      <c r="A655" s="18" t="str">
        <f t="shared" si="38"/>
        <v/>
      </c>
      <c r="F655" s="20" t="str">
        <f t="shared" si="39"/>
        <v/>
      </c>
      <c r="G655" s="18" t="str">
        <f t="shared" si="41"/>
        <v/>
      </c>
      <c r="I655" s="18" t="str">
        <f>IF($B655="","",H655-IF(Ventas!D655="",0,Ventas!D655))</f>
        <v/>
      </c>
      <c r="J655" t="str">
        <f t="shared" si="40"/>
        <v/>
      </c>
    </row>
    <row r="656" spans="1:10" hidden="1" x14ac:dyDescent="0.2">
      <c r="A656" s="18" t="str">
        <f t="shared" si="38"/>
        <v/>
      </c>
      <c r="F656" s="20" t="str">
        <f t="shared" si="39"/>
        <v/>
      </c>
      <c r="G656" s="18" t="str">
        <f t="shared" si="41"/>
        <v/>
      </c>
      <c r="I656" s="18" t="str">
        <f>IF($B656="","",H656-IF(Ventas!D656="",0,Ventas!D656))</f>
        <v/>
      </c>
      <c r="J656" t="str">
        <f t="shared" si="40"/>
        <v/>
      </c>
    </row>
    <row r="657" spans="1:10" hidden="1" x14ac:dyDescent="0.2">
      <c r="A657" s="18" t="str">
        <f t="shared" si="38"/>
        <v/>
      </c>
      <c r="F657" s="20" t="str">
        <f t="shared" si="39"/>
        <v/>
      </c>
      <c r="G657" s="18" t="str">
        <f t="shared" si="41"/>
        <v/>
      </c>
      <c r="I657" s="18" t="str">
        <f>IF($B657="","",H657-IF(Ventas!D657="",0,Ventas!D657))</f>
        <v/>
      </c>
      <c r="J657" t="str">
        <f t="shared" si="40"/>
        <v/>
      </c>
    </row>
    <row r="658" spans="1:10" hidden="1" x14ac:dyDescent="0.2">
      <c r="A658" s="18" t="str">
        <f t="shared" si="38"/>
        <v/>
      </c>
      <c r="F658" s="20" t="str">
        <f t="shared" si="39"/>
        <v/>
      </c>
      <c r="G658" s="18" t="str">
        <f t="shared" si="41"/>
        <v/>
      </c>
      <c r="I658" s="18" t="str">
        <f>IF($B658="","",H658-IF(Ventas!D658="",0,Ventas!D658))</f>
        <v/>
      </c>
      <c r="J658" t="str">
        <f t="shared" si="40"/>
        <v/>
      </c>
    </row>
    <row r="659" spans="1:10" hidden="1" x14ac:dyDescent="0.2">
      <c r="A659" s="18" t="str">
        <f t="shared" si="38"/>
        <v/>
      </c>
      <c r="F659" s="20" t="str">
        <f t="shared" si="39"/>
        <v/>
      </c>
      <c r="G659" s="18" t="str">
        <f t="shared" si="41"/>
        <v/>
      </c>
      <c r="I659" s="18" t="str">
        <f>IF($B659="","",H659-IF(Ventas!D659="",0,Ventas!D659))</f>
        <v/>
      </c>
      <c r="J659" t="str">
        <f t="shared" si="40"/>
        <v/>
      </c>
    </row>
    <row r="660" spans="1:10" hidden="1" x14ac:dyDescent="0.2">
      <c r="A660" s="18" t="str">
        <f t="shared" si="38"/>
        <v/>
      </c>
      <c r="F660" s="20" t="str">
        <f t="shared" si="39"/>
        <v/>
      </c>
      <c r="G660" s="18" t="str">
        <f t="shared" si="41"/>
        <v/>
      </c>
      <c r="I660" s="18" t="str">
        <f>IF($B660="","",H660-IF(Ventas!D660="",0,Ventas!D660))</f>
        <v/>
      </c>
      <c r="J660" t="str">
        <f t="shared" si="40"/>
        <v/>
      </c>
    </row>
    <row r="661" spans="1:10" hidden="1" x14ac:dyDescent="0.2">
      <c r="A661" s="18" t="str">
        <f t="shared" si="38"/>
        <v/>
      </c>
      <c r="F661" s="20" t="str">
        <f t="shared" si="39"/>
        <v/>
      </c>
      <c r="G661" s="18" t="str">
        <f t="shared" si="41"/>
        <v/>
      </c>
      <c r="I661" s="18" t="str">
        <f>IF($B661="","",H661-IF(Ventas!D661="",0,Ventas!D661))</f>
        <v/>
      </c>
      <c r="J661" t="str">
        <f t="shared" si="40"/>
        <v/>
      </c>
    </row>
    <row r="662" spans="1:10" hidden="1" x14ac:dyDescent="0.2">
      <c r="A662" s="18" t="str">
        <f t="shared" si="38"/>
        <v/>
      </c>
      <c r="F662" s="20" t="str">
        <f t="shared" si="39"/>
        <v/>
      </c>
      <c r="G662" s="18" t="str">
        <f t="shared" si="41"/>
        <v/>
      </c>
      <c r="I662" s="18" t="str">
        <f>IF($B662="","",H662-IF(Ventas!D662="",0,Ventas!D662))</f>
        <v/>
      </c>
      <c r="J662" t="str">
        <f t="shared" si="40"/>
        <v/>
      </c>
    </row>
    <row r="663" spans="1:10" hidden="1" x14ac:dyDescent="0.2">
      <c r="A663" s="18" t="str">
        <f t="shared" si="38"/>
        <v/>
      </c>
      <c r="F663" s="20" t="str">
        <f t="shared" si="39"/>
        <v/>
      </c>
      <c r="G663" s="18" t="str">
        <f t="shared" si="41"/>
        <v/>
      </c>
      <c r="I663" s="18" t="str">
        <f>IF($B663="","",H663-IF(Ventas!D663="",0,Ventas!D663))</f>
        <v/>
      </c>
      <c r="J663" t="str">
        <f t="shared" si="40"/>
        <v/>
      </c>
    </row>
    <row r="664" spans="1:10" hidden="1" x14ac:dyDescent="0.2">
      <c r="A664" s="18" t="str">
        <f t="shared" si="38"/>
        <v/>
      </c>
      <c r="F664" s="20" t="str">
        <f t="shared" si="39"/>
        <v/>
      </c>
      <c r="G664" s="18" t="str">
        <f t="shared" si="41"/>
        <v/>
      </c>
      <c r="I664" s="18" t="str">
        <f>IF($B664="","",H664-IF(Ventas!D664="",0,Ventas!D664))</f>
        <v/>
      </c>
      <c r="J664" t="str">
        <f t="shared" si="40"/>
        <v/>
      </c>
    </row>
    <row r="665" spans="1:10" hidden="1" x14ac:dyDescent="0.2">
      <c r="A665" s="18" t="str">
        <f t="shared" si="38"/>
        <v/>
      </c>
      <c r="F665" s="20" t="str">
        <f t="shared" si="39"/>
        <v/>
      </c>
      <c r="G665" s="18" t="str">
        <f t="shared" si="41"/>
        <v/>
      </c>
      <c r="I665" s="18" t="str">
        <f>IF($B665="","",H665-IF(Ventas!D665="",0,Ventas!D665))</f>
        <v/>
      </c>
      <c r="J665" t="str">
        <f t="shared" si="40"/>
        <v/>
      </c>
    </row>
    <row r="666" spans="1:10" hidden="1" x14ac:dyDescent="0.2">
      <c r="A666" s="18" t="str">
        <f t="shared" si="38"/>
        <v/>
      </c>
      <c r="F666" s="20" t="str">
        <f t="shared" si="39"/>
        <v/>
      </c>
      <c r="G666" s="18" t="str">
        <f t="shared" si="41"/>
        <v/>
      </c>
      <c r="I666" s="18" t="str">
        <f>IF($B666="","",H666-IF(Ventas!D666="",0,Ventas!D666))</f>
        <v/>
      </c>
      <c r="J666" t="str">
        <f t="shared" si="40"/>
        <v/>
      </c>
    </row>
    <row r="667" spans="1:10" hidden="1" x14ac:dyDescent="0.2">
      <c r="A667" s="18" t="str">
        <f t="shared" si="38"/>
        <v/>
      </c>
      <c r="F667" s="20" t="str">
        <f t="shared" si="39"/>
        <v/>
      </c>
      <c r="G667" s="18" t="str">
        <f t="shared" si="41"/>
        <v/>
      </c>
      <c r="I667" s="18" t="str">
        <f>IF($B667="","",H667-IF(Ventas!D667="",0,Ventas!D667))</f>
        <v/>
      </c>
      <c r="J667" t="str">
        <f t="shared" si="40"/>
        <v/>
      </c>
    </row>
    <row r="668" spans="1:10" hidden="1" x14ac:dyDescent="0.2">
      <c r="A668" s="18" t="str">
        <f t="shared" si="38"/>
        <v/>
      </c>
      <c r="F668" s="20" t="str">
        <f t="shared" si="39"/>
        <v/>
      </c>
      <c r="G668" s="18" t="str">
        <f t="shared" si="41"/>
        <v/>
      </c>
      <c r="I668" s="18" t="str">
        <f>IF($B668="","",H668-IF(Ventas!D668="",0,Ventas!D668))</f>
        <v/>
      </c>
      <c r="J668" t="str">
        <f t="shared" si="40"/>
        <v/>
      </c>
    </row>
    <row r="669" spans="1:10" hidden="1" x14ac:dyDescent="0.2">
      <c r="A669" s="18" t="str">
        <f t="shared" si="38"/>
        <v/>
      </c>
      <c r="F669" s="20" t="str">
        <f t="shared" si="39"/>
        <v/>
      </c>
      <c r="G669" s="18" t="str">
        <f t="shared" si="41"/>
        <v/>
      </c>
      <c r="I669" s="18" t="str">
        <f>IF($B669="","",H669-IF(Ventas!D669="",0,Ventas!D669))</f>
        <v/>
      </c>
      <c r="J669" t="str">
        <f t="shared" si="40"/>
        <v/>
      </c>
    </row>
    <row r="670" spans="1:10" hidden="1" x14ac:dyDescent="0.2">
      <c r="A670" s="18" t="str">
        <f t="shared" si="38"/>
        <v/>
      </c>
      <c r="F670" s="20" t="str">
        <f t="shared" si="39"/>
        <v/>
      </c>
      <c r="G670" s="18" t="str">
        <f t="shared" si="41"/>
        <v/>
      </c>
      <c r="I670" s="18" t="str">
        <f>IF($B670="","",H670-IF(Ventas!D670="",0,Ventas!D670))</f>
        <v/>
      </c>
      <c r="J670" t="str">
        <f t="shared" si="40"/>
        <v/>
      </c>
    </row>
    <row r="671" spans="1:10" hidden="1" x14ac:dyDescent="0.2">
      <c r="A671" s="18" t="str">
        <f t="shared" si="38"/>
        <v/>
      </c>
      <c r="F671" s="20" t="str">
        <f t="shared" si="39"/>
        <v/>
      </c>
      <c r="G671" s="18" t="str">
        <f t="shared" si="41"/>
        <v/>
      </c>
      <c r="I671" s="18" t="str">
        <f>IF($B671="","",H671-IF(Ventas!D671="",0,Ventas!D671))</f>
        <v/>
      </c>
      <c r="J671" t="str">
        <f t="shared" si="40"/>
        <v/>
      </c>
    </row>
    <row r="672" spans="1:10" hidden="1" x14ac:dyDescent="0.2">
      <c r="A672" s="18" t="str">
        <f t="shared" si="38"/>
        <v/>
      </c>
      <c r="F672" s="20" t="str">
        <f t="shared" si="39"/>
        <v/>
      </c>
      <c r="G672" s="18" t="str">
        <f t="shared" si="41"/>
        <v/>
      </c>
      <c r="I672" s="18" t="str">
        <f>IF($B672="","",H672-IF(Ventas!D672="",0,Ventas!D672))</f>
        <v/>
      </c>
      <c r="J672" t="str">
        <f t="shared" si="40"/>
        <v/>
      </c>
    </row>
    <row r="673" spans="1:10" hidden="1" x14ac:dyDescent="0.2">
      <c r="A673" s="18" t="str">
        <f t="shared" si="38"/>
        <v/>
      </c>
      <c r="F673" s="20" t="str">
        <f t="shared" si="39"/>
        <v/>
      </c>
      <c r="G673" s="18" t="str">
        <f t="shared" si="41"/>
        <v/>
      </c>
      <c r="I673" s="18" t="str">
        <f>IF($B673="","",H673-IF(Ventas!D673="",0,Ventas!D673))</f>
        <v/>
      </c>
      <c r="J673" t="str">
        <f t="shared" si="40"/>
        <v/>
      </c>
    </row>
    <row r="674" spans="1:10" hidden="1" x14ac:dyDescent="0.2">
      <c r="A674" s="18" t="str">
        <f t="shared" si="38"/>
        <v/>
      </c>
      <c r="F674" s="20" t="str">
        <f t="shared" si="39"/>
        <v/>
      </c>
      <c r="G674" s="18" t="str">
        <f t="shared" si="41"/>
        <v/>
      </c>
      <c r="I674" s="18" t="str">
        <f>IF($B674="","",H674-IF(Ventas!D674="",0,Ventas!D674))</f>
        <v/>
      </c>
      <c r="J674" t="str">
        <f t="shared" si="40"/>
        <v/>
      </c>
    </row>
    <row r="675" spans="1:10" hidden="1" x14ac:dyDescent="0.2">
      <c r="A675" s="18" t="str">
        <f t="shared" si="38"/>
        <v/>
      </c>
      <c r="F675" s="20" t="str">
        <f t="shared" si="39"/>
        <v/>
      </c>
      <c r="G675" s="18" t="str">
        <f t="shared" si="41"/>
        <v/>
      </c>
      <c r="I675" s="18" t="str">
        <f>IF($B675="","",H675-IF(Ventas!D675="",0,Ventas!D675))</f>
        <v/>
      </c>
      <c r="J675" t="str">
        <f t="shared" si="40"/>
        <v/>
      </c>
    </row>
    <row r="676" spans="1:10" hidden="1" x14ac:dyDescent="0.2">
      <c r="A676" s="18" t="str">
        <f t="shared" si="38"/>
        <v/>
      </c>
      <c r="F676" s="20" t="str">
        <f t="shared" si="39"/>
        <v/>
      </c>
      <c r="G676" s="18" t="str">
        <f t="shared" si="41"/>
        <v/>
      </c>
      <c r="I676" s="18" t="str">
        <f>IF($B676="","",H676-IF(Ventas!D676="",0,Ventas!D676))</f>
        <v/>
      </c>
      <c r="J676" t="str">
        <f t="shared" si="40"/>
        <v/>
      </c>
    </row>
    <row r="677" spans="1:10" hidden="1" x14ac:dyDescent="0.2">
      <c r="A677" s="18" t="str">
        <f t="shared" si="38"/>
        <v/>
      </c>
      <c r="F677" s="20" t="str">
        <f t="shared" si="39"/>
        <v/>
      </c>
      <c r="G677" s="18" t="str">
        <f t="shared" si="41"/>
        <v/>
      </c>
      <c r="I677" s="18" t="str">
        <f>IF($B677="","",H677-IF(Ventas!D677="",0,Ventas!D677))</f>
        <v/>
      </c>
      <c r="J677" t="str">
        <f t="shared" si="40"/>
        <v/>
      </c>
    </row>
    <row r="678" spans="1:10" hidden="1" x14ac:dyDescent="0.2">
      <c r="A678" s="18" t="str">
        <f t="shared" si="38"/>
        <v/>
      </c>
      <c r="F678" s="20" t="str">
        <f t="shared" si="39"/>
        <v/>
      </c>
      <c r="G678" s="18" t="str">
        <f t="shared" si="41"/>
        <v/>
      </c>
      <c r="I678" s="18" t="str">
        <f>IF($B678="","",H678-IF(Ventas!D678="",0,Ventas!D678))</f>
        <v/>
      </c>
      <c r="J678" t="str">
        <f t="shared" si="40"/>
        <v/>
      </c>
    </row>
    <row r="679" spans="1:10" hidden="1" x14ac:dyDescent="0.2">
      <c r="A679" s="18" t="str">
        <f t="shared" si="38"/>
        <v/>
      </c>
      <c r="F679" s="20" t="str">
        <f t="shared" si="39"/>
        <v/>
      </c>
      <c r="G679" s="18" t="str">
        <f t="shared" si="41"/>
        <v/>
      </c>
      <c r="I679" s="18" t="str">
        <f>IF($B679="","",H679-IF(Ventas!D679="",0,Ventas!D679))</f>
        <v/>
      </c>
      <c r="J679" t="str">
        <f t="shared" si="40"/>
        <v/>
      </c>
    </row>
    <row r="680" spans="1:10" hidden="1" x14ac:dyDescent="0.2">
      <c r="A680" s="18" t="str">
        <f t="shared" si="38"/>
        <v/>
      </c>
      <c r="F680" s="20" t="str">
        <f t="shared" si="39"/>
        <v/>
      </c>
      <c r="G680" s="18" t="str">
        <f t="shared" si="41"/>
        <v/>
      </c>
      <c r="I680" s="18" t="str">
        <f>IF($B680="","",H680-IF(Ventas!D680="",0,Ventas!D680))</f>
        <v/>
      </c>
      <c r="J680" t="str">
        <f t="shared" si="40"/>
        <v/>
      </c>
    </row>
    <row r="681" spans="1:10" hidden="1" x14ac:dyDescent="0.2">
      <c r="A681" s="18" t="str">
        <f t="shared" si="38"/>
        <v/>
      </c>
      <c r="F681" s="20" t="str">
        <f t="shared" si="39"/>
        <v/>
      </c>
      <c r="G681" s="18" t="str">
        <f t="shared" si="41"/>
        <v/>
      </c>
      <c r="I681" s="18" t="str">
        <f>IF($B681="","",H681-IF(Ventas!D681="",0,Ventas!D681))</f>
        <v/>
      </c>
      <c r="J681" t="str">
        <f t="shared" si="40"/>
        <v/>
      </c>
    </row>
    <row r="682" spans="1:10" hidden="1" x14ac:dyDescent="0.2">
      <c r="A682" s="18" t="str">
        <f t="shared" si="38"/>
        <v/>
      </c>
      <c r="F682" s="20" t="str">
        <f t="shared" si="39"/>
        <v/>
      </c>
      <c r="G682" s="18" t="str">
        <f t="shared" si="41"/>
        <v/>
      </c>
      <c r="I682" s="18" t="str">
        <f>IF($B682="","",H682-IF(Ventas!D682="",0,Ventas!D682))</f>
        <v/>
      </c>
      <c r="J682" t="str">
        <f t="shared" si="40"/>
        <v/>
      </c>
    </row>
    <row r="683" spans="1:10" hidden="1" x14ac:dyDescent="0.2">
      <c r="A683" s="18" t="str">
        <f t="shared" si="38"/>
        <v/>
      </c>
      <c r="F683" s="20" t="str">
        <f t="shared" si="39"/>
        <v/>
      </c>
      <c r="G683" s="18" t="str">
        <f t="shared" si="41"/>
        <v/>
      </c>
      <c r="I683" s="18" t="str">
        <f>IF($B683="","",H683-IF(Ventas!D683="",0,Ventas!D683))</f>
        <v/>
      </c>
      <c r="J683" t="str">
        <f t="shared" si="40"/>
        <v/>
      </c>
    </row>
    <row r="684" spans="1:10" hidden="1" x14ac:dyDescent="0.2">
      <c r="A684" s="18" t="str">
        <f t="shared" si="38"/>
        <v/>
      </c>
      <c r="F684" s="20" t="str">
        <f t="shared" si="39"/>
        <v/>
      </c>
      <c r="G684" s="18" t="str">
        <f t="shared" si="41"/>
        <v/>
      </c>
      <c r="I684" s="18" t="str">
        <f>IF($B684="","",H684-IF(Ventas!D684="",0,Ventas!D684))</f>
        <v/>
      </c>
      <c r="J684" t="str">
        <f t="shared" si="40"/>
        <v/>
      </c>
    </row>
    <row r="685" spans="1:10" hidden="1" x14ac:dyDescent="0.2">
      <c r="A685" s="18" t="str">
        <f t="shared" si="38"/>
        <v/>
      </c>
      <c r="F685" s="20" t="str">
        <f t="shared" si="39"/>
        <v/>
      </c>
      <c r="G685" s="18" t="str">
        <f t="shared" si="41"/>
        <v/>
      </c>
      <c r="I685" s="18" t="str">
        <f>IF($B685="","",H685-IF(Ventas!D685="",0,Ventas!D685))</f>
        <v/>
      </c>
      <c r="J685" t="str">
        <f t="shared" si="40"/>
        <v/>
      </c>
    </row>
    <row r="686" spans="1:10" hidden="1" x14ac:dyDescent="0.2">
      <c r="A686" s="18" t="str">
        <f t="shared" si="38"/>
        <v/>
      </c>
      <c r="F686" s="20" t="str">
        <f t="shared" si="39"/>
        <v/>
      </c>
      <c r="G686" s="18" t="str">
        <f t="shared" si="41"/>
        <v/>
      </c>
      <c r="I686" s="18" t="str">
        <f>IF($B686="","",H686-IF(Ventas!D686="",0,Ventas!D686))</f>
        <v/>
      </c>
      <c r="J686" t="str">
        <f t="shared" si="40"/>
        <v/>
      </c>
    </row>
    <row r="687" spans="1:10" hidden="1" x14ac:dyDescent="0.2">
      <c r="A687" s="18" t="str">
        <f t="shared" si="38"/>
        <v/>
      </c>
      <c r="F687" s="20" t="str">
        <f t="shared" si="39"/>
        <v/>
      </c>
      <c r="G687" s="18" t="str">
        <f t="shared" si="41"/>
        <v/>
      </c>
      <c r="I687" s="18" t="str">
        <f>IF($B687="","",H687-IF(Ventas!D687="",0,Ventas!D687))</f>
        <v/>
      </c>
      <c r="J687" t="str">
        <f t="shared" si="40"/>
        <v/>
      </c>
    </row>
    <row r="688" spans="1:10" hidden="1" x14ac:dyDescent="0.2">
      <c r="A688" s="18" t="str">
        <f t="shared" si="38"/>
        <v/>
      </c>
      <c r="F688" s="20" t="str">
        <f t="shared" si="39"/>
        <v/>
      </c>
      <c r="G688" s="18" t="str">
        <f t="shared" si="41"/>
        <v/>
      </c>
      <c r="I688" s="18" t="str">
        <f>IF($B688="","",H688-IF(Ventas!D688="",0,Ventas!D688))</f>
        <v/>
      </c>
      <c r="J688" t="str">
        <f t="shared" si="40"/>
        <v/>
      </c>
    </row>
    <row r="689" spans="1:10" hidden="1" x14ac:dyDescent="0.2">
      <c r="A689" s="18" t="str">
        <f t="shared" si="38"/>
        <v/>
      </c>
      <c r="F689" s="20" t="str">
        <f t="shared" si="39"/>
        <v/>
      </c>
      <c r="G689" s="18" t="str">
        <f t="shared" si="41"/>
        <v/>
      </c>
      <c r="I689" s="18" t="str">
        <f>IF($B689="","",H689-IF(Ventas!D689="",0,Ventas!D689))</f>
        <v/>
      </c>
      <c r="J689" t="str">
        <f t="shared" si="40"/>
        <v/>
      </c>
    </row>
    <row r="690" spans="1:10" hidden="1" x14ac:dyDescent="0.2">
      <c r="A690" s="18" t="str">
        <f t="shared" si="38"/>
        <v/>
      </c>
      <c r="F690" s="20" t="str">
        <f t="shared" si="39"/>
        <v/>
      </c>
      <c r="G690" s="18" t="str">
        <f t="shared" si="41"/>
        <v/>
      </c>
      <c r="I690" s="18" t="str">
        <f>IF($B690="","",H690-IF(Ventas!D690="",0,Ventas!D690))</f>
        <v/>
      </c>
      <c r="J690" t="str">
        <f t="shared" si="40"/>
        <v/>
      </c>
    </row>
    <row r="691" spans="1:10" hidden="1" x14ac:dyDescent="0.2">
      <c r="A691" s="18" t="str">
        <f t="shared" si="38"/>
        <v/>
      </c>
      <c r="F691" s="20" t="str">
        <f t="shared" si="39"/>
        <v/>
      </c>
      <c r="G691" s="18" t="str">
        <f t="shared" si="41"/>
        <v/>
      </c>
      <c r="I691" s="18" t="str">
        <f>IF($B691="","",H691-IF(Ventas!D691="",0,Ventas!D691))</f>
        <v/>
      </c>
      <c r="J691" t="str">
        <f t="shared" si="40"/>
        <v/>
      </c>
    </row>
    <row r="692" spans="1:10" hidden="1" x14ac:dyDescent="0.2">
      <c r="A692" s="18" t="str">
        <f t="shared" si="38"/>
        <v/>
      </c>
      <c r="F692" s="20" t="str">
        <f t="shared" si="39"/>
        <v/>
      </c>
      <c r="G692" s="18" t="str">
        <f t="shared" si="41"/>
        <v/>
      </c>
      <c r="I692" s="18" t="str">
        <f>IF($B692="","",H692-IF(Ventas!D692="",0,Ventas!D692))</f>
        <v/>
      </c>
      <c r="J692" t="str">
        <f t="shared" si="40"/>
        <v/>
      </c>
    </row>
    <row r="693" spans="1:10" hidden="1" x14ac:dyDescent="0.2">
      <c r="A693" s="18" t="str">
        <f t="shared" si="38"/>
        <v/>
      </c>
      <c r="F693" s="20" t="str">
        <f t="shared" si="39"/>
        <v/>
      </c>
      <c r="G693" s="18" t="str">
        <f t="shared" si="41"/>
        <v/>
      </c>
      <c r="I693" s="18" t="str">
        <f>IF($B693="","",H693-IF(Ventas!D693="",0,Ventas!D693))</f>
        <v/>
      </c>
      <c r="J693" t="str">
        <f t="shared" si="40"/>
        <v/>
      </c>
    </row>
    <row r="694" spans="1:10" hidden="1" x14ac:dyDescent="0.2">
      <c r="A694" s="18" t="str">
        <f t="shared" si="38"/>
        <v/>
      </c>
      <c r="F694" s="20" t="str">
        <f t="shared" si="39"/>
        <v/>
      </c>
      <c r="G694" s="18" t="str">
        <f t="shared" si="41"/>
        <v/>
      </c>
      <c r="I694" s="18" t="str">
        <f>IF($B694="","",H694-IF(Ventas!D694="",0,Ventas!D694))</f>
        <v/>
      </c>
      <c r="J694" t="str">
        <f t="shared" si="40"/>
        <v/>
      </c>
    </row>
    <row r="695" spans="1:10" hidden="1" x14ac:dyDescent="0.2">
      <c r="A695" s="18" t="str">
        <f t="shared" si="38"/>
        <v/>
      </c>
      <c r="F695" s="20" t="str">
        <f t="shared" si="39"/>
        <v/>
      </c>
      <c r="G695" s="18" t="str">
        <f t="shared" si="41"/>
        <v/>
      </c>
      <c r="I695" s="18" t="str">
        <f>IF($B695="","",H695-IF(Ventas!D695="",0,Ventas!D695))</f>
        <v/>
      </c>
      <c r="J695" t="str">
        <f t="shared" si="40"/>
        <v/>
      </c>
    </row>
    <row r="696" spans="1:10" hidden="1" x14ac:dyDescent="0.2">
      <c r="A696" s="18" t="str">
        <f t="shared" si="38"/>
        <v/>
      </c>
      <c r="F696" s="20" t="str">
        <f t="shared" si="39"/>
        <v/>
      </c>
      <c r="G696" s="18" t="str">
        <f t="shared" si="41"/>
        <v/>
      </c>
      <c r="I696" s="18" t="str">
        <f>IF($B696="","",H696-IF(Ventas!D696="",0,Ventas!D696))</f>
        <v/>
      </c>
      <c r="J696" t="str">
        <f t="shared" si="40"/>
        <v/>
      </c>
    </row>
    <row r="697" spans="1:10" hidden="1" x14ac:dyDescent="0.2">
      <c r="A697" s="18" t="str">
        <f t="shared" si="38"/>
        <v/>
      </c>
      <c r="F697" s="20" t="str">
        <f t="shared" si="39"/>
        <v/>
      </c>
      <c r="G697" s="18" t="str">
        <f t="shared" si="41"/>
        <v/>
      </c>
      <c r="I697" s="18" t="str">
        <f>IF($B697="","",H697-IF(Ventas!D697="",0,Ventas!D697))</f>
        <v/>
      </c>
      <c r="J697" t="str">
        <f t="shared" si="40"/>
        <v/>
      </c>
    </row>
    <row r="698" spans="1:10" hidden="1" x14ac:dyDescent="0.2">
      <c r="A698" s="18" t="str">
        <f t="shared" si="38"/>
        <v/>
      </c>
      <c r="F698" s="20" t="str">
        <f t="shared" si="39"/>
        <v/>
      </c>
      <c r="G698" s="18" t="str">
        <f t="shared" si="41"/>
        <v/>
      </c>
      <c r="I698" s="18" t="str">
        <f>IF($B698="","",H698-IF(Ventas!D698="",0,Ventas!D698))</f>
        <v/>
      </c>
      <c r="J698" t="str">
        <f t="shared" si="40"/>
        <v/>
      </c>
    </row>
    <row r="699" spans="1:10" hidden="1" x14ac:dyDescent="0.2">
      <c r="A699" s="18" t="str">
        <f t="shared" si="38"/>
        <v/>
      </c>
      <c r="F699" s="20" t="str">
        <f t="shared" si="39"/>
        <v/>
      </c>
      <c r="G699" s="18" t="str">
        <f t="shared" si="41"/>
        <v/>
      </c>
      <c r="I699" s="18" t="str">
        <f>IF($B699="","",H699-IF(Ventas!D699="",0,Ventas!D699))</f>
        <v/>
      </c>
      <c r="J699" t="str">
        <f t="shared" si="40"/>
        <v/>
      </c>
    </row>
    <row r="700" spans="1:10" hidden="1" x14ac:dyDescent="0.2">
      <c r="A700" s="18" t="str">
        <f t="shared" si="38"/>
        <v/>
      </c>
      <c r="F700" s="20" t="str">
        <f t="shared" si="39"/>
        <v/>
      </c>
      <c r="G700" s="18" t="str">
        <f t="shared" si="41"/>
        <v/>
      </c>
      <c r="I700" s="18" t="str">
        <f>IF($B700="","",H700-IF(Ventas!D700="",0,Ventas!D700))</f>
        <v/>
      </c>
      <c r="J700" t="str">
        <f t="shared" si="40"/>
        <v/>
      </c>
    </row>
    <row r="701" spans="1:10" hidden="1" x14ac:dyDescent="0.2">
      <c r="A701" s="18" t="str">
        <f t="shared" si="38"/>
        <v/>
      </c>
      <c r="F701" s="20" t="str">
        <f t="shared" si="39"/>
        <v/>
      </c>
      <c r="G701" s="18" t="str">
        <f t="shared" si="41"/>
        <v/>
      </c>
      <c r="I701" s="18" t="str">
        <f>IF($B701="","",H701-IF(Ventas!D701="",0,Ventas!D701))</f>
        <v/>
      </c>
      <c r="J701" t="str">
        <f t="shared" si="40"/>
        <v/>
      </c>
    </row>
    <row r="702" spans="1:10" hidden="1" x14ac:dyDescent="0.2">
      <c r="A702" s="18" t="str">
        <f t="shared" si="38"/>
        <v/>
      </c>
      <c r="F702" s="20" t="str">
        <f t="shared" si="39"/>
        <v/>
      </c>
      <c r="G702" s="18" t="str">
        <f t="shared" si="41"/>
        <v/>
      </c>
      <c r="I702" s="18" t="str">
        <f>IF($B702="","",H702-IF(Ventas!D702="",0,Ventas!D702))</f>
        <v/>
      </c>
      <c r="J702" t="str">
        <f t="shared" si="40"/>
        <v/>
      </c>
    </row>
    <row r="703" spans="1:10" hidden="1" x14ac:dyDescent="0.2">
      <c r="A703" s="18" t="str">
        <f t="shared" si="38"/>
        <v/>
      </c>
      <c r="F703" s="20" t="str">
        <f t="shared" si="39"/>
        <v/>
      </c>
      <c r="G703" s="18" t="str">
        <f t="shared" si="41"/>
        <v/>
      </c>
      <c r="I703" s="18" t="str">
        <f>IF($B703="","",H703-IF(Ventas!D703="",0,Ventas!D703))</f>
        <v/>
      </c>
      <c r="J703" t="str">
        <f t="shared" si="40"/>
        <v/>
      </c>
    </row>
    <row r="704" spans="1:10" hidden="1" x14ac:dyDescent="0.2">
      <c r="A704" s="18" t="str">
        <f t="shared" si="38"/>
        <v/>
      </c>
      <c r="F704" s="20" t="str">
        <f t="shared" si="39"/>
        <v/>
      </c>
      <c r="G704" s="18" t="str">
        <f t="shared" si="41"/>
        <v/>
      </c>
      <c r="I704" s="18" t="str">
        <f>IF($B704="","",H704-IF(Ventas!D704="",0,Ventas!D704))</f>
        <v/>
      </c>
      <c r="J704" t="str">
        <f t="shared" si="40"/>
        <v/>
      </c>
    </row>
    <row r="705" spans="1:10" hidden="1" x14ac:dyDescent="0.2">
      <c r="A705" s="18" t="str">
        <f t="shared" si="38"/>
        <v/>
      </c>
      <c r="F705" s="20" t="str">
        <f t="shared" si="39"/>
        <v/>
      </c>
      <c r="G705" s="18" t="str">
        <f t="shared" si="41"/>
        <v/>
      </c>
      <c r="I705" s="18" t="str">
        <f>IF($B705="","",H705-IF(Ventas!D705="",0,Ventas!D705))</f>
        <v/>
      </c>
      <c r="J705" t="str">
        <f t="shared" si="40"/>
        <v/>
      </c>
    </row>
    <row r="706" spans="1:10" hidden="1" x14ac:dyDescent="0.2">
      <c r="A706" s="18" t="str">
        <f t="shared" si="38"/>
        <v/>
      </c>
      <c r="F706" s="20" t="str">
        <f t="shared" si="39"/>
        <v/>
      </c>
      <c r="G706" s="18" t="str">
        <f t="shared" si="41"/>
        <v/>
      </c>
      <c r="I706" s="18" t="str">
        <f>IF($B706="","",H706-IF(Ventas!D706="",0,Ventas!D706))</f>
        <v/>
      </c>
      <c r="J706" t="str">
        <f t="shared" si="40"/>
        <v/>
      </c>
    </row>
    <row r="707" spans="1:10" hidden="1" x14ac:dyDescent="0.2">
      <c r="A707" s="18" t="str">
        <f t="shared" ref="A707:A770" si="42">IF(B707="","","P"&amp;TEXT(ROW()-1,"000"))</f>
        <v/>
      </c>
      <c r="F707" s="20" t="str">
        <f t="shared" ref="F707:F770" si="43">IF(OR(E707="",D707="",D707=0),"",E707/D707)</f>
        <v/>
      </c>
      <c r="G707" s="18" t="str">
        <f t="shared" si="41"/>
        <v/>
      </c>
      <c r="I707" s="18" t="str">
        <f>IF($B707="","",H707-IF(Ventas!D707="",0,Ventas!D707))</f>
        <v/>
      </c>
      <c r="J707" t="str">
        <f t="shared" ref="J707:J770" si="44">IF($B707="","",IF(N(I707)=0,"Agotado","Activo"))</f>
        <v/>
      </c>
    </row>
    <row r="708" spans="1:10" hidden="1" x14ac:dyDescent="0.2">
      <c r="A708" s="18" t="str">
        <f t="shared" si="42"/>
        <v/>
      </c>
      <c r="F708" s="20" t="str">
        <f t="shared" si="43"/>
        <v/>
      </c>
      <c r="G708" s="18" t="str">
        <f t="shared" si="41"/>
        <v/>
      </c>
      <c r="I708" s="18" t="str">
        <f>IF($B708="","",H708-IF(Ventas!D708="",0,Ventas!D708))</f>
        <v/>
      </c>
      <c r="J708" t="str">
        <f t="shared" si="44"/>
        <v/>
      </c>
    </row>
    <row r="709" spans="1:10" hidden="1" x14ac:dyDescent="0.2">
      <c r="A709" s="18" t="str">
        <f t="shared" si="42"/>
        <v/>
      </c>
      <c r="F709" s="20" t="str">
        <f t="shared" si="43"/>
        <v/>
      </c>
      <c r="G709" s="18" t="str">
        <f t="shared" si="41"/>
        <v/>
      </c>
      <c r="I709" s="18" t="str">
        <f>IF($B709="","",H709-IF(Ventas!D709="",0,Ventas!D709))</f>
        <v/>
      </c>
      <c r="J709" t="str">
        <f t="shared" si="44"/>
        <v/>
      </c>
    </row>
    <row r="710" spans="1:10" hidden="1" x14ac:dyDescent="0.2">
      <c r="A710" s="18" t="str">
        <f t="shared" si="42"/>
        <v/>
      </c>
      <c r="F710" s="20" t="str">
        <f t="shared" si="43"/>
        <v/>
      </c>
      <c r="G710" s="18" t="str">
        <f t="shared" ref="G710:G773" si="45">IF(F710="","",ROUND(F710*1.33,0))</f>
        <v/>
      </c>
      <c r="I710" s="18" t="str">
        <f>IF($B710="","",H710-IF(Ventas!D710="",0,Ventas!D710))</f>
        <v/>
      </c>
      <c r="J710" t="str">
        <f t="shared" si="44"/>
        <v/>
      </c>
    </row>
    <row r="711" spans="1:10" hidden="1" x14ac:dyDescent="0.2">
      <c r="A711" s="18" t="str">
        <f t="shared" si="42"/>
        <v/>
      </c>
      <c r="F711" s="20" t="str">
        <f t="shared" si="43"/>
        <v/>
      </c>
      <c r="G711" s="18" t="str">
        <f t="shared" si="45"/>
        <v/>
      </c>
      <c r="I711" s="18" t="str">
        <f>IF($B711="","",H711-IF(Ventas!D711="",0,Ventas!D711))</f>
        <v/>
      </c>
      <c r="J711" t="str">
        <f t="shared" si="44"/>
        <v/>
      </c>
    </row>
    <row r="712" spans="1:10" hidden="1" x14ac:dyDescent="0.2">
      <c r="A712" s="18" t="str">
        <f t="shared" si="42"/>
        <v/>
      </c>
      <c r="F712" s="20" t="str">
        <f t="shared" si="43"/>
        <v/>
      </c>
      <c r="G712" s="18" t="str">
        <f t="shared" si="45"/>
        <v/>
      </c>
      <c r="I712" s="18" t="str">
        <f>IF($B712="","",H712-IF(Ventas!D712="",0,Ventas!D712))</f>
        <v/>
      </c>
      <c r="J712" t="str">
        <f t="shared" si="44"/>
        <v/>
      </c>
    </row>
    <row r="713" spans="1:10" hidden="1" x14ac:dyDescent="0.2">
      <c r="A713" s="18" t="str">
        <f t="shared" si="42"/>
        <v/>
      </c>
      <c r="F713" s="20" t="str">
        <f t="shared" si="43"/>
        <v/>
      </c>
      <c r="G713" s="18" t="str">
        <f t="shared" si="45"/>
        <v/>
      </c>
      <c r="I713" s="18" t="str">
        <f>IF($B713="","",H713-IF(Ventas!D713="",0,Ventas!D713))</f>
        <v/>
      </c>
      <c r="J713" t="str">
        <f t="shared" si="44"/>
        <v/>
      </c>
    </row>
    <row r="714" spans="1:10" hidden="1" x14ac:dyDescent="0.2">
      <c r="A714" s="18" t="str">
        <f t="shared" si="42"/>
        <v/>
      </c>
      <c r="F714" s="20" t="str">
        <f t="shared" si="43"/>
        <v/>
      </c>
      <c r="G714" s="18" t="str">
        <f t="shared" si="45"/>
        <v/>
      </c>
      <c r="I714" s="18" t="str">
        <f>IF($B714="","",H714-IF(Ventas!D714="",0,Ventas!D714))</f>
        <v/>
      </c>
      <c r="J714" t="str">
        <f t="shared" si="44"/>
        <v/>
      </c>
    </row>
    <row r="715" spans="1:10" hidden="1" x14ac:dyDescent="0.2">
      <c r="A715" s="18" t="str">
        <f t="shared" si="42"/>
        <v/>
      </c>
      <c r="F715" s="20" t="str">
        <f t="shared" si="43"/>
        <v/>
      </c>
      <c r="G715" s="18" t="str">
        <f t="shared" si="45"/>
        <v/>
      </c>
      <c r="I715" s="18" t="str">
        <f>IF($B715="","",H715-IF(Ventas!D715="",0,Ventas!D715))</f>
        <v/>
      </c>
      <c r="J715" t="str">
        <f t="shared" si="44"/>
        <v/>
      </c>
    </row>
    <row r="716" spans="1:10" hidden="1" x14ac:dyDescent="0.2">
      <c r="A716" s="18" t="str">
        <f t="shared" si="42"/>
        <v/>
      </c>
      <c r="F716" s="20" t="str">
        <f t="shared" si="43"/>
        <v/>
      </c>
      <c r="G716" s="18" t="str">
        <f t="shared" si="45"/>
        <v/>
      </c>
      <c r="I716" s="18" t="str">
        <f>IF($B716="","",H716-IF(Ventas!D716="",0,Ventas!D716))</f>
        <v/>
      </c>
      <c r="J716" t="str">
        <f t="shared" si="44"/>
        <v/>
      </c>
    </row>
    <row r="717" spans="1:10" hidden="1" x14ac:dyDescent="0.2">
      <c r="A717" s="18" t="str">
        <f t="shared" si="42"/>
        <v/>
      </c>
      <c r="F717" s="20" t="str">
        <f t="shared" si="43"/>
        <v/>
      </c>
      <c r="G717" s="18" t="str">
        <f t="shared" si="45"/>
        <v/>
      </c>
      <c r="I717" s="18" t="str">
        <f>IF($B717="","",H717-IF(Ventas!D717="",0,Ventas!D717))</f>
        <v/>
      </c>
      <c r="J717" t="str">
        <f t="shared" si="44"/>
        <v/>
      </c>
    </row>
    <row r="718" spans="1:10" hidden="1" x14ac:dyDescent="0.2">
      <c r="A718" s="18" t="str">
        <f t="shared" si="42"/>
        <v/>
      </c>
      <c r="F718" s="20" t="str">
        <f t="shared" si="43"/>
        <v/>
      </c>
      <c r="G718" s="18" t="str">
        <f t="shared" si="45"/>
        <v/>
      </c>
      <c r="I718" s="18" t="str">
        <f>IF($B718="","",H718-IF(Ventas!D718="",0,Ventas!D718))</f>
        <v/>
      </c>
      <c r="J718" t="str">
        <f t="shared" si="44"/>
        <v/>
      </c>
    </row>
    <row r="719" spans="1:10" hidden="1" x14ac:dyDescent="0.2">
      <c r="A719" s="18" t="str">
        <f t="shared" si="42"/>
        <v/>
      </c>
      <c r="F719" s="20" t="str">
        <f t="shared" si="43"/>
        <v/>
      </c>
      <c r="G719" s="18" t="str">
        <f t="shared" si="45"/>
        <v/>
      </c>
      <c r="I719" s="18" t="str">
        <f>IF($B719="","",H719-IF(Ventas!D719="",0,Ventas!D719))</f>
        <v/>
      </c>
      <c r="J719" t="str">
        <f t="shared" si="44"/>
        <v/>
      </c>
    </row>
    <row r="720" spans="1:10" hidden="1" x14ac:dyDescent="0.2">
      <c r="A720" s="18" t="str">
        <f t="shared" si="42"/>
        <v/>
      </c>
      <c r="F720" s="20" t="str">
        <f t="shared" si="43"/>
        <v/>
      </c>
      <c r="G720" s="18" t="str">
        <f t="shared" si="45"/>
        <v/>
      </c>
      <c r="I720" s="18" t="str">
        <f>IF($B720="","",H720-IF(Ventas!D720="",0,Ventas!D720))</f>
        <v/>
      </c>
      <c r="J720" t="str">
        <f t="shared" si="44"/>
        <v/>
      </c>
    </row>
    <row r="721" spans="1:10" hidden="1" x14ac:dyDescent="0.2">
      <c r="A721" s="18" t="str">
        <f t="shared" si="42"/>
        <v/>
      </c>
      <c r="F721" s="20" t="str">
        <f t="shared" si="43"/>
        <v/>
      </c>
      <c r="G721" s="18" t="str">
        <f t="shared" si="45"/>
        <v/>
      </c>
      <c r="I721" s="18" t="str">
        <f>IF($B721="","",H721-IF(Ventas!D721="",0,Ventas!D721))</f>
        <v/>
      </c>
      <c r="J721" t="str">
        <f t="shared" si="44"/>
        <v/>
      </c>
    </row>
    <row r="722" spans="1:10" hidden="1" x14ac:dyDescent="0.2">
      <c r="A722" s="18" t="str">
        <f t="shared" si="42"/>
        <v/>
      </c>
      <c r="F722" s="20" t="str">
        <f t="shared" si="43"/>
        <v/>
      </c>
      <c r="G722" s="18" t="str">
        <f t="shared" si="45"/>
        <v/>
      </c>
      <c r="I722" s="18" t="str">
        <f>IF($B722="","",H722-IF(Ventas!D722="",0,Ventas!D722))</f>
        <v/>
      </c>
      <c r="J722" t="str">
        <f t="shared" si="44"/>
        <v/>
      </c>
    </row>
    <row r="723" spans="1:10" hidden="1" x14ac:dyDescent="0.2">
      <c r="A723" s="18" t="str">
        <f t="shared" si="42"/>
        <v/>
      </c>
      <c r="F723" s="20" t="str">
        <f t="shared" si="43"/>
        <v/>
      </c>
      <c r="G723" s="18" t="str">
        <f t="shared" si="45"/>
        <v/>
      </c>
      <c r="I723" s="18" t="str">
        <f>IF($B723="","",H723-IF(Ventas!D723="",0,Ventas!D723))</f>
        <v/>
      </c>
      <c r="J723" t="str">
        <f t="shared" si="44"/>
        <v/>
      </c>
    </row>
    <row r="724" spans="1:10" hidden="1" x14ac:dyDescent="0.2">
      <c r="A724" s="18" t="str">
        <f t="shared" si="42"/>
        <v/>
      </c>
      <c r="F724" s="20" t="str">
        <f t="shared" si="43"/>
        <v/>
      </c>
      <c r="G724" s="18" t="str">
        <f t="shared" si="45"/>
        <v/>
      </c>
      <c r="I724" s="18" t="str">
        <f>IF($B724="","",H724-IF(Ventas!D724="",0,Ventas!D724))</f>
        <v/>
      </c>
      <c r="J724" t="str">
        <f t="shared" si="44"/>
        <v/>
      </c>
    </row>
    <row r="725" spans="1:10" hidden="1" x14ac:dyDescent="0.2">
      <c r="A725" s="18" t="str">
        <f t="shared" si="42"/>
        <v/>
      </c>
      <c r="F725" s="20" t="str">
        <f t="shared" si="43"/>
        <v/>
      </c>
      <c r="G725" s="18" t="str">
        <f t="shared" si="45"/>
        <v/>
      </c>
      <c r="I725" s="18" t="str">
        <f>IF($B725="","",H725-IF(Ventas!D725="",0,Ventas!D725))</f>
        <v/>
      </c>
      <c r="J725" t="str">
        <f t="shared" si="44"/>
        <v/>
      </c>
    </row>
    <row r="726" spans="1:10" hidden="1" x14ac:dyDescent="0.2">
      <c r="A726" s="18" t="str">
        <f t="shared" si="42"/>
        <v/>
      </c>
      <c r="F726" s="20" t="str">
        <f t="shared" si="43"/>
        <v/>
      </c>
      <c r="G726" s="18" t="str">
        <f t="shared" si="45"/>
        <v/>
      </c>
      <c r="I726" s="18" t="str">
        <f>IF($B726="","",H726-IF(Ventas!D726="",0,Ventas!D726))</f>
        <v/>
      </c>
      <c r="J726" t="str">
        <f t="shared" si="44"/>
        <v/>
      </c>
    </row>
    <row r="727" spans="1:10" hidden="1" x14ac:dyDescent="0.2">
      <c r="A727" s="18" t="str">
        <f t="shared" si="42"/>
        <v/>
      </c>
      <c r="F727" s="20" t="str">
        <f t="shared" si="43"/>
        <v/>
      </c>
      <c r="G727" s="18" t="str">
        <f t="shared" si="45"/>
        <v/>
      </c>
      <c r="I727" s="18" t="str">
        <f>IF($B727="","",H727-IF(Ventas!D727="",0,Ventas!D727))</f>
        <v/>
      </c>
      <c r="J727" t="str">
        <f t="shared" si="44"/>
        <v/>
      </c>
    </row>
    <row r="728" spans="1:10" hidden="1" x14ac:dyDescent="0.2">
      <c r="A728" s="18" t="str">
        <f t="shared" si="42"/>
        <v/>
      </c>
      <c r="F728" s="20" t="str">
        <f t="shared" si="43"/>
        <v/>
      </c>
      <c r="G728" s="18" t="str">
        <f t="shared" si="45"/>
        <v/>
      </c>
      <c r="I728" s="18" t="str">
        <f>IF($B728="","",H728-IF(Ventas!D728="",0,Ventas!D728))</f>
        <v/>
      </c>
      <c r="J728" t="str">
        <f t="shared" si="44"/>
        <v/>
      </c>
    </row>
    <row r="729" spans="1:10" hidden="1" x14ac:dyDescent="0.2">
      <c r="A729" s="18" t="str">
        <f t="shared" si="42"/>
        <v/>
      </c>
      <c r="F729" s="20" t="str">
        <f t="shared" si="43"/>
        <v/>
      </c>
      <c r="G729" s="18" t="str">
        <f t="shared" si="45"/>
        <v/>
      </c>
      <c r="I729" s="18" t="str">
        <f>IF($B729="","",H729-IF(Ventas!D729="",0,Ventas!D729))</f>
        <v/>
      </c>
      <c r="J729" t="str">
        <f t="shared" si="44"/>
        <v/>
      </c>
    </row>
    <row r="730" spans="1:10" hidden="1" x14ac:dyDescent="0.2">
      <c r="A730" s="18" t="str">
        <f t="shared" si="42"/>
        <v/>
      </c>
      <c r="F730" s="20" t="str">
        <f t="shared" si="43"/>
        <v/>
      </c>
      <c r="G730" s="18" t="str">
        <f t="shared" si="45"/>
        <v/>
      </c>
      <c r="I730" s="18" t="str">
        <f>IF($B730="","",H730-IF(Ventas!D730="",0,Ventas!D730))</f>
        <v/>
      </c>
      <c r="J730" t="str">
        <f t="shared" si="44"/>
        <v/>
      </c>
    </row>
    <row r="731" spans="1:10" hidden="1" x14ac:dyDescent="0.2">
      <c r="A731" s="18" t="str">
        <f t="shared" si="42"/>
        <v/>
      </c>
      <c r="F731" s="20" t="str">
        <f t="shared" si="43"/>
        <v/>
      </c>
      <c r="G731" s="18" t="str">
        <f t="shared" si="45"/>
        <v/>
      </c>
      <c r="I731" s="18" t="str">
        <f>IF($B731="","",H731-IF(Ventas!D731="",0,Ventas!D731))</f>
        <v/>
      </c>
      <c r="J731" t="str">
        <f t="shared" si="44"/>
        <v/>
      </c>
    </row>
    <row r="732" spans="1:10" hidden="1" x14ac:dyDescent="0.2">
      <c r="A732" s="18" t="str">
        <f t="shared" si="42"/>
        <v/>
      </c>
      <c r="F732" s="20" t="str">
        <f t="shared" si="43"/>
        <v/>
      </c>
      <c r="G732" s="18" t="str">
        <f t="shared" si="45"/>
        <v/>
      </c>
      <c r="I732" s="18" t="str">
        <f>IF($B732="","",H732-IF(Ventas!D732="",0,Ventas!D732))</f>
        <v/>
      </c>
      <c r="J732" t="str">
        <f t="shared" si="44"/>
        <v/>
      </c>
    </row>
    <row r="733" spans="1:10" hidden="1" x14ac:dyDescent="0.2">
      <c r="A733" s="18" t="str">
        <f t="shared" si="42"/>
        <v/>
      </c>
      <c r="F733" s="20" t="str">
        <f t="shared" si="43"/>
        <v/>
      </c>
      <c r="G733" s="18" t="str">
        <f t="shared" si="45"/>
        <v/>
      </c>
      <c r="I733" s="18" t="str">
        <f>IF($B733="","",H733-IF(Ventas!D733="",0,Ventas!D733))</f>
        <v/>
      </c>
      <c r="J733" t="str">
        <f t="shared" si="44"/>
        <v/>
      </c>
    </row>
    <row r="734" spans="1:10" hidden="1" x14ac:dyDescent="0.2">
      <c r="A734" s="18" t="str">
        <f t="shared" si="42"/>
        <v/>
      </c>
      <c r="F734" s="20" t="str">
        <f t="shared" si="43"/>
        <v/>
      </c>
      <c r="G734" s="18" t="str">
        <f t="shared" si="45"/>
        <v/>
      </c>
      <c r="I734" s="18" t="str">
        <f>IF($B734="","",H734-IF(Ventas!D734="",0,Ventas!D734))</f>
        <v/>
      </c>
      <c r="J734" t="str">
        <f t="shared" si="44"/>
        <v/>
      </c>
    </row>
    <row r="735" spans="1:10" hidden="1" x14ac:dyDescent="0.2">
      <c r="A735" s="18" t="str">
        <f t="shared" si="42"/>
        <v/>
      </c>
      <c r="F735" s="20" t="str">
        <f t="shared" si="43"/>
        <v/>
      </c>
      <c r="G735" s="18" t="str">
        <f t="shared" si="45"/>
        <v/>
      </c>
      <c r="I735" s="18" t="str">
        <f>IF($B735="","",H735-IF(Ventas!D735="",0,Ventas!D735))</f>
        <v/>
      </c>
      <c r="J735" t="str">
        <f t="shared" si="44"/>
        <v/>
      </c>
    </row>
    <row r="736" spans="1:10" hidden="1" x14ac:dyDescent="0.2">
      <c r="A736" s="18" t="str">
        <f t="shared" si="42"/>
        <v/>
      </c>
      <c r="F736" s="20" t="str">
        <f t="shared" si="43"/>
        <v/>
      </c>
      <c r="G736" s="18" t="str">
        <f t="shared" si="45"/>
        <v/>
      </c>
      <c r="I736" s="18" t="str">
        <f>IF($B736="","",H736-IF(Ventas!D736="",0,Ventas!D736))</f>
        <v/>
      </c>
      <c r="J736" t="str">
        <f t="shared" si="44"/>
        <v/>
      </c>
    </row>
    <row r="737" spans="1:10" hidden="1" x14ac:dyDescent="0.2">
      <c r="A737" s="18" t="str">
        <f t="shared" si="42"/>
        <v/>
      </c>
      <c r="F737" s="20" t="str">
        <f t="shared" si="43"/>
        <v/>
      </c>
      <c r="G737" s="18" t="str">
        <f t="shared" si="45"/>
        <v/>
      </c>
      <c r="I737" s="18" t="str">
        <f>IF($B737="","",H737-IF(Ventas!D737="",0,Ventas!D737))</f>
        <v/>
      </c>
      <c r="J737" t="str">
        <f t="shared" si="44"/>
        <v/>
      </c>
    </row>
    <row r="738" spans="1:10" hidden="1" x14ac:dyDescent="0.2">
      <c r="A738" s="18" t="str">
        <f t="shared" si="42"/>
        <v/>
      </c>
      <c r="F738" s="20" t="str">
        <f t="shared" si="43"/>
        <v/>
      </c>
      <c r="G738" s="18" t="str">
        <f t="shared" si="45"/>
        <v/>
      </c>
      <c r="I738" s="18" t="str">
        <f>IF($B738="","",H738-IF(Ventas!D738="",0,Ventas!D738))</f>
        <v/>
      </c>
      <c r="J738" t="str">
        <f t="shared" si="44"/>
        <v/>
      </c>
    </row>
    <row r="739" spans="1:10" hidden="1" x14ac:dyDescent="0.2">
      <c r="A739" s="18" t="str">
        <f t="shared" si="42"/>
        <v/>
      </c>
      <c r="F739" s="20" t="str">
        <f t="shared" si="43"/>
        <v/>
      </c>
      <c r="G739" s="18" t="str">
        <f t="shared" si="45"/>
        <v/>
      </c>
      <c r="I739" s="18" t="str">
        <f>IF($B739="","",H739-IF(Ventas!D739="",0,Ventas!D739))</f>
        <v/>
      </c>
      <c r="J739" t="str">
        <f t="shared" si="44"/>
        <v/>
      </c>
    </row>
    <row r="740" spans="1:10" hidden="1" x14ac:dyDescent="0.2">
      <c r="A740" s="18" t="str">
        <f t="shared" si="42"/>
        <v/>
      </c>
      <c r="F740" s="20" t="str">
        <f t="shared" si="43"/>
        <v/>
      </c>
      <c r="G740" s="18" t="str">
        <f t="shared" si="45"/>
        <v/>
      </c>
      <c r="I740" s="18" t="str">
        <f>IF($B740="","",H740-IF(Ventas!D740="",0,Ventas!D740))</f>
        <v/>
      </c>
      <c r="J740" t="str">
        <f t="shared" si="44"/>
        <v/>
      </c>
    </row>
    <row r="741" spans="1:10" hidden="1" x14ac:dyDescent="0.2">
      <c r="A741" s="18" t="str">
        <f t="shared" si="42"/>
        <v/>
      </c>
      <c r="F741" s="20" t="str">
        <f t="shared" si="43"/>
        <v/>
      </c>
      <c r="G741" s="18" t="str">
        <f t="shared" si="45"/>
        <v/>
      </c>
      <c r="I741" s="18" t="str">
        <f>IF($B741="","",H741-IF(Ventas!D741="",0,Ventas!D741))</f>
        <v/>
      </c>
      <c r="J741" t="str">
        <f t="shared" si="44"/>
        <v/>
      </c>
    </row>
    <row r="742" spans="1:10" hidden="1" x14ac:dyDescent="0.2">
      <c r="A742" s="18" t="str">
        <f t="shared" si="42"/>
        <v/>
      </c>
      <c r="F742" s="20" t="str">
        <f t="shared" si="43"/>
        <v/>
      </c>
      <c r="G742" s="18" t="str">
        <f t="shared" si="45"/>
        <v/>
      </c>
      <c r="I742" s="18" t="str">
        <f>IF($B742="","",H742-IF(Ventas!D742="",0,Ventas!D742))</f>
        <v/>
      </c>
      <c r="J742" t="str">
        <f t="shared" si="44"/>
        <v/>
      </c>
    </row>
    <row r="743" spans="1:10" hidden="1" x14ac:dyDescent="0.2">
      <c r="A743" s="18" t="str">
        <f t="shared" si="42"/>
        <v/>
      </c>
      <c r="F743" s="20" t="str">
        <f t="shared" si="43"/>
        <v/>
      </c>
      <c r="G743" s="18" t="str">
        <f t="shared" si="45"/>
        <v/>
      </c>
      <c r="I743" s="18" t="str">
        <f>IF($B743="","",H743-IF(Ventas!D743="",0,Ventas!D743))</f>
        <v/>
      </c>
      <c r="J743" t="str">
        <f t="shared" si="44"/>
        <v/>
      </c>
    </row>
    <row r="744" spans="1:10" hidden="1" x14ac:dyDescent="0.2">
      <c r="A744" s="18" t="str">
        <f t="shared" si="42"/>
        <v/>
      </c>
      <c r="F744" s="20" t="str">
        <f t="shared" si="43"/>
        <v/>
      </c>
      <c r="G744" s="18" t="str">
        <f t="shared" si="45"/>
        <v/>
      </c>
      <c r="I744" s="18" t="str">
        <f>IF($B744="","",H744-IF(Ventas!D744="",0,Ventas!D744))</f>
        <v/>
      </c>
      <c r="J744" t="str">
        <f t="shared" si="44"/>
        <v/>
      </c>
    </row>
    <row r="745" spans="1:10" hidden="1" x14ac:dyDescent="0.2">
      <c r="A745" s="18" t="str">
        <f t="shared" si="42"/>
        <v/>
      </c>
      <c r="F745" s="20" t="str">
        <f t="shared" si="43"/>
        <v/>
      </c>
      <c r="G745" s="18" t="str">
        <f t="shared" si="45"/>
        <v/>
      </c>
      <c r="I745" s="18" t="str">
        <f>IF($B745="","",H745-IF(Ventas!D745="",0,Ventas!D745))</f>
        <v/>
      </c>
      <c r="J745" t="str">
        <f t="shared" si="44"/>
        <v/>
      </c>
    </row>
    <row r="746" spans="1:10" hidden="1" x14ac:dyDescent="0.2">
      <c r="A746" s="18" t="str">
        <f t="shared" si="42"/>
        <v/>
      </c>
      <c r="F746" s="20" t="str">
        <f t="shared" si="43"/>
        <v/>
      </c>
      <c r="G746" s="18" t="str">
        <f t="shared" si="45"/>
        <v/>
      </c>
      <c r="I746" s="18" t="str">
        <f>IF($B746="","",H746-IF(Ventas!D746="",0,Ventas!D746))</f>
        <v/>
      </c>
      <c r="J746" t="str">
        <f t="shared" si="44"/>
        <v/>
      </c>
    </row>
    <row r="747" spans="1:10" hidden="1" x14ac:dyDescent="0.2">
      <c r="A747" s="18" t="str">
        <f t="shared" si="42"/>
        <v/>
      </c>
      <c r="F747" s="20" t="str">
        <f t="shared" si="43"/>
        <v/>
      </c>
      <c r="G747" s="18" t="str">
        <f t="shared" si="45"/>
        <v/>
      </c>
      <c r="I747" s="18" t="str">
        <f>IF($B747="","",H747-IF(Ventas!D747="",0,Ventas!D747))</f>
        <v/>
      </c>
      <c r="J747" t="str">
        <f t="shared" si="44"/>
        <v/>
      </c>
    </row>
    <row r="748" spans="1:10" hidden="1" x14ac:dyDescent="0.2">
      <c r="A748" s="18" t="str">
        <f t="shared" si="42"/>
        <v/>
      </c>
      <c r="F748" s="20" t="str">
        <f t="shared" si="43"/>
        <v/>
      </c>
      <c r="G748" s="18" t="str">
        <f t="shared" si="45"/>
        <v/>
      </c>
      <c r="I748" s="18" t="str">
        <f>IF($B748="","",H748-IF(Ventas!D748="",0,Ventas!D748))</f>
        <v/>
      </c>
      <c r="J748" t="str">
        <f t="shared" si="44"/>
        <v/>
      </c>
    </row>
    <row r="749" spans="1:10" hidden="1" x14ac:dyDescent="0.2">
      <c r="A749" s="18" t="str">
        <f t="shared" si="42"/>
        <v/>
      </c>
      <c r="F749" s="20" t="str">
        <f t="shared" si="43"/>
        <v/>
      </c>
      <c r="G749" s="18" t="str">
        <f t="shared" si="45"/>
        <v/>
      </c>
      <c r="I749" s="18" t="str">
        <f>IF($B749="","",H749-IF(Ventas!D749="",0,Ventas!D749))</f>
        <v/>
      </c>
      <c r="J749" t="str">
        <f t="shared" si="44"/>
        <v/>
      </c>
    </row>
    <row r="750" spans="1:10" hidden="1" x14ac:dyDescent="0.2">
      <c r="A750" s="18" t="str">
        <f t="shared" si="42"/>
        <v/>
      </c>
      <c r="F750" s="20" t="str">
        <f t="shared" si="43"/>
        <v/>
      </c>
      <c r="G750" s="18" t="str">
        <f t="shared" si="45"/>
        <v/>
      </c>
      <c r="I750" s="18" t="str">
        <f>IF($B750="","",H750-IF(Ventas!D750="",0,Ventas!D750))</f>
        <v/>
      </c>
      <c r="J750" t="str">
        <f t="shared" si="44"/>
        <v/>
      </c>
    </row>
    <row r="751" spans="1:10" hidden="1" x14ac:dyDescent="0.2">
      <c r="A751" s="18" t="str">
        <f t="shared" si="42"/>
        <v/>
      </c>
      <c r="F751" s="20" t="str">
        <f t="shared" si="43"/>
        <v/>
      </c>
      <c r="G751" s="18" t="str">
        <f t="shared" si="45"/>
        <v/>
      </c>
      <c r="I751" s="18" t="str">
        <f>IF($B751="","",H751-IF(Ventas!D751="",0,Ventas!D751))</f>
        <v/>
      </c>
      <c r="J751" t="str">
        <f t="shared" si="44"/>
        <v/>
      </c>
    </row>
    <row r="752" spans="1:10" hidden="1" x14ac:dyDescent="0.2">
      <c r="A752" s="18" t="str">
        <f t="shared" si="42"/>
        <v/>
      </c>
      <c r="F752" s="20" t="str">
        <f t="shared" si="43"/>
        <v/>
      </c>
      <c r="G752" s="18" t="str">
        <f t="shared" si="45"/>
        <v/>
      </c>
      <c r="I752" s="18" t="str">
        <f>IF($B752="","",H752-IF(Ventas!D752="",0,Ventas!D752))</f>
        <v/>
      </c>
      <c r="J752" t="str">
        <f t="shared" si="44"/>
        <v/>
      </c>
    </row>
    <row r="753" spans="1:10" hidden="1" x14ac:dyDescent="0.2">
      <c r="A753" s="18" t="str">
        <f t="shared" si="42"/>
        <v/>
      </c>
      <c r="F753" s="20" t="str">
        <f t="shared" si="43"/>
        <v/>
      </c>
      <c r="G753" s="18" t="str">
        <f t="shared" si="45"/>
        <v/>
      </c>
      <c r="I753" s="18" t="str">
        <f>IF($B753="","",H753-IF(Ventas!D753="",0,Ventas!D753))</f>
        <v/>
      </c>
      <c r="J753" t="str">
        <f t="shared" si="44"/>
        <v/>
      </c>
    </row>
    <row r="754" spans="1:10" hidden="1" x14ac:dyDescent="0.2">
      <c r="A754" s="18" t="str">
        <f t="shared" si="42"/>
        <v/>
      </c>
      <c r="F754" s="20" t="str">
        <f t="shared" si="43"/>
        <v/>
      </c>
      <c r="G754" s="18" t="str">
        <f t="shared" si="45"/>
        <v/>
      </c>
      <c r="I754" s="18" t="str">
        <f>IF($B754="","",H754-IF(Ventas!D754="",0,Ventas!D754))</f>
        <v/>
      </c>
      <c r="J754" t="str">
        <f t="shared" si="44"/>
        <v/>
      </c>
    </row>
    <row r="755" spans="1:10" hidden="1" x14ac:dyDescent="0.2">
      <c r="A755" s="18" t="str">
        <f t="shared" si="42"/>
        <v/>
      </c>
      <c r="F755" s="20" t="str">
        <f t="shared" si="43"/>
        <v/>
      </c>
      <c r="G755" s="18" t="str">
        <f t="shared" si="45"/>
        <v/>
      </c>
      <c r="I755" s="18" t="str">
        <f>IF($B755="","",H755-IF(Ventas!D755="",0,Ventas!D755))</f>
        <v/>
      </c>
      <c r="J755" t="str">
        <f t="shared" si="44"/>
        <v/>
      </c>
    </row>
    <row r="756" spans="1:10" hidden="1" x14ac:dyDescent="0.2">
      <c r="A756" s="18" t="str">
        <f t="shared" si="42"/>
        <v/>
      </c>
      <c r="F756" s="20" t="str">
        <f t="shared" si="43"/>
        <v/>
      </c>
      <c r="G756" s="18" t="str">
        <f t="shared" si="45"/>
        <v/>
      </c>
      <c r="I756" s="18" t="str">
        <f>IF($B756="","",H756-IF(Ventas!D756="",0,Ventas!D756))</f>
        <v/>
      </c>
      <c r="J756" t="str">
        <f t="shared" si="44"/>
        <v/>
      </c>
    </row>
    <row r="757" spans="1:10" hidden="1" x14ac:dyDescent="0.2">
      <c r="A757" s="18" t="str">
        <f t="shared" si="42"/>
        <v/>
      </c>
      <c r="F757" s="20" t="str">
        <f t="shared" si="43"/>
        <v/>
      </c>
      <c r="G757" s="18" t="str">
        <f t="shared" si="45"/>
        <v/>
      </c>
      <c r="I757" s="18" t="str">
        <f>IF($B757="","",H757-IF(Ventas!D757="",0,Ventas!D757))</f>
        <v/>
      </c>
      <c r="J757" t="str">
        <f t="shared" si="44"/>
        <v/>
      </c>
    </row>
    <row r="758" spans="1:10" hidden="1" x14ac:dyDescent="0.2">
      <c r="A758" s="18" t="str">
        <f t="shared" si="42"/>
        <v/>
      </c>
      <c r="F758" s="20" t="str">
        <f t="shared" si="43"/>
        <v/>
      </c>
      <c r="G758" s="18" t="str">
        <f t="shared" si="45"/>
        <v/>
      </c>
      <c r="I758" s="18" t="str">
        <f>IF($B758="","",H758-IF(Ventas!D758="",0,Ventas!D758))</f>
        <v/>
      </c>
      <c r="J758" t="str">
        <f t="shared" si="44"/>
        <v/>
      </c>
    </row>
    <row r="759" spans="1:10" hidden="1" x14ac:dyDescent="0.2">
      <c r="A759" s="18" t="str">
        <f t="shared" si="42"/>
        <v/>
      </c>
      <c r="F759" s="20" t="str">
        <f t="shared" si="43"/>
        <v/>
      </c>
      <c r="G759" s="18" t="str">
        <f t="shared" si="45"/>
        <v/>
      </c>
      <c r="I759" s="18" t="str">
        <f>IF($B759="","",H759-IF(Ventas!D759="",0,Ventas!D759))</f>
        <v/>
      </c>
      <c r="J759" t="str">
        <f t="shared" si="44"/>
        <v/>
      </c>
    </row>
    <row r="760" spans="1:10" hidden="1" x14ac:dyDescent="0.2">
      <c r="A760" s="18" t="str">
        <f t="shared" si="42"/>
        <v/>
      </c>
      <c r="F760" s="20" t="str">
        <f t="shared" si="43"/>
        <v/>
      </c>
      <c r="G760" s="18" t="str">
        <f t="shared" si="45"/>
        <v/>
      </c>
      <c r="I760" s="18" t="str">
        <f>IF($B760="","",H760-IF(Ventas!D760="",0,Ventas!D760))</f>
        <v/>
      </c>
      <c r="J760" t="str">
        <f t="shared" si="44"/>
        <v/>
      </c>
    </row>
    <row r="761" spans="1:10" hidden="1" x14ac:dyDescent="0.2">
      <c r="A761" s="18" t="str">
        <f t="shared" si="42"/>
        <v/>
      </c>
      <c r="F761" s="20" t="str">
        <f t="shared" si="43"/>
        <v/>
      </c>
      <c r="G761" s="18" t="str">
        <f t="shared" si="45"/>
        <v/>
      </c>
      <c r="I761" s="18" t="str">
        <f>IF($B761="","",H761-IF(Ventas!D761="",0,Ventas!D761))</f>
        <v/>
      </c>
      <c r="J761" t="str">
        <f t="shared" si="44"/>
        <v/>
      </c>
    </row>
    <row r="762" spans="1:10" hidden="1" x14ac:dyDescent="0.2">
      <c r="A762" s="18" t="str">
        <f t="shared" si="42"/>
        <v/>
      </c>
      <c r="F762" s="20" t="str">
        <f t="shared" si="43"/>
        <v/>
      </c>
      <c r="G762" s="18" t="str">
        <f t="shared" si="45"/>
        <v/>
      </c>
      <c r="I762" s="18" t="str">
        <f>IF($B762="","",H762-IF(Ventas!D762="",0,Ventas!D762))</f>
        <v/>
      </c>
      <c r="J762" t="str">
        <f t="shared" si="44"/>
        <v/>
      </c>
    </row>
    <row r="763" spans="1:10" hidden="1" x14ac:dyDescent="0.2">
      <c r="A763" s="18" t="str">
        <f t="shared" si="42"/>
        <v/>
      </c>
      <c r="F763" s="20" t="str">
        <f t="shared" si="43"/>
        <v/>
      </c>
      <c r="G763" s="18" t="str">
        <f t="shared" si="45"/>
        <v/>
      </c>
      <c r="I763" s="18" t="str">
        <f>IF($B763="","",H763-IF(Ventas!D763="",0,Ventas!D763))</f>
        <v/>
      </c>
      <c r="J763" t="str">
        <f t="shared" si="44"/>
        <v/>
      </c>
    </row>
    <row r="764" spans="1:10" hidden="1" x14ac:dyDescent="0.2">
      <c r="A764" s="18" t="str">
        <f t="shared" si="42"/>
        <v/>
      </c>
      <c r="F764" s="20" t="str">
        <f t="shared" si="43"/>
        <v/>
      </c>
      <c r="G764" s="18" t="str">
        <f t="shared" si="45"/>
        <v/>
      </c>
      <c r="I764" s="18" t="str">
        <f>IF($B764="","",H764-IF(Ventas!D764="",0,Ventas!D764))</f>
        <v/>
      </c>
      <c r="J764" t="str">
        <f t="shared" si="44"/>
        <v/>
      </c>
    </row>
    <row r="765" spans="1:10" hidden="1" x14ac:dyDescent="0.2">
      <c r="A765" s="18" t="str">
        <f t="shared" si="42"/>
        <v/>
      </c>
      <c r="F765" s="20" t="str">
        <f t="shared" si="43"/>
        <v/>
      </c>
      <c r="G765" s="18" t="str">
        <f t="shared" si="45"/>
        <v/>
      </c>
      <c r="I765" s="18" t="str">
        <f>IF($B765="","",H765-IF(Ventas!D765="",0,Ventas!D765))</f>
        <v/>
      </c>
      <c r="J765" t="str">
        <f t="shared" si="44"/>
        <v/>
      </c>
    </row>
    <row r="766" spans="1:10" hidden="1" x14ac:dyDescent="0.2">
      <c r="A766" s="18" t="str">
        <f t="shared" si="42"/>
        <v/>
      </c>
      <c r="F766" s="20" t="str">
        <f t="shared" si="43"/>
        <v/>
      </c>
      <c r="G766" s="18" t="str">
        <f t="shared" si="45"/>
        <v/>
      </c>
      <c r="I766" s="18" t="str">
        <f>IF($B766="","",H766-IF(Ventas!D766="",0,Ventas!D766))</f>
        <v/>
      </c>
      <c r="J766" t="str">
        <f t="shared" si="44"/>
        <v/>
      </c>
    </row>
    <row r="767" spans="1:10" hidden="1" x14ac:dyDescent="0.2">
      <c r="A767" s="18" t="str">
        <f t="shared" si="42"/>
        <v/>
      </c>
      <c r="F767" s="20" t="str">
        <f t="shared" si="43"/>
        <v/>
      </c>
      <c r="G767" s="18" t="str">
        <f t="shared" si="45"/>
        <v/>
      </c>
      <c r="I767" s="18" t="str">
        <f>IF($B767="","",H767-IF(Ventas!D767="",0,Ventas!D767))</f>
        <v/>
      </c>
      <c r="J767" t="str">
        <f t="shared" si="44"/>
        <v/>
      </c>
    </row>
    <row r="768" spans="1:10" hidden="1" x14ac:dyDescent="0.2">
      <c r="A768" s="18" t="str">
        <f t="shared" si="42"/>
        <v/>
      </c>
      <c r="F768" s="20" t="str">
        <f t="shared" si="43"/>
        <v/>
      </c>
      <c r="G768" s="18" t="str">
        <f t="shared" si="45"/>
        <v/>
      </c>
      <c r="I768" s="18" t="str">
        <f>IF($B768="","",H768-IF(Ventas!D768="",0,Ventas!D768))</f>
        <v/>
      </c>
      <c r="J768" t="str">
        <f t="shared" si="44"/>
        <v/>
      </c>
    </row>
    <row r="769" spans="1:10" hidden="1" x14ac:dyDescent="0.2">
      <c r="A769" s="18" t="str">
        <f t="shared" si="42"/>
        <v/>
      </c>
      <c r="F769" s="20" t="str">
        <f t="shared" si="43"/>
        <v/>
      </c>
      <c r="G769" s="18" t="str">
        <f t="shared" si="45"/>
        <v/>
      </c>
      <c r="I769" s="18" t="str">
        <f>IF($B769="","",H769-IF(Ventas!D769="",0,Ventas!D769))</f>
        <v/>
      </c>
      <c r="J769" t="str">
        <f t="shared" si="44"/>
        <v/>
      </c>
    </row>
    <row r="770" spans="1:10" hidden="1" x14ac:dyDescent="0.2">
      <c r="A770" s="18" t="str">
        <f t="shared" si="42"/>
        <v/>
      </c>
      <c r="F770" s="20" t="str">
        <f t="shared" si="43"/>
        <v/>
      </c>
      <c r="G770" s="18" t="str">
        <f t="shared" si="45"/>
        <v/>
      </c>
      <c r="I770" s="18" t="str">
        <f>IF($B770="","",H770-IF(Ventas!D770="",0,Ventas!D770))</f>
        <v/>
      </c>
      <c r="J770" t="str">
        <f t="shared" si="44"/>
        <v/>
      </c>
    </row>
    <row r="771" spans="1:10" hidden="1" x14ac:dyDescent="0.2">
      <c r="A771" s="18" t="str">
        <f t="shared" ref="A771:A834" si="46">IF(B771="","","P"&amp;TEXT(ROW()-1,"000"))</f>
        <v/>
      </c>
      <c r="F771" s="20" t="str">
        <f t="shared" ref="F771:F834" si="47">IF(OR(E771="",D771="",D771=0),"",E771/D771)</f>
        <v/>
      </c>
      <c r="G771" s="18" t="str">
        <f t="shared" si="45"/>
        <v/>
      </c>
      <c r="I771" s="18" t="str">
        <f>IF($B771="","",H771-IF(Ventas!D771="",0,Ventas!D771))</f>
        <v/>
      </c>
      <c r="J771" t="str">
        <f t="shared" ref="J771:J834" si="48">IF($B771="","",IF(N(I771)=0,"Agotado","Activo"))</f>
        <v/>
      </c>
    </row>
    <row r="772" spans="1:10" hidden="1" x14ac:dyDescent="0.2">
      <c r="A772" s="18" t="str">
        <f t="shared" si="46"/>
        <v/>
      </c>
      <c r="F772" s="20" t="str">
        <f t="shared" si="47"/>
        <v/>
      </c>
      <c r="G772" s="18" t="str">
        <f t="shared" si="45"/>
        <v/>
      </c>
      <c r="I772" s="18" t="str">
        <f>IF($B772="","",H772-IF(Ventas!D772="",0,Ventas!D772))</f>
        <v/>
      </c>
      <c r="J772" t="str">
        <f t="shared" si="48"/>
        <v/>
      </c>
    </row>
    <row r="773" spans="1:10" hidden="1" x14ac:dyDescent="0.2">
      <c r="A773" s="18" t="str">
        <f t="shared" si="46"/>
        <v/>
      </c>
      <c r="F773" s="20" t="str">
        <f t="shared" si="47"/>
        <v/>
      </c>
      <c r="G773" s="18" t="str">
        <f t="shared" si="45"/>
        <v/>
      </c>
      <c r="I773" s="18" t="str">
        <f>IF($B773="","",H773-IF(Ventas!D773="",0,Ventas!D773))</f>
        <v/>
      </c>
      <c r="J773" t="str">
        <f t="shared" si="48"/>
        <v/>
      </c>
    </row>
    <row r="774" spans="1:10" hidden="1" x14ac:dyDescent="0.2">
      <c r="A774" s="18" t="str">
        <f t="shared" si="46"/>
        <v/>
      </c>
      <c r="F774" s="20" t="str">
        <f t="shared" si="47"/>
        <v/>
      </c>
      <c r="G774" s="18" t="str">
        <f t="shared" ref="G774:G837" si="49">IF(F774="","",ROUND(F774*1.33,0))</f>
        <v/>
      </c>
      <c r="I774" s="18" t="str">
        <f>IF($B774="","",H774-IF(Ventas!D774="",0,Ventas!D774))</f>
        <v/>
      </c>
      <c r="J774" t="str">
        <f t="shared" si="48"/>
        <v/>
      </c>
    </row>
    <row r="775" spans="1:10" hidden="1" x14ac:dyDescent="0.2">
      <c r="A775" s="18" t="str">
        <f t="shared" si="46"/>
        <v/>
      </c>
      <c r="F775" s="20" t="str">
        <f t="shared" si="47"/>
        <v/>
      </c>
      <c r="G775" s="18" t="str">
        <f t="shared" si="49"/>
        <v/>
      </c>
      <c r="I775" s="18" t="str">
        <f>IF($B775="","",H775-IF(Ventas!D775="",0,Ventas!D775))</f>
        <v/>
      </c>
      <c r="J775" t="str">
        <f t="shared" si="48"/>
        <v/>
      </c>
    </row>
    <row r="776" spans="1:10" hidden="1" x14ac:dyDescent="0.2">
      <c r="A776" s="18" t="str">
        <f t="shared" si="46"/>
        <v/>
      </c>
      <c r="F776" s="20" t="str">
        <f t="shared" si="47"/>
        <v/>
      </c>
      <c r="G776" s="18" t="str">
        <f t="shared" si="49"/>
        <v/>
      </c>
      <c r="I776" s="18" t="str">
        <f>IF($B776="","",H776-IF(Ventas!D776="",0,Ventas!D776))</f>
        <v/>
      </c>
      <c r="J776" t="str">
        <f t="shared" si="48"/>
        <v/>
      </c>
    </row>
    <row r="777" spans="1:10" hidden="1" x14ac:dyDescent="0.2">
      <c r="A777" s="18" t="str">
        <f t="shared" si="46"/>
        <v/>
      </c>
      <c r="F777" s="20" t="str">
        <f t="shared" si="47"/>
        <v/>
      </c>
      <c r="G777" s="18" t="str">
        <f t="shared" si="49"/>
        <v/>
      </c>
      <c r="I777" s="18" t="str">
        <f>IF($B777="","",H777-IF(Ventas!D777="",0,Ventas!D777))</f>
        <v/>
      </c>
      <c r="J777" t="str">
        <f t="shared" si="48"/>
        <v/>
      </c>
    </row>
    <row r="778" spans="1:10" hidden="1" x14ac:dyDescent="0.2">
      <c r="A778" s="18" t="str">
        <f t="shared" si="46"/>
        <v/>
      </c>
      <c r="F778" s="20" t="str">
        <f t="shared" si="47"/>
        <v/>
      </c>
      <c r="G778" s="18" t="str">
        <f t="shared" si="49"/>
        <v/>
      </c>
      <c r="I778" s="18" t="str">
        <f>IF($B778="","",H778-IF(Ventas!D778="",0,Ventas!D778))</f>
        <v/>
      </c>
      <c r="J778" t="str">
        <f t="shared" si="48"/>
        <v/>
      </c>
    </row>
    <row r="779" spans="1:10" hidden="1" x14ac:dyDescent="0.2">
      <c r="A779" s="18" t="str">
        <f t="shared" si="46"/>
        <v/>
      </c>
      <c r="F779" s="20" t="str">
        <f t="shared" si="47"/>
        <v/>
      </c>
      <c r="G779" s="18" t="str">
        <f t="shared" si="49"/>
        <v/>
      </c>
      <c r="I779" s="18" t="str">
        <f>IF($B779="","",H779-IF(Ventas!D779="",0,Ventas!D779))</f>
        <v/>
      </c>
      <c r="J779" t="str">
        <f t="shared" si="48"/>
        <v/>
      </c>
    </row>
    <row r="780" spans="1:10" hidden="1" x14ac:dyDescent="0.2">
      <c r="A780" s="18" t="str">
        <f t="shared" si="46"/>
        <v/>
      </c>
      <c r="F780" s="20" t="str">
        <f t="shared" si="47"/>
        <v/>
      </c>
      <c r="G780" s="18" t="str">
        <f t="shared" si="49"/>
        <v/>
      </c>
      <c r="I780" s="18" t="str">
        <f>IF($B780="","",H780-IF(Ventas!D780="",0,Ventas!D780))</f>
        <v/>
      </c>
      <c r="J780" t="str">
        <f t="shared" si="48"/>
        <v/>
      </c>
    </row>
    <row r="781" spans="1:10" hidden="1" x14ac:dyDescent="0.2">
      <c r="A781" s="18" t="str">
        <f t="shared" si="46"/>
        <v/>
      </c>
      <c r="F781" s="20" t="str">
        <f t="shared" si="47"/>
        <v/>
      </c>
      <c r="G781" s="18" t="str">
        <f t="shared" si="49"/>
        <v/>
      </c>
      <c r="I781" s="18" t="str">
        <f>IF($B781="","",H781-IF(Ventas!D781="",0,Ventas!D781))</f>
        <v/>
      </c>
      <c r="J781" t="str">
        <f t="shared" si="48"/>
        <v/>
      </c>
    </row>
    <row r="782" spans="1:10" hidden="1" x14ac:dyDescent="0.2">
      <c r="A782" s="18" t="str">
        <f t="shared" si="46"/>
        <v/>
      </c>
      <c r="F782" s="20" t="str">
        <f t="shared" si="47"/>
        <v/>
      </c>
      <c r="G782" s="18" t="str">
        <f t="shared" si="49"/>
        <v/>
      </c>
      <c r="I782" s="18" t="str">
        <f>IF($B782="","",H782-IF(Ventas!D782="",0,Ventas!D782))</f>
        <v/>
      </c>
      <c r="J782" t="str">
        <f t="shared" si="48"/>
        <v/>
      </c>
    </row>
    <row r="783" spans="1:10" hidden="1" x14ac:dyDescent="0.2">
      <c r="A783" s="18" t="str">
        <f t="shared" si="46"/>
        <v/>
      </c>
      <c r="F783" s="20" t="str">
        <f t="shared" si="47"/>
        <v/>
      </c>
      <c r="G783" s="18" t="str">
        <f t="shared" si="49"/>
        <v/>
      </c>
      <c r="I783" s="18" t="str">
        <f>IF($B783="","",H783-IF(Ventas!D783="",0,Ventas!D783))</f>
        <v/>
      </c>
      <c r="J783" t="str">
        <f t="shared" si="48"/>
        <v/>
      </c>
    </row>
    <row r="784" spans="1:10" hidden="1" x14ac:dyDescent="0.2">
      <c r="A784" s="18" t="str">
        <f t="shared" si="46"/>
        <v/>
      </c>
      <c r="F784" s="20" t="str">
        <f t="shared" si="47"/>
        <v/>
      </c>
      <c r="G784" s="18" t="str">
        <f t="shared" si="49"/>
        <v/>
      </c>
      <c r="I784" s="18" t="str">
        <f>IF($B784="","",H784-IF(Ventas!D784="",0,Ventas!D784))</f>
        <v/>
      </c>
      <c r="J784" t="str">
        <f t="shared" si="48"/>
        <v/>
      </c>
    </row>
    <row r="785" spans="1:10" hidden="1" x14ac:dyDescent="0.2">
      <c r="A785" s="18" t="str">
        <f t="shared" si="46"/>
        <v/>
      </c>
      <c r="F785" s="20" t="str">
        <f t="shared" si="47"/>
        <v/>
      </c>
      <c r="G785" s="18" t="str">
        <f t="shared" si="49"/>
        <v/>
      </c>
      <c r="I785" s="18" t="str">
        <f>IF($B785="","",H785-IF(Ventas!D785="",0,Ventas!D785))</f>
        <v/>
      </c>
      <c r="J785" t="str">
        <f t="shared" si="48"/>
        <v/>
      </c>
    </row>
    <row r="786" spans="1:10" hidden="1" x14ac:dyDescent="0.2">
      <c r="A786" s="18" t="str">
        <f t="shared" si="46"/>
        <v/>
      </c>
      <c r="F786" s="20" t="str">
        <f t="shared" si="47"/>
        <v/>
      </c>
      <c r="G786" s="18" t="str">
        <f t="shared" si="49"/>
        <v/>
      </c>
      <c r="I786" s="18" t="str">
        <f>IF($B786="","",H786-IF(Ventas!D786="",0,Ventas!D786))</f>
        <v/>
      </c>
      <c r="J786" t="str">
        <f t="shared" si="48"/>
        <v/>
      </c>
    </row>
    <row r="787" spans="1:10" hidden="1" x14ac:dyDescent="0.2">
      <c r="A787" s="18" t="str">
        <f t="shared" si="46"/>
        <v/>
      </c>
      <c r="F787" s="20" t="str">
        <f t="shared" si="47"/>
        <v/>
      </c>
      <c r="G787" s="18" t="str">
        <f t="shared" si="49"/>
        <v/>
      </c>
      <c r="I787" s="18" t="str">
        <f>IF($B787="","",H787-IF(Ventas!D787="",0,Ventas!D787))</f>
        <v/>
      </c>
      <c r="J787" t="str">
        <f t="shared" si="48"/>
        <v/>
      </c>
    </row>
    <row r="788" spans="1:10" hidden="1" x14ac:dyDescent="0.2">
      <c r="A788" s="18" t="str">
        <f t="shared" si="46"/>
        <v/>
      </c>
      <c r="F788" s="20" t="str">
        <f t="shared" si="47"/>
        <v/>
      </c>
      <c r="G788" s="18" t="str">
        <f t="shared" si="49"/>
        <v/>
      </c>
      <c r="I788" s="18" t="str">
        <f>IF($B788="","",H788-IF(Ventas!D788="",0,Ventas!D788))</f>
        <v/>
      </c>
      <c r="J788" t="str">
        <f t="shared" si="48"/>
        <v/>
      </c>
    </row>
    <row r="789" spans="1:10" hidden="1" x14ac:dyDescent="0.2">
      <c r="A789" s="18" t="str">
        <f t="shared" si="46"/>
        <v/>
      </c>
      <c r="F789" s="20" t="str">
        <f t="shared" si="47"/>
        <v/>
      </c>
      <c r="G789" s="18" t="str">
        <f t="shared" si="49"/>
        <v/>
      </c>
      <c r="I789" s="18" t="str">
        <f>IF($B789="","",H789-IF(Ventas!D789="",0,Ventas!D789))</f>
        <v/>
      </c>
      <c r="J789" t="str">
        <f t="shared" si="48"/>
        <v/>
      </c>
    </row>
    <row r="790" spans="1:10" hidden="1" x14ac:dyDescent="0.2">
      <c r="A790" s="18" t="str">
        <f t="shared" si="46"/>
        <v/>
      </c>
      <c r="F790" s="20" t="str">
        <f t="shared" si="47"/>
        <v/>
      </c>
      <c r="G790" s="18" t="str">
        <f t="shared" si="49"/>
        <v/>
      </c>
      <c r="I790" s="18" t="str">
        <f>IF($B790="","",H790-IF(Ventas!D790="",0,Ventas!D790))</f>
        <v/>
      </c>
      <c r="J790" t="str">
        <f t="shared" si="48"/>
        <v/>
      </c>
    </row>
    <row r="791" spans="1:10" hidden="1" x14ac:dyDescent="0.2">
      <c r="A791" s="18" t="str">
        <f t="shared" si="46"/>
        <v/>
      </c>
      <c r="F791" s="20" t="str">
        <f t="shared" si="47"/>
        <v/>
      </c>
      <c r="G791" s="18" t="str">
        <f t="shared" si="49"/>
        <v/>
      </c>
      <c r="I791" s="18" t="str">
        <f>IF($B791="","",H791-IF(Ventas!D791="",0,Ventas!D791))</f>
        <v/>
      </c>
      <c r="J791" t="str">
        <f t="shared" si="48"/>
        <v/>
      </c>
    </row>
    <row r="792" spans="1:10" hidden="1" x14ac:dyDescent="0.2">
      <c r="A792" s="18" t="str">
        <f t="shared" si="46"/>
        <v/>
      </c>
      <c r="F792" s="20" t="str">
        <f t="shared" si="47"/>
        <v/>
      </c>
      <c r="G792" s="18" t="str">
        <f t="shared" si="49"/>
        <v/>
      </c>
      <c r="I792" s="18" t="str">
        <f>IF($B792="","",H792-IF(Ventas!D792="",0,Ventas!D792))</f>
        <v/>
      </c>
      <c r="J792" t="str">
        <f t="shared" si="48"/>
        <v/>
      </c>
    </row>
    <row r="793" spans="1:10" hidden="1" x14ac:dyDescent="0.2">
      <c r="A793" s="18" t="str">
        <f t="shared" si="46"/>
        <v/>
      </c>
      <c r="F793" s="20" t="str">
        <f t="shared" si="47"/>
        <v/>
      </c>
      <c r="G793" s="18" t="str">
        <f t="shared" si="49"/>
        <v/>
      </c>
      <c r="I793" s="18" t="str">
        <f>IF($B793="","",H793-IF(Ventas!D793="",0,Ventas!D793))</f>
        <v/>
      </c>
      <c r="J793" t="str">
        <f t="shared" si="48"/>
        <v/>
      </c>
    </row>
    <row r="794" spans="1:10" hidden="1" x14ac:dyDescent="0.2">
      <c r="A794" s="18" t="str">
        <f t="shared" si="46"/>
        <v/>
      </c>
      <c r="F794" s="20" t="str">
        <f t="shared" si="47"/>
        <v/>
      </c>
      <c r="G794" s="18" t="str">
        <f t="shared" si="49"/>
        <v/>
      </c>
      <c r="I794" s="18" t="str">
        <f>IF($B794="","",H794-IF(Ventas!D794="",0,Ventas!D794))</f>
        <v/>
      </c>
      <c r="J794" t="str">
        <f t="shared" si="48"/>
        <v/>
      </c>
    </row>
    <row r="795" spans="1:10" hidden="1" x14ac:dyDescent="0.2">
      <c r="A795" s="18" t="str">
        <f t="shared" si="46"/>
        <v/>
      </c>
      <c r="F795" s="20" t="str">
        <f t="shared" si="47"/>
        <v/>
      </c>
      <c r="G795" s="18" t="str">
        <f t="shared" si="49"/>
        <v/>
      </c>
      <c r="I795" s="18" t="str">
        <f>IF($B795="","",H795-IF(Ventas!D795="",0,Ventas!D795))</f>
        <v/>
      </c>
      <c r="J795" t="str">
        <f t="shared" si="48"/>
        <v/>
      </c>
    </row>
    <row r="796" spans="1:10" hidden="1" x14ac:dyDescent="0.2">
      <c r="A796" s="18" t="str">
        <f t="shared" si="46"/>
        <v/>
      </c>
      <c r="F796" s="20" t="str">
        <f t="shared" si="47"/>
        <v/>
      </c>
      <c r="G796" s="18" t="str">
        <f t="shared" si="49"/>
        <v/>
      </c>
      <c r="I796" s="18" t="str">
        <f>IF($B796="","",H796-IF(Ventas!D796="",0,Ventas!D796))</f>
        <v/>
      </c>
      <c r="J796" t="str">
        <f t="shared" si="48"/>
        <v/>
      </c>
    </row>
    <row r="797" spans="1:10" hidden="1" x14ac:dyDescent="0.2">
      <c r="A797" s="18" t="str">
        <f t="shared" si="46"/>
        <v/>
      </c>
      <c r="F797" s="20" t="str">
        <f t="shared" si="47"/>
        <v/>
      </c>
      <c r="G797" s="18" t="str">
        <f t="shared" si="49"/>
        <v/>
      </c>
      <c r="I797" s="18" t="str">
        <f>IF($B797="","",H797-IF(Ventas!D797="",0,Ventas!D797))</f>
        <v/>
      </c>
      <c r="J797" t="str">
        <f t="shared" si="48"/>
        <v/>
      </c>
    </row>
    <row r="798" spans="1:10" hidden="1" x14ac:dyDescent="0.2">
      <c r="A798" s="18" t="str">
        <f t="shared" si="46"/>
        <v/>
      </c>
      <c r="F798" s="20" t="str">
        <f t="shared" si="47"/>
        <v/>
      </c>
      <c r="G798" s="18" t="str">
        <f t="shared" si="49"/>
        <v/>
      </c>
      <c r="I798" s="18" t="str">
        <f>IF($B798="","",H798-IF(Ventas!D798="",0,Ventas!D798))</f>
        <v/>
      </c>
      <c r="J798" t="str">
        <f t="shared" si="48"/>
        <v/>
      </c>
    </row>
    <row r="799" spans="1:10" hidden="1" x14ac:dyDescent="0.2">
      <c r="A799" s="18" t="str">
        <f t="shared" si="46"/>
        <v/>
      </c>
      <c r="F799" s="20" t="str">
        <f t="shared" si="47"/>
        <v/>
      </c>
      <c r="G799" s="18" t="str">
        <f t="shared" si="49"/>
        <v/>
      </c>
      <c r="I799" s="18" t="str">
        <f>IF($B799="","",H799-IF(Ventas!D799="",0,Ventas!D799))</f>
        <v/>
      </c>
      <c r="J799" t="str">
        <f t="shared" si="48"/>
        <v/>
      </c>
    </row>
    <row r="800" spans="1:10" hidden="1" x14ac:dyDescent="0.2">
      <c r="A800" s="18" t="str">
        <f t="shared" si="46"/>
        <v/>
      </c>
      <c r="F800" s="20" t="str">
        <f t="shared" si="47"/>
        <v/>
      </c>
      <c r="G800" s="18" t="str">
        <f t="shared" si="49"/>
        <v/>
      </c>
      <c r="I800" s="18" t="str">
        <f>IF($B800="","",H800-IF(Ventas!D800="",0,Ventas!D800))</f>
        <v/>
      </c>
      <c r="J800" t="str">
        <f t="shared" si="48"/>
        <v/>
      </c>
    </row>
    <row r="801" spans="1:10" hidden="1" x14ac:dyDescent="0.2">
      <c r="A801" s="18" t="str">
        <f t="shared" si="46"/>
        <v/>
      </c>
      <c r="F801" s="20" t="str">
        <f t="shared" si="47"/>
        <v/>
      </c>
      <c r="G801" s="18" t="str">
        <f t="shared" si="49"/>
        <v/>
      </c>
      <c r="I801" s="18" t="str">
        <f>IF($B801="","",H801-IF(Ventas!D801="",0,Ventas!D801))</f>
        <v/>
      </c>
      <c r="J801" t="str">
        <f t="shared" si="48"/>
        <v/>
      </c>
    </row>
    <row r="802" spans="1:10" hidden="1" x14ac:dyDescent="0.2">
      <c r="A802" s="18" t="str">
        <f t="shared" si="46"/>
        <v/>
      </c>
      <c r="F802" s="20" t="str">
        <f t="shared" si="47"/>
        <v/>
      </c>
      <c r="G802" s="18" t="str">
        <f t="shared" si="49"/>
        <v/>
      </c>
      <c r="I802" s="18" t="str">
        <f>IF($B802="","",H802-IF(Ventas!D802="",0,Ventas!D802))</f>
        <v/>
      </c>
      <c r="J802" t="str">
        <f t="shared" si="48"/>
        <v/>
      </c>
    </row>
    <row r="803" spans="1:10" hidden="1" x14ac:dyDescent="0.2">
      <c r="A803" s="18" t="str">
        <f t="shared" si="46"/>
        <v/>
      </c>
      <c r="F803" s="20" t="str">
        <f t="shared" si="47"/>
        <v/>
      </c>
      <c r="G803" s="18" t="str">
        <f t="shared" si="49"/>
        <v/>
      </c>
      <c r="I803" s="18" t="str">
        <f>IF($B803="","",H803-IF(Ventas!D803="",0,Ventas!D803))</f>
        <v/>
      </c>
      <c r="J803" t="str">
        <f t="shared" si="48"/>
        <v/>
      </c>
    </row>
    <row r="804" spans="1:10" hidden="1" x14ac:dyDescent="0.2">
      <c r="A804" s="18" t="str">
        <f t="shared" si="46"/>
        <v/>
      </c>
      <c r="F804" s="20" t="str">
        <f t="shared" si="47"/>
        <v/>
      </c>
      <c r="G804" s="18" t="str">
        <f t="shared" si="49"/>
        <v/>
      </c>
      <c r="I804" s="18" t="str">
        <f>IF($B804="","",H804-IF(Ventas!D804="",0,Ventas!D804))</f>
        <v/>
      </c>
      <c r="J804" t="str">
        <f t="shared" si="48"/>
        <v/>
      </c>
    </row>
    <row r="805" spans="1:10" hidden="1" x14ac:dyDescent="0.2">
      <c r="A805" s="18" t="str">
        <f t="shared" si="46"/>
        <v/>
      </c>
      <c r="F805" s="20" t="str">
        <f t="shared" si="47"/>
        <v/>
      </c>
      <c r="G805" s="18" t="str">
        <f t="shared" si="49"/>
        <v/>
      </c>
      <c r="I805" s="18" t="str">
        <f>IF($B805="","",H805-IF(Ventas!D805="",0,Ventas!D805))</f>
        <v/>
      </c>
      <c r="J805" t="str">
        <f t="shared" si="48"/>
        <v/>
      </c>
    </row>
    <row r="806" spans="1:10" hidden="1" x14ac:dyDescent="0.2">
      <c r="A806" s="18" t="str">
        <f t="shared" si="46"/>
        <v/>
      </c>
      <c r="F806" s="20" t="str">
        <f t="shared" si="47"/>
        <v/>
      </c>
      <c r="G806" s="18" t="str">
        <f t="shared" si="49"/>
        <v/>
      </c>
      <c r="I806" s="18" t="str">
        <f>IF($B806="","",H806-IF(Ventas!D806="",0,Ventas!D806))</f>
        <v/>
      </c>
      <c r="J806" t="str">
        <f t="shared" si="48"/>
        <v/>
      </c>
    </row>
    <row r="807" spans="1:10" hidden="1" x14ac:dyDescent="0.2">
      <c r="A807" s="18" t="str">
        <f t="shared" si="46"/>
        <v/>
      </c>
      <c r="F807" s="20" t="str">
        <f t="shared" si="47"/>
        <v/>
      </c>
      <c r="G807" s="18" t="str">
        <f t="shared" si="49"/>
        <v/>
      </c>
      <c r="I807" s="18" t="str">
        <f>IF($B807="","",H807-IF(Ventas!D807="",0,Ventas!D807))</f>
        <v/>
      </c>
      <c r="J807" t="str">
        <f t="shared" si="48"/>
        <v/>
      </c>
    </row>
    <row r="808" spans="1:10" hidden="1" x14ac:dyDescent="0.2">
      <c r="A808" s="18" t="str">
        <f t="shared" si="46"/>
        <v/>
      </c>
      <c r="F808" s="20" t="str">
        <f t="shared" si="47"/>
        <v/>
      </c>
      <c r="G808" s="18" t="str">
        <f t="shared" si="49"/>
        <v/>
      </c>
      <c r="I808" s="18" t="str">
        <f>IF($B808="","",H808-IF(Ventas!D808="",0,Ventas!D808))</f>
        <v/>
      </c>
      <c r="J808" t="str">
        <f t="shared" si="48"/>
        <v/>
      </c>
    </row>
    <row r="809" spans="1:10" hidden="1" x14ac:dyDescent="0.2">
      <c r="A809" s="18" t="str">
        <f t="shared" si="46"/>
        <v/>
      </c>
      <c r="F809" s="20" t="str">
        <f t="shared" si="47"/>
        <v/>
      </c>
      <c r="G809" s="18" t="str">
        <f t="shared" si="49"/>
        <v/>
      </c>
      <c r="I809" s="18" t="str">
        <f>IF($B809="","",H809-IF(Ventas!D809="",0,Ventas!D809))</f>
        <v/>
      </c>
      <c r="J809" t="str">
        <f t="shared" si="48"/>
        <v/>
      </c>
    </row>
    <row r="810" spans="1:10" hidden="1" x14ac:dyDescent="0.2">
      <c r="A810" s="18" t="str">
        <f t="shared" si="46"/>
        <v/>
      </c>
      <c r="F810" s="20" t="str">
        <f t="shared" si="47"/>
        <v/>
      </c>
      <c r="G810" s="18" t="str">
        <f t="shared" si="49"/>
        <v/>
      </c>
      <c r="I810" s="18" t="str">
        <f>IF($B810="","",H810-IF(Ventas!D810="",0,Ventas!D810))</f>
        <v/>
      </c>
      <c r="J810" t="str">
        <f t="shared" si="48"/>
        <v/>
      </c>
    </row>
    <row r="811" spans="1:10" hidden="1" x14ac:dyDescent="0.2">
      <c r="A811" s="18" t="str">
        <f t="shared" si="46"/>
        <v/>
      </c>
      <c r="F811" s="20" t="str">
        <f t="shared" si="47"/>
        <v/>
      </c>
      <c r="G811" s="18" t="str">
        <f t="shared" si="49"/>
        <v/>
      </c>
      <c r="I811" s="18" t="str">
        <f>IF($B811="","",H811-IF(Ventas!D811="",0,Ventas!D811))</f>
        <v/>
      </c>
      <c r="J811" t="str">
        <f t="shared" si="48"/>
        <v/>
      </c>
    </row>
    <row r="812" spans="1:10" hidden="1" x14ac:dyDescent="0.2">
      <c r="A812" s="18" t="str">
        <f t="shared" si="46"/>
        <v/>
      </c>
      <c r="F812" s="20" t="str">
        <f t="shared" si="47"/>
        <v/>
      </c>
      <c r="G812" s="18" t="str">
        <f t="shared" si="49"/>
        <v/>
      </c>
      <c r="I812" s="18" t="str">
        <f>IF($B812="","",H812-IF(Ventas!D812="",0,Ventas!D812))</f>
        <v/>
      </c>
      <c r="J812" t="str">
        <f t="shared" si="48"/>
        <v/>
      </c>
    </row>
    <row r="813" spans="1:10" hidden="1" x14ac:dyDescent="0.2">
      <c r="A813" s="18" t="str">
        <f t="shared" si="46"/>
        <v/>
      </c>
      <c r="F813" s="20" t="str">
        <f t="shared" si="47"/>
        <v/>
      </c>
      <c r="G813" s="18" t="str">
        <f t="shared" si="49"/>
        <v/>
      </c>
      <c r="I813" s="18" t="str">
        <f>IF($B813="","",H813-IF(Ventas!D813="",0,Ventas!D813))</f>
        <v/>
      </c>
      <c r="J813" t="str">
        <f t="shared" si="48"/>
        <v/>
      </c>
    </row>
    <row r="814" spans="1:10" hidden="1" x14ac:dyDescent="0.2">
      <c r="A814" s="18" t="str">
        <f t="shared" si="46"/>
        <v/>
      </c>
      <c r="F814" s="20" t="str">
        <f t="shared" si="47"/>
        <v/>
      </c>
      <c r="G814" s="18" t="str">
        <f t="shared" si="49"/>
        <v/>
      </c>
      <c r="I814" s="18" t="str">
        <f>IF($B814="","",H814-IF(Ventas!D814="",0,Ventas!D814))</f>
        <v/>
      </c>
      <c r="J814" t="str">
        <f t="shared" si="48"/>
        <v/>
      </c>
    </row>
    <row r="815" spans="1:10" hidden="1" x14ac:dyDescent="0.2">
      <c r="A815" s="18" t="str">
        <f t="shared" si="46"/>
        <v/>
      </c>
      <c r="F815" s="20" t="str">
        <f t="shared" si="47"/>
        <v/>
      </c>
      <c r="G815" s="18" t="str">
        <f t="shared" si="49"/>
        <v/>
      </c>
      <c r="I815" s="18" t="str">
        <f>IF($B815="","",H815-IF(Ventas!D815="",0,Ventas!D815))</f>
        <v/>
      </c>
      <c r="J815" t="str">
        <f t="shared" si="48"/>
        <v/>
      </c>
    </row>
    <row r="816" spans="1:10" hidden="1" x14ac:dyDescent="0.2">
      <c r="A816" s="18" t="str">
        <f t="shared" si="46"/>
        <v/>
      </c>
      <c r="F816" s="20" t="str">
        <f t="shared" si="47"/>
        <v/>
      </c>
      <c r="G816" s="18" t="str">
        <f t="shared" si="49"/>
        <v/>
      </c>
      <c r="I816" s="18" t="str">
        <f>IF($B816="","",H816-IF(Ventas!D816="",0,Ventas!D816))</f>
        <v/>
      </c>
      <c r="J816" t="str">
        <f t="shared" si="48"/>
        <v/>
      </c>
    </row>
    <row r="817" spans="1:10" hidden="1" x14ac:dyDescent="0.2">
      <c r="A817" s="18" t="str">
        <f t="shared" si="46"/>
        <v/>
      </c>
      <c r="F817" s="20" t="str">
        <f t="shared" si="47"/>
        <v/>
      </c>
      <c r="G817" s="18" t="str">
        <f t="shared" si="49"/>
        <v/>
      </c>
      <c r="I817" s="18" t="str">
        <f>IF($B817="","",H817-IF(Ventas!D817="",0,Ventas!D817))</f>
        <v/>
      </c>
      <c r="J817" t="str">
        <f t="shared" si="48"/>
        <v/>
      </c>
    </row>
    <row r="818" spans="1:10" hidden="1" x14ac:dyDescent="0.2">
      <c r="A818" s="18" t="str">
        <f t="shared" si="46"/>
        <v/>
      </c>
      <c r="F818" s="20" t="str">
        <f t="shared" si="47"/>
        <v/>
      </c>
      <c r="G818" s="18" t="str">
        <f t="shared" si="49"/>
        <v/>
      </c>
      <c r="I818" s="18" t="str">
        <f>IF($B818="","",H818-IF(Ventas!D818="",0,Ventas!D818))</f>
        <v/>
      </c>
      <c r="J818" t="str">
        <f t="shared" si="48"/>
        <v/>
      </c>
    </row>
    <row r="819" spans="1:10" hidden="1" x14ac:dyDescent="0.2">
      <c r="A819" s="18" t="str">
        <f t="shared" si="46"/>
        <v/>
      </c>
      <c r="F819" s="20" t="str">
        <f t="shared" si="47"/>
        <v/>
      </c>
      <c r="G819" s="18" t="str">
        <f t="shared" si="49"/>
        <v/>
      </c>
      <c r="I819" s="18" t="str">
        <f>IF($B819="","",H819-IF(Ventas!D819="",0,Ventas!D819))</f>
        <v/>
      </c>
      <c r="J819" t="str">
        <f t="shared" si="48"/>
        <v/>
      </c>
    </row>
    <row r="820" spans="1:10" hidden="1" x14ac:dyDescent="0.2">
      <c r="A820" s="18" t="str">
        <f t="shared" si="46"/>
        <v/>
      </c>
      <c r="F820" s="20" t="str">
        <f t="shared" si="47"/>
        <v/>
      </c>
      <c r="G820" s="18" t="str">
        <f t="shared" si="49"/>
        <v/>
      </c>
      <c r="I820" s="18" t="str">
        <f>IF($B820="","",H820-IF(Ventas!D820="",0,Ventas!D820))</f>
        <v/>
      </c>
      <c r="J820" t="str">
        <f t="shared" si="48"/>
        <v/>
      </c>
    </row>
    <row r="821" spans="1:10" hidden="1" x14ac:dyDescent="0.2">
      <c r="A821" s="18" t="str">
        <f t="shared" si="46"/>
        <v/>
      </c>
      <c r="F821" s="20" t="str">
        <f t="shared" si="47"/>
        <v/>
      </c>
      <c r="G821" s="18" t="str">
        <f t="shared" si="49"/>
        <v/>
      </c>
      <c r="I821" s="18" t="str">
        <f>IF($B821="","",H821-IF(Ventas!D821="",0,Ventas!D821))</f>
        <v/>
      </c>
      <c r="J821" t="str">
        <f t="shared" si="48"/>
        <v/>
      </c>
    </row>
    <row r="822" spans="1:10" hidden="1" x14ac:dyDescent="0.2">
      <c r="A822" s="18" t="str">
        <f t="shared" si="46"/>
        <v/>
      </c>
      <c r="F822" s="20" t="str">
        <f t="shared" si="47"/>
        <v/>
      </c>
      <c r="G822" s="18" t="str">
        <f t="shared" si="49"/>
        <v/>
      </c>
      <c r="I822" s="18" t="str">
        <f>IF($B822="","",H822-IF(Ventas!D822="",0,Ventas!D822))</f>
        <v/>
      </c>
      <c r="J822" t="str">
        <f t="shared" si="48"/>
        <v/>
      </c>
    </row>
    <row r="823" spans="1:10" hidden="1" x14ac:dyDescent="0.2">
      <c r="A823" s="18" t="str">
        <f t="shared" si="46"/>
        <v/>
      </c>
      <c r="F823" s="20" t="str">
        <f t="shared" si="47"/>
        <v/>
      </c>
      <c r="G823" s="18" t="str">
        <f t="shared" si="49"/>
        <v/>
      </c>
      <c r="I823" s="18" t="str">
        <f>IF($B823="","",H823-IF(Ventas!D823="",0,Ventas!D823))</f>
        <v/>
      </c>
      <c r="J823" t="str">
        <f t="shared" si="48"/>
        <v/>
      </c>
    </row>
    <row r="824" spans="1:10" hidden="1" x14ac:dyDescent="0.2">
      <c r="A824" s="18" t="str">
        <f t="shared" si="46"/>
        <v/>
      </c>
      <c r="F824" s="20" t="str">
        <f t="shared" si="47"/>
        <v/>
      </c>
      <c r="G824" s="18" t="str">
        <f t="shared" si="49"/>
        <v/>
      </c>
      <c r="I824" s="18" t="str">
        <f>IF($B824="","",H824-IF(Ventas!D824="",0,Ventas!D824))</f>
        <v/>
      </c>
      <c r="J824" t="str">
        <f t="shared" si="48"/>
        <v/>
      </c>
    </row>
    <row r="825" spans="1:10" hidden="1" x14ac:dyDescent="0.2">
      <c r="A825" s="18" t="str">
        <f t="shared" si="46"/>
        <v/>
      </c>
      <c r="F825" s="20" t="str">
        <f t="shared" si="47"/>
        <v/>
      </c>
      <c r="G825" s="18" t="str">
        <f t="shared" si="49"/>
        <v/>
      </c>
      <c r="I825" s="18" t="str">
        <f>IF($B825="","",H825-IF(Ventas!D825="",0,Ventas!D825))</f>
        <v/>
      </c>
      <c r="J825" t="str">
        <f t="shared" si="48"/>
        <v/>
      </c>
    </row>
    <row r="826" spans="1:10" hidden="1" x14ac:dyDescent="0.2">
      <c r="A826" s="18" t="str">
        <f t="shared" si="46"/>
        <v/>
      </c>
      <c r="F826" s="20" t="str">
        <f t="shared" si="47"/>
        <v/>
      </c>
      <c r="G826" s="18" t="str">
        <f t="shared" si="49"/>
        <v/>
      </c>
      <c r="I826" s="18" t="str">
        <f>IF($B826="","",H826-IF(Ventas!D826="",0,Ventas!D826))</f>
        <v/>
      </c>
      <c r="J826" t="str">
        <f t="shared" si="48"/>
        <v/>
      </c>
    </row>
    <row r="827" spans="1:10" hidden="1" x14ac:dyDescent="0.2">
      <c r="A827" s="18" t="str">
        <f t="shared" si="46"/>
        <v/>
      </c>
      <c r="F827" s="20" t="str">
        <f t="shared" si="47"/>
        <v/>
      </c>
      <c r="G827" s="18" t="str">
        <f t="shared" si="49"/>
        <v/>
      </c>
      <c r="I827" s="18" t="str">
        <f>IF($B827="","",H827-IF(Ventas!D827="",0,Ventas!D827))</f>
        <v/>
      </c>
      <c r="J827" t="str">
        <f t="shared" si="48"/>
        <v/>
      </c>
    </row>
    <row r="828" spans="1:10" hidden="1" x14ac:dyDescent="0.2">
      <c r="A828" s="18" t="str">
        <f t="shared" si="46"/>
        <v/>
      </c>
      <c r="F828" s="20" t="str">
        <f t="shared" si="47"/>
        <v/>
      </c>
      <c r="G828" s="18" t="str">
        <f t="shared" si="49"/>
        <v/>
      </c>
      <c r="I828" s="18" t="str">
        <f>IF($B828="","",H828-IF(Ventas!D828="",0,Ventas!D828))</f>
        <v/>
      </c>
      <c r="J828" t="str">
        <f t="shared" si="48"/>
        <v/>
      </c>
    </row>
    <row r="829" spans="1:10" hidden="1" x14ac:dyDescent="0.2">
      <c r="A829" s="18" t="str">
        <f t="shared" si="46"/>
        <v/>
      </c>
      <c r="F829" s="20" t="str">
        <f t="shared" si="47"/>
        <v/>
      </c>
      <c r="G829" s="18" t="str">
        <f t="shared" si="49"/>
        <v/>
      </c>
      <c r="I829" s="18" t="str">
        <f>IF($B829="","",H829-IF(Ventas!D829="",0,Ventas!D829))</f>
        <v/>
      </c>
      <c r="J829" t="str">
        <f t="shared" si="48"/>
        <v/>
      </c>
    </row>
    <row r="830" spans="1:10" hidden="1" x14ac:dyDescent="0.2">
      <c r="A830" s="18" t="str">
        <f t="shared" si="46"/>
        <v/>
      </c>
      <c r="F830" s="20" t="str">
        <f t="shared" si="47"/>
        <v/>
      </c>
      <c r="G830" s="18" t="str">
        <f t="shared" si="49"/>
        <v/>
      </c>
      <c r="I830" s="18" t="str">
        <f>IF($B830="","",H830-IF(Ventas!D830="",0,Ventas!D830))</f>
        <v/>
      </c>
      <c r="J830" t="str">
        <f t="shared" si="48"/>
        <v/>
      </c>
    </row>
    <row r="831" spans="1:10" hidden="1" x14ac:dyDescent="0.2">
      <c r="A831" s="18" t="str">
        <f t="shared" si="46"/>
        <v/>
      </c>
      <c r="F831" s="20" t="str">
        <f t="shared" si="47"/>
        <v/>
      </c>
      <c r="G831" s="18" t="str">
        <f t="shared" si="49"/>
        <v/>
      </c>
      <c r="I831" s="18" t="str">
        <f>IF($B831="","",H831-IF(Ventas!D831="",0,Ventas!D831))</f>
        <v/>
      </c>
      <c r="J831" t="str">
        <f t="shared" si="48"/>
        <v/>
      </c>
    </row>
    <row r="832" spans="1:10" hidden="1" x14ac:dyDescent="0.2">
      <c r="A832" s="18" t="str">
        <f t="shared" si="46"/>
        <v/>
      </c>
      <c r="F832" s="20" t="str">
        <f t="shared" si="47"/>
        <v/>
      </c>
      <c r="G832" s="18" t="str">
        <f t="shared" si="49"/>
        <v/>
      </c>
      <c r="I832" s="18" t="str">
        <f>IF($B832="","",H832-IF(Ventas!D832="",0,Ventas!D832))</f>
        <v/>
      </c>
      <c r="J832" t="str">
        <f t="shared" si="48"/>
        <v/>
      </c>
    </row>
    <row r="833" spans="1:10" hidden="1" x14ac:dyDescent="0.2">
      <c r="A833" s="18" t="str">
        <f t="shared" si="46"/>
        <v/>
      </c>
      <c r="F833" s="20" t="str">
        <f t="shared" si="47"/>
        <v/>
      </c>
      <c r="G833" s="18" t="str">
        <f t="shared" si="49"/>
        <v/>
      </c>
      <c r="I833" s="18" t="str">
        <f>IF($B833="","",H833-IF(Ventas!D833="",0,Ventas!D833))</f>
        <v/>
      </c>
      <c r="J833" t="str">
        <f t="shared" si="48"/>
        <v/>
      </c>
    </row>
    <row r="834" spans="1:10" hidden="1" x14ac:dyDescent="0.2">
      <c r="A834" s="18" t="str">
        <f t="shared" si="46"/>
        <v/>
      </c>
      <c r="F834" s="20" t="str">
        <f t="shared" si="47"/>
        <v/>
      </c>
      <c r="G834" s="18" t="str">
        <f t="shared" si="49"/>
        <v/>
      </c>
      <c r="I834" s="18" t="str">
        <f>IF($B834="","",H834-IF(Ventas!D834="",0,Ventas!D834))</f>
        <v/>
      </c>
      <c r="J834" t="str">
        <f t="shared" si="48"/>
        <v/>
      </c>
    </row>
    <row r="835" spans="1:10" hidden="1" x14ac:dyDescent="0.2">
      <c r="A835" s="18" t="str">
        <f t="shared" ref="A835:A898" si="50">IF(B835="","","P"&amp;TEXT(ROW()-1,"000"))</f>
        <v/>
      </c>
      <c r="F835" s="20" t="str">
        <f t="shared" ref="F835:F898" si="51">IF(OR(E835="",D835="",D835=0),"",E835/D835)</f>
        <v/>
      </c>
      <c r="G835" s="18" t="str">
        <f t="shared" si="49"/>
        <v/>
      </c>
      <c r="I835" s="18" t="str">
        <f>IF($B835="","",H835-IF(Ventas!D835="",0,Ventas!D835))</f>
        <v/>
      </c>
      <c r="J835" t="str">
        <f t="shared" ref="J835:J898" si="52">IF($B835="","",IF(N(I835)=0,"Agotado","Activo"))</f>
        <v/>
      </c>
    </row>
    <row r="836" spans="1:10" hidden="1" x14ac:dyDescent="0.2">
      <c r="A836" s="18" t="str">
        <f t="shared" si="50"/>
        <v/>
      </c>
      <c r="F836" s="20" t="str">
        <f t="shared" si="51"/>
        <v/>
      </c>
      <c r="G836" s="18" t="str">
        <f t="shared" si="49"/>
        <v/>
      </c>
      <c r="I836" s="18" t="str">
        <f>IF($B836="","",H836-IF(Ventas!D836="",0,Ventas!D836))</f>
        <v/>
      </c>
      <c r="J836" t="str">
        <f t="shared" si="52"/>
        <v/>
      </c>
    </row>
    <row r="837" spans="1:10" hidden="1" x14ac:dyDescent="0.2">
      <c r="A837" s="18" t="str">
        <f t="shared" si="50"/>
        <v/>
      </c>
      <c r="F837" s="20" t="str">
        <f t="shared" si="51"/>
        <v/>
      </c>
      <c r="G837" s="18" t="str">
        <f t="shared" si="49"/>
        <v/>
      </c>
      <c r="I837" s="18" t="str">
        <f>IF($B837="","",H837-IF(Ventas!D837="",0,Ventas!D837))</f>
        <v/>
      </c>
      <c r="J837" t="str">
        <f t="shared" si="52"/>
        <v/>
      </c>
    </row>
    <row r="838" spans="1:10" hidden="1" x14ac:dyDescent="0.2">
      <c r="A838" s="18" t="str">
        <f t="shared" si="50"/>
        <v/>
      </c>
      <c r="F838" s="20" t="str">
        <f t="shared" si="51"/>
        <v/>
      </c>
      <c r="G838" s="18" t="str">
        <f t="shared" ref="G838:G901" si="53">IF(F838="","",ROUND(F838*1.33,0))</f>
        <v/>
      </c>
      <c r="I838" s="18" t="str">
        <f>IF($B838="","",H838-IF(Ventas!D838="",0,Ventas!D838))</f>
        <v/>
      </c>
      <c r="J838" t="str">
        <f t="shared" si="52"/>
        <v/>
      </c>
    </row>
    <row r="839" spans="1:10" hidden="1" x14ac:dyDescent="0.2">
      <c r="A839" s="18" t="str">
        <f t="shared" si="50"/>
        <v/>
      </c>
      <c r="F839" s="20" t="str">
        <f t="shared" si="51"/>
        <v/>
      </c>
      <c r="G839" s="18" t="str">
        <f t="shared" si="53"/>
        <v/>
      </c>
      <c r="I839" s="18" t="str">
        <f>IF($B839="","",H839-IF(Ventas!D839="",0,Ventas!D839))</f>
        <v/>
      </c>
      <c r="J839" t="str">
        <f t="shared" si="52"/>
        <v/>
      </c>
    </row>
    <row r="840" spans="1:10" hidden="1" x14ac:dyDescent="0.2">
      <c r="A840" s="18" t="str">
        <f t="shared" si="50"/>
        <v/>
      </c>
      <c r="F840" s="20" t="str">
        <f t="shared" si="51"/>
        <v/>
      </c>
      <c r="G840" s="18" t="str">
        <f t="shared" si="53"/>
        <v/>
      </c>
      <c r="I840" s="18" t="str">
        <f>IF($B840="","",H840-IF(Ventas!D840="",0,Ventas!D840))</f>
        <v/>
      </c>
      <c r="J840" t="str">
        <f t="shared" si="52"/>
        <v/>
      </c>
    </row>
    <row r="841" spans="1:10" hidden="1" x14ac:dyDescent="0.2">
      <c r="A841" s="18" t="str">
        <f t="shared" si="50"/>
        <v/>
      </c>
      <c r="F841" s="20" t="str">
        <f t="shared" si="51"/>
        <v/>
      </c>
      <c r="G841" s="18" t="str">
        <f t="shared" si="53"/>
        <v/>
      </c>
      <c r="I841" s="18" t="str">
        <f>IF($B841="","",H841-IF(Ventas!D841="",0,Ventas!D841))</f>
        <v/>
      </c>
      <c r="J841" t="str">
        <f t="shared" si="52"/>
        <v/>
      </c>
    </row>
    <row r="842" spans="1:10" hidden="1" x14ac:dyDescent="0.2">
      <c r="A842" s="18" t="str">
        <f t="shared" si="50"/>
        <v/>
      </c>
      <c r="F842" s="20" t="str">
        <f t="shared" si="51"/>
        <v/>
      </c>
      <c r="G842" s="18" t="str">
        <f t="shared" si="53"/>
        <v/>
      </c>
      <c r="I842" s="18" t="str">
        <f>IF($B842="","",H842-IF(Ventas!D842="",0,Ventas!D842))</f>
        <v/>
      </c>
      <c r="J842" t="str">
        <f t="shared" si="52"/>
        <v/>
      </c>
    </row>
    <row r="843" spans="1:10" hidden="1" x14ac:dyDescent="0.2">
      <c r="A843" s="18" t="str">
        <f t="shared" si="50"/>
        <v/>
      </c>
      <c r="F843" s="20" t="str">
        <f t="shared" si="51"/>
        <v/>
      </c>
      <c r="G843" s="18" t="str">
        <f t="shared" si="53"/>
        <v/>
      </c>
      <c r="I843" s="18" t="str">
        <f>IF($B843="","",H843-IF(Ventas!D843="",0,Ventas!D843))</f>
        <v/>
      </c>
      <c r="J843" t="str">
        <f t="shared" si="52"/>
        <v/>
      </c>
    </row>
    <row r="844" spans="1:10" hidden="1" x14ac:dyDescent="0.2">
      <c r="A844" s="18" t="str">
        <f t="shared" si="50"/>
        <v/>
      </c>
      <c r="F844" s="20" t="str">
        <f t="shared" si="51"/>
        <v/>
      </c>
      <c r="G844" s="18" t="str">
        <f t="shared" si="53"/>
        <v/>
      </c>
      <c r="I844" s="18" t="str">
        <f>IF($B844="","",H844-IF(Ventas!D844="",0,Ventas!D844))</f>
        <v/>
      </c>
      <c r="J844" t="str">
        <f t="shared" si="52"/>
        <v/>
      </c>
    </row>
    <row r="845" spans="1:10" hidden="1" x14ac:dyDescent="0.2">
      <c r="A845" s="18" t="str">
        <f t="shared" si="50"/>
        <v/>
      </c>
      <c r="F845" s="20" t="str">
        <f t="shared" si="51"/>
        <v/>
      </c>
      <c r="G845" s="18" t="str">
        <f t="shared" si="53"/>
        <v/>
      </c>
      <c r="I845" s="18" t="str">
        <f>IF($B845="","",H845-IF(Ventas!D845="",0,Ventas!D845))</f>
        <v/>
      </c>
      <c r="J845" t="str">
        <f t="shared" si="52"/>
        <v/>
      </c>
    </row>
    <row r="846" spans="1:10" hidden="1" x14ac:dyDescent="0.2">
      <c r="A846" s="18" t="str">
        <f t="shared" si="50"/>
        <v/>
      </c>
      <c r="F846" s="20" t="str">
        <f t="shared" si="51"/>
        <v/>
      </c>
      <c r="G846" s="18" t="str">
        <f t="shared" si="53"/>
        <v/>
      </c>
      <c r="I846" s="18" t="str">
        <f>IF($B846="","",H846-IF(Ventas!D846="",0,Ventas!D846))</f>
        <v/>
      </c>
      <c r="J846" t="str">
        <f t="shared" si="52"/>
        <v/>
      </c>
    </row>
    <row r="847" spans="1:10" hidden="1" x14ac:dyDescent="0.2">
      <c r="A847" s="18" t="str">
        <f t="shared" si="50"/>
        <v/>
      </c>
      <c r="F847" s="20" t="str">
        <f t="shared" si="51"/>
        <v/>
      </c>
      <c r="G847" s="18" t="str">
        <f t="shared" si="53"/>
        <v/>
      </c>
      <c r="I847" s="18" t="str">
        <f>IF($B847="","",H847-IF(Ventas!D847="",0,Ventas!D847))</f>
        <v/>
      </c>
      <c r="J847" t="str">
        <f t="shared" si="52"/>
        <v/>
      </c>
    </row>
    <row r="848" spans="1:10" hidden="1" x14ac:dyDescent="0.2">
      <c r="A848" s="18" t="str">
        <f t="shared" si="50"/>
        <v/>
      </c>
      <c r="F848" s="20" t="str">
        <f t="shared" si="51"/>
        <v/>
      </c>
      <c r="G848" s="18" t="str">
        <f t="shared" si="53"/>
        <v/>
      </c>
      <c r="I848" s="18" t="str">
        <f>IF($B848="","",H848-IF(Ventas!D848="",0,Ventas!D848))</f>
        <v/>
      </c>
      <c r="J848" t="str">
        <f t="shared" si="52"/>
        <v/>
      </c>
    </row>
    <row r="849" spans="1:10" hidden="1" x14ac:dyDescent="0.2">
      <c r="A849" s="18" t="str">
        <f t="shared" si="50"/>
        <v/>
      </c>
      <c r="F849" s="20" t="str">
        <f t="shared" si="51"/>
        <v/>
      </c>
      <c r="G849" s="18" t="str">
        <f t="shared" si="53"/>
        <v/>
      </c>
      <c r="I849" s="18" t="str">
        <f>IF($B849="","",H849-IF(Ventas!D849="",0,Ventas!D849))</f>
        <v/>
      </c>
      <c r="J849" t="str">
        <f t="shared" si="52"/>
        <v/>
      </c>
    </row>
    <row r="850" spans="1:10" hidden="1" x14ac:dyDescent="0.2">
      <c r="A850" s="18" t="str">
        <f t="shared" si="50"/>
        <v/>
      </c>
      <c r="F850" s="20" t="str">
        <f t="shared" si="51"/>
        <v/>
      </c>
      <c r="G850" s="18" t="str">
        <f t="shared" si="53"/>
        <v/>
      </c>
      <c r="I850" s="18" t="str">
        <f>IF($B850="","",H850-IF(Ventas!D850="",0,Ventas!D850))</f>
        <v/>
      </c>
      <c r="J850" t="str">
        <f t="shared" si="52"/>
        <v/>
      </c>
    </row>
    <row r="851" spans="1:10" hidden="1" x14ac:dyDescent="0.2">
      <c r="A851" s="18" t="str">
        <f t="shared" si="50"/>
        <v/>
      </c>
      <c r="F851" s="20" t="str">
        <f t="shared" si="51"/>
        <v/>
      </c>
      <c r="G851" s="18" t="str">
        <f t="shared" si="53"/>
        <v/>
      </c>
      <c r="I851" s="18" t="str">
        <f>IF($B851="","",H851-IF(Ventas!D851="",0,Ventas!D851))</f>
        <v/>
      </c>
      <c r="J851" t="str">
        <f t="shared" si="52"/>
        <v/>
      </c>
    </row>
    <row r="852" spans="1:10" hidden="1" x14ac:dyDescent="0.2">
      <c r="A852" s="18" t="str">
        <f t="shared" si="50"/>
        <v/>
      </c>
      <c r="F852" s="20" t="str">
        <f t="shared" si="51"/>
        <v/>
      </c>
      <c r="G852" s="18" t="str">
        <f t="shared" si="53"/>
        <v/>
      </c>
      <c r="I852" s="18" t="str">
        <f>IF($B852="","",H852-IF(Ventas!D852="",0,Ventas!D852))</f>
        <v/>
      </c>
      <c r="J852" t="str">
        <f t="shared" si="52"/>
        <v/>
      </c>
    </row>
    <row r="853" spans="1:10" hidden="1" x14ac:dyDescent="0.2">
      <c r="A853" s="18" t="str">
        <f t="shared" si="50"/>
        <v/>
      </c>
      <c r="F853" s="20" t="str">
        <f t="shared" si="51"/>
        <v/>
      </c>
      <c r="G853" s="18" t="str">
        <f t="shared" si="53"/>
        <v/>
      </c>
      <c r="I853" s="18" t="str">
        <f>IF($B853="","",H853-IF(Ventas!D853="",0,Ventas!D853))</f>
        <v/>
      </c>
      <c r="J853" t="str">
        <f t="shared" si="52"/>
        <v/>
      </c>
    </row>
    <row r="854" spans="1:10" hidden="1" x14ac:dyDescent="0.2">
      <c r="A854" s="18" t="str">
        <f t="shared" si="50"/>
        <v/>
      </c>
      <c r="F854" s="20" t="str">
        <f t="shared" si="51"/>
        <v/>
      </c>
      <c r="G854" s="18" t="str">
        <f t="shared" si="53"/>
        <v/>
      </c>
      <c r="I854" s="18" t="str">
        <f>IF($B854="","",H854-IF(Ventas!D854="",0,Ventas!D854))</f>
        <v/>
      </c>
      <c r="J854" t="str">
        <f t="shared" si="52"/>
        <v/>
      </c>
    </row>
    <row r="855" spans="1:10" hidden="1" x14ac:dyDescent="0.2">
      <c r="A855" s="18" t="str">
        <f t="shared" si="50"/>
        <v/>
      </c>
      <c r="F855" s="20" t="str">
        <f t="shared" si="51"/>
        <v/>
      </c>
      <c r="G855" s="18" t="str">
        <f t="shared" si="53"/>
        <v/>
      </c>
      <c r="I855" s="18" t="str">
        <f>IF($B855="","",H855-IF(Ventas!D855="",0,Ventas!D855))</f>
        <v/>
      </c>
      <c r="J855" t="str">
        <f t="shared" si="52"/>
        <v/>
      </c>
    </row>
    <row r="856" spans="1:10" hidden="1" x14ac:dyDescent="0.2">
      <c r="A856" s="18" t="str">
        <f t="shared" si="50"/>
        <v/>
      </c>
      <c r="F856" s="20" t="str">
        <f t="shared" si="51"/>
        <v/>
      </c>
      <c r="G856" s="18" t="str">
        <f t="shared" si="53"/>
        <v/>
      </c>
      <c r="I856" s="18" t="str">
        <f>IF($B856="","",H856-IF(Ventas!D856="",0,Ventas!D856))</f>
        <v/>
      </c>
      <c r="J856" t="str">
        <f t="shared" si="52"/>
        <v/>
      </c>
    </row>
    <row r="857" spans="1:10" hidden="1" x14ac:dyDescent="0.2">
      <c r="A857" s="18" t="str">
        <f t="shared" si="50"/>
        <v/>
      </c>
      <c r="F857" s="20" t="str">
        <f t="shared" si="51"/>
        <v/>
      </c>
      <c r="G857" s="18" t="str">
        <f t="shared" si="53"/>
        <v/>
      </c>
      <c r="I857" s="18" t="str">
        <f>IF($B857="","",H857-IF(Ventas!D857="",0,Ventas!D857))</f>
        <v/>
      </c>
      <c r="J857" t="str">
        <f t="shared" si="52"/>
        <v/>
      </c>
    </row>
    <row r="858" spans="1:10" hidden="1" x14ac:dyDescent="0.2">
      <c r="A858" s="18" t="str">
        <f t="shared" si="50"/>
        <v/>
      </c>
      <c r="F858" s="20" t="str">
        <f t="shared" si="51"/>
        <v/>
      </c>
      <c r="G858" s="18" t="str">
        <f t="shared" si="53"/>
        <v/>
      </c>
      <c r="I858" s="18" t="str">
        <f>IF($B858="","",H858-IF(Ventas!D858="",0,Ventas!D858))</f>
        <v/>
      </c>
      <c r="J858" t="str">
        <f t="shared" si="52"/>
        <v/>
      </c>
    </row>
    <row r="859" spans="1:10" hidden="1" x14ac:dyDescent="0.2">
      <c r="A859" s="18" t="str">
        <f t="shared" si="50"/>
        <v/>
      </c>
      <c r="F859" s="20" t="str">
        <f t="shared" si="51"/>
        <v/>
      </c>
      <c r="G859" s="18" t="str">
        <f t="shared" si="53"/>
        <v/>
      </c>
      <c r="I859" s="18" t="str">
        <f>IF($B859="","",H859-IF(Ventas!D859="",0,Ventas!D859))</f>
        <v/>
      </c>
      <c r="J859" t="str">
        <f t="shared" si="52"/>
        <v/>
      </c>
    </row>
    <row r="860" spans="1:10" hidden="1" x14ac:dyDescent="0.2">
      <c r="A860" s="18" t="str">
        <f t="shared" si="50"/>
        <v/>
      </c>
      <c r="F860" s="20" t="str">
        <f t="shared" si="51"/>
        <v/>
      </c>
      <c r="G860" s="18" t="str">
        <f t="shared" si="53"/>
        <v/>
      </c>
      <c r="I860" s="18" t="str">
        <f>IF($B860="","",H860-IF(Ventas!D860="",0,Ventas!D860))</f>
        <v/>
      </c>
      <c r="J860" t="str">
        <f t="shared" si="52"/>
        <v/>
      </c>
    </row>
    <row r="861" spans="1:10" hidden="1" x14ac:dyDescent="0.2">
      <c r="A861" s="18" t="str">
        <f t="shared" si="50"/>
        <v/>
      </c>
      <c r="F861" s="20" t="str">
        <f t="shared" si="51"/>
        <v/>
      </c>
      <c r="G861" s="18" t="str">
        <f t="shared" si="53"/>
        <v/>
      </c>
      <c r="I861" s="18" t="str">
        <f>IF($B861="","",H861-IF(Ventas!D861="",0,Ventas!D861))</f>
        <v/>
      </c>
      <c r="J861" t="str">
        <f t="shared" si="52"/>
        <v/>
      </c>
    </row>
    <row r="862" spans="1:10" hidden="1" x14ac:dyDescent="0.2">
      <c r="A862" s="18" t="str">
        <f t="shared" si="50"/>
        <v/>
      </c>
      <c r="F862" s="20" t="str">
        <f t="shared" si="51"/>
        <v/>
      </c>
      <c r="G862" s="18" t="str">
        <f t="shared" si="53"/>
        <v/>
      </c>
      <c r="I862" s="18" t="str">
        <f>IF($B862="","",H862-IF(Ventas!D862="",0,Ventas!D862))</f>
        <v/>
      </c>
      <c r="J862" t="str">
        <f t="shared" si="52"/>
        <v/>
      </c>
    </row>
    <row r="863" spans="1:10" hidden="1" x14ac:dyDescent="0.2">
      <c r="A863" s="18" t="str">
        <f t="shared" si="50"/>
        <v/>
      </c>
      <c r="F863" s="20" t="str">
        <f t="shared" si="51"/>
        <v/>
      </c>
      <c r="G863" s="18" t="str">
        <f t="shared" si="53"/>
        <v/>
      </c>
      <c r="I863" s="18" t="str">
        <f>IF($B863="","",H863-IF(Ventas!D863="",0,Ventas!D863))</f>
        <v/>
      </c>
      <c r="J863" t="str">
        <f t="shared" si="52"/>
        <v/>
      </c>
    </row>
    <row r="864" spans="1:10" hidden="1" x14ac:dyDescent="0.2">
      <c r="A864" s="18" t="str">
        <f t="shared" si="50"/>
        <v/>
      </c>
      <c r="F864" s="20" t="str">
        <f t="shared" si="51"/>
        <v/>
      </c>
      <c r="G864" s="18" t="str">
        <f t="shared" si="53"/>
        <v/>
      </c>
      <c r="I864" s="18" t="str">
        <f>IF($B864="","",H864-IF(Ventas!D864="",0,Ventas!D864))</f>
        <v/>
      </c>
      <c r="J864" t="str">
        <f t="shared" si="52"/>
        <v/>
      </c>
    </row>
    <row r="865" spans="1:10" hidden="1" x14ac:dyDescent="0.2">
      <c r="A865" s="18" t="str">
        <f t="shared" si="50"/>
        <v/>
      </c>
      <c r="F865" s="20" t="str">
        <f t="shared" si="51"/>
        <v/>
      </c>
      <c r="G865" s="18" t="str">
        <f t="shared" si="53"/>
        <v/>
      </c>
      <c r="I865" s="18" t="str">
        <f>IF($B865="","",H865-IF(Ventas!D865="",0,Ventas!D865))</f>
        <v/>
      </c>
      <c r="J865" t="str">
        <f t="shared" si="52"/>
        <v/>
      </c>
    </row>
    <row r="866" spans="1:10" hidden="1" x14ac:dyDescent="0.2">
      <c r="A866" s="18" t="str">
        <f t="shared" si="50"/>
        <v/>
      </c>
      <c r="F866" s="20" t="str">
        <f t="shared" si="51"/>
        <v/>
      </c>
      <c r="G866" s="18" t="str">
        <f t="shared" si="53"/>
        <v/>
      </c>
      <c r="I866" s="18" t="str">
        <f>IF($B866="","",H866-IF(Ventas!D866="",0,Ventas!D866))</f>
        <v/>
      </c>
      <c r="J866" t="str">
        <f t="shared" si="52"/>
        <v/>
      </c>
    </row>
    <row r="867" spans="1:10" hidden="1" x14ac:dyDescent="0.2">
      <c r="A867" s="18" t="str">
        <f t="shared" si="50"/>
        <v/>
      </c>
      <c r="F867" s="20" t="str">
        <f t="shared" si="51"/>
        <v/>
      </c>
      <c r="G867" s="18" t="str">
        <f t="shared" si="53"/>
        <v/>
      </c>
      <c r="I867" s="18" t="str">
        <f>IF($B867="","",H867-IF(Ventas!D867="",0,Ventas!D867))</f>
        <v/>
      </c>
      <c r="J867" t="str">
        <f t="shared" si="52"/>
        <v/>
      </c>
    </row>
    <row r="868" spans="1:10" hidden="1" x14ac:dyDescent="0.2">
      <c r="A868" s="18" t="str">
        <f t="shared" si="50"/>
        <v/>
      </c>
      <c r="F868" s="20" t="str">
        <f t="shared" si="51"/>
        <v/>
      </c>
      <c r="G868" s="18" t="str">
        <f t="shared" si="53"/>
        <v/>
      </c>
      <c r="I868" s="18" t="str">
        <f>IF($B868="","",H868-IF(Ventas!D868="",0,Ventas!D868))</f>
        <v/>
      </c>
      <c r="J868" t="str">
        <f t="shared" si="52"/>
        <v/>
      </c>
    </row>
    <row r="869" spans="1:10" hidden="1" x14ac:dyDescent="0.2">
      <c r="A869" s="18" t="str">
        <f t="shared" si="50"/>
        <v/>
      </c>
      <c r="F869" s="20" t="str">
        <f t="shared" si="51"/>
        <v/>
      </c>
      <c r="G869" s="18" t="str">
        <f t="shared" si="53"/>
        <v/>
      </c>
      <c r="I869" s="18" t="str">
        <f>IF($B869="","",H869-IF(Ventas!D869="",0,Ventas!D869))</f>
        <v/>
      </c>
      <c r="J869" t="str">
        <f t="shared" si="52"/>
        <v/>
      </c>
    </row>
    <row r="870" spans="1:10" hidden="1" x14ac:dyDescent="0.2">
      <c r="A870" s="18" t="str">
        <f t="shared" si="50"/>
        <v/>
      </c>
      <c r="F870" s="20" t="str">
        <f t="shared" si="51"/>
        <v/>
      </c>
      <c r="G870" s="18" t="str">
        <f t="shared" si="53"/>
        <v/>
      </c>
      <c r="I870" s="18" t="str">
        <f>IF($B870="","",H870-IF(Ventas!D870="",0,Ventas!D870))</f>
        <v/>
      </c>
      <c r="J870" t="str">
        <f t="shared" si="52"/>
        <v/>
      </c>
    </row>
    <row r="871" spans="1:10" hidden="1" x14ac:dyDescent="0.2">
      <c r="A871" s="18" t="str">
        <f t="shared" si="50"/>
        <v/>
      </c>
      <c r="F871" s="20" t="str">
        <f t="shared" si="51"/>
        <v/>
      </c>
      <c r="G871" s="18" t="str">
        <f t="shared" si="53"/>
        <v/>
      </c>
      <c r="I871" s="18" t="str">
        <f>IF($B871="","",H871-IF(Ventas!D871="",0,Ventas!D871))</f>
        <v/>
      </c>
      <c r="J871" t="str">
        <f t="shared" si="52"/>
        <v/>
      </c>
    </row>
    <row r="872" spans="1:10" hidden="1" x14ac:dyDescent="0.2">
      <c r="A872" s="18" t="str">
        <f t="shared" si="50"/>
        <v/>
      </c>
      <c r="F872" s="20" t="str">
        <f t="shared" si="51"/>
        <v/>
      </c>
      <c r="G872" s="18" t="str">
        <f t="shared" si="53"/>
        <v/>
      </c>
      <c r="I872" s="18" t="str">
        <f>IF($B872="","",H872-IF(Ventas!D872="",0,Ventas!D872))</f>
        <v/>
      </c>
      <c r="J872" t="str">
        <f t="shared" si="52"/>
        <v/>
      </c>
    </row>
    <row r="873" spans="1:10" hidden="1" x14ac:dyDescent="0.2">
      <c r="A873" s="18" t="str">
        <f t="shared" si="50"/>
        <v/>
      </c>
      <c r="F873" s="20" t="str">
        <f t="shared" si="51"/>
        <v/>
      </c>
      <c r="G873" s="18" t="str">
        <f t="shared" si="53"/>
        <v/>
      </c>
      <c r="I873" s="18" t="str">
        <f>IF($B873="","",H873-IF(Ventas!D873="",0,Ventas!D873))</f>
        <v/>
      </c>
      <c r="J873" t="str">
        <f t="shared" si="52"/>
        <v/>
      </c>
    </row>
    <row r="874" spans="1:10" hidden="1" x14ac:dyDescent="0.2">
      <c r="A874" s="18" t="str">
        <f t="shared" si="50"/>
        <v/>
      </c>
      <c r="F874" s="20" t="str">
        <f t="shared" si="51"/>
        <v/>
      </c>
      <c r="G874" s="18" t="str">
        <f t="shared" si="53"/>
        <v/>
      </c>
      <c r="I874" s="18" t="str">
        <f>IF($B874="","",H874-IF(Ventas!D874="",0,Ventas!D874))</f>
        <v/>
      </c>
      <c r="J874" t="str">
        <f t="shared" si="52"/>
        <v/>
      </c>
    </row>
    <row r="875" spans="1:10" hidden="1" x14ac:dyDescent="0.2">
      <c r="A875" s="18" t="str">
        <f t="shared" si="50"/>
        <v/>
      </c>
      <c r="F875" s="20" t="str">
        <f t="shared" si="51"/>
        <v/>
      </c>
      <c r="G875" s="18" t="str">
        <f t="shared" si="53"/>
        <v/>
      </c>
      <c r="I875" s="18" t="str">
        <f>IF($B875="","",H875-IF(Ventas!D875="",0,Ventas!D875))</f>
        <v/>
      </c>
      <c r="J875" t="str">
        <f t="shared" si="52"/>
        <v/>
      </c>
    </row>
    <row r="876" spans="1:10" hidden="1" x14ac:dyDescent="0.2">
      <c r="A876" s="18" t="str">
        <f t="shared" si="50"/>
        <v/>
      </c>
      <c r="F876" s="20" t="str">
        <f t="shared" si="51"/>
        <v/>
      </c>
      <c r="G876" s="18" t="str">
        <f t="shared" si="53"/>
        <v/>
      </c>
      <c r="I876" s="18" t="str">
        <f>IF($B876="","",H876-IF(Ventas!D876="",0,Ventas!D876))</f>
        <v/>
      </c>
      <c r="J876" t="str">
        <f t="shared" si="52"/>
        <v/>
      </c>
    </row>
    <row r="877" spans="1:10" hidden="1" x14ac:dyDescent="0.2">
      <c r="A877" s="18" t="str">
        <f t="shared" si="50"/>
        <v/>
      </c>
      <c r="F877" s="20" t="str">
        <f t="shared" si="51"/>
        <v/>
      </c>
      <c r="G877" s="18" t="str">
        <f t="shared" si="53"/>
        <v/>
      </c>
      <c r="I877" s="18" t="str">
        <f>IF($B877="","",H877-IF(Ventas!D877="",0,Ventas!D877))</f>
        <v/>
      </c>
      <c r="J877" t="str">
        <f t="shared" si="52"/>
        <v/>
      </c>
    </row>
    <row r="878" spans="1:10" hidden="1" x14ac:dyDescent="0.2">
      <c r="A878" s="18" t="str">
        <f t="shared" si="50"/>
        <v/>
      </c>
      <c r="F878" s="20" t="str">
        <f t="shared" si="51"/>
        <v/>
      </c>
      <c r="G878" s="18" t="str">
        <f t="shared" si="53"/>
        <v/>
      </c>
      <c r="I878" s="18" t="str">
        <f>IF($B878="","",H878-IF(Ventas!D878="",0,Ventas!D878))</f>
        <v/>
      </c>
      <c r="J878" t="str">
        <f t="shared" si="52"/>
        <v/>
      </c>
    </row>
    <row r="879" spans="1:10" hidden="1" x14ac:dyDescent="0.2">
      <c r="A879" s="18" t="str">
        <f t="shared" si="50"/>
        <v/>
      </c>
      <c r="F879" s="20" t="str">
        <f t="shared" si="51"/>
        <v/>
      </c>
      <c r="G879" s="18" t="str">
        <f t="shared" si="53"/>
        <v/>
      </c>
      <c r="I879" s="18" t="str">
        <f>IF($B879="","",H879-IF(Ventas!D879="",0,Ventas!D879))</f>
        <v/>
      </c>
      <c r="J879" t="str">
        <f t="shared" si="52"/>
        <v/>
      </c>
    </row>
    <row r="880" spans="1:10" hidden="1" x14ac:dyDescent="0.2">
      <c r="A880" s="18" t="str">
        <f t="shared" si="50"/>
        <v/>
      </c>
      <c r="F880" s="20" t="str">
        <f t="shared" si="51"/>
        <v/>
      </c>
      <c r="G880" s="18" t="str">
        <f t="shared" si="53"/>
        <v/>
      </c>
      <c r="I880" s="18" t="str">
        <f>IF($B880="","",H880-IF(Ventas!D880="",0,Ventas!D880))</f>
        <v/>
      </c>
      <c r="J880" t="str">
        <f t="shared" si="52"/>
        <v/>
      </c>
    </row>
    <row r="881" spans="1:10" hidden="1" x14ac:dyDescent="0.2">
      <c r="A881" s="18" t="str">
        <f t="shared" si="50"/>
        <v/>
      </c>
      <c r="F881" s="20" t="str">
        <f t="shared" si="51"/>
        <v/>
      </c>
      <c r="G881" s="18" t="str">
        <f t="shared" si="53"/>
        <v/>
      </c>
      <c r="I881" s="18" t="str">
        <f>IF($B881="","",H881-IF(Ventas!D881="",0,Ventas!D881))</f>
        <v/>
      </c>
      <c r="J881" t="str">
        <f t="shared" si="52"/>
        <v/>
      </c>
    </row>
    <row r="882" spans="1:10" hidden="1" x14ac:dyDescent="0.2">
      <c r="A882" s="18" t="str">
        <f t="shared" si="50"/>
        <v/>
      </c>
      <c r="F882" s="20" t="str">
        <f t="shared" si="51"/>
        <v/>
      </c>
      <c r="G882" s="18" t="str">
        <f t="shared" si="53"/>
        <v/>
      </c>
      <c r="I882" s="18" t="str">
        <f>IF($B882="","",H882-IF(Ventas!D882="",0,Ventas!D882))</f>
        <v/>
      </c>
      <c r="J882" t="str">
        <f t="shared" si="52"/>
        <v/>
      </c>
    </row>
    <row r="883" spans="1:10" hidden="1" x14ac:dyDescent="0.2">
      <c r="A883" s="18" t="str">
        <f t="shared" si="50"/>
        <v/>
      </c>
      <c r="F883" s="20" t="str">
        <f t="shared" si="51"/>
        <v/>
      </c>
      <c r="G883" s="18" t="str">
        <f t="shared" si="53"/>
        <v/>
      </c>
      <c r="I883" s="18" t="str">
        <f>IF($B883="","",H883-IF(Ventas!D883="",0,Ventas!D883))</f>
        <v/>
      </c>
      <c r="J883" t="str">
        <f t="shared" si="52"/>
        <v/>
      </c>
    </row>
    <row r="884" spans="1:10" hidden="1" x14ac:dyDescent="0.2">
      <c r="A884" s="18" t="str">
        <f t="shared" si="50"/>
        <v/>
      </c>
      <c r="F884" s="20" t="str">
        <f t="shared" si="51"/>
        <v/>
      </c>
      <c r="G884" s="18" t="str">
        <f t="shared" si="53"/>
        <v/>
      </c>
      <c r="I884" s="18" t="str">
        <f>IF($B884="","",H884-IF(Ventas!D884="",0,Ventas!D884))</f>
        <v/>
      </c>
      <c r="J884" t="str">
        <f t="shared" si="52"/>
        <v/>
      </c>
    </row>
    <row r="885" spans="1:10" hidden="1" x14ac:dyDescent="0.2">
      <c r="A885" s="18" t="str">
        <f t="shared" si="50"/>
        <v/>
      </c>
      <c r="F885" s="20" t="str">
        <f t="shared" si="51"/>
        <v/>
      </c>
      <c r="G885" s="18" t="str">
        <f t="shared" si="53"/>
        <v/>
      </c>
      <c r="I885" s="18" t="str">
        <f>IF($B885="","",H885-IF(Ventas!D885="",0,Ventas!D885))</f>
        <v/>
      </c>
      <c r="J885" t="str">
        <f t="shared" si="52"/>
        <v/>
      </c>
    </row>
    <row r="886" spans="1:10" hidden="1" x14ac:dyDescent="0.2">
      <c r="A886" s="18" t="str">
        <f t="shared" si="50"/>
        <v/>
      </c>
      <c r="F886" s="20" t="str">
        <f t="shared" si="51"/>
        <v/>
      </c>
      <c r="G886" s="18" t="str">
        <f t="shared" si="53"/>
        <v/>
      </c>
      <c r="I886" s="18" t="str">
        <f>IF($B886="","",H886-IF(Ventas!D886="",0,Ventas!D886))</f>
        <v/>
      </c>
      <c r="J886" t="str">
        <f t="shared" si="52"/>
        <v/>
      </c>
    </row>
    <row r="887" spans="1:10" hidden="1" x14ac:dyDescent="0.2">
      <c r="A887" s="18" t="str">
        <f t="shared" si="50"/>
        <v/>
      </c>
      <c r="F887" s="20" t="str">
        <f t="shared" si="51"/>
        <v/>
      </c>
      <c r="G887" s="18" t="str">
        <f t="shared" si="53"/>
        <v/>
      </c>
      <c r="I887" s="18" t="str">
        <f>IF($B887="","",H887-IF(Ventas!D887="",0,Ventas!D887))</f>
        <v/>
      </c>
      <c r="J887" t="str">
        <f t="shared" si="52"/>
        <v/>
      </c>
    </row>
    <row r="888" spans="1:10" hidden="1" x14ac:dyDescent="0.2">
      <c r="A888" s="18" t="str">
        <f t="shared" si="50"/>
        <v/>
      </c>
      <c r="F888" s="20" t="str">
        <f t="shared" si="51"/>
        <v/>
      </c>
      <c r="G888" s="18" t="str">
        <f t="shared" si="53"/>
        <v/>
      </c>
      <c r="I888" s="18" t="str">
        <f>IF($B888="","",H888-IF(Ventas!D888="",0,Ventas!D888))</f>
        <v/>
      </c>
      <c r="J888" t="str">
        <f t="shared" si="52"/>
        <v/>
      </c>
    </row>
    <row r="889" spans="1:10" hidden="1" x14ac:dyDescent="0.2">
      <c r="A889" s="18" t="str">
        <f t="shared" si="50"/>
        <v/>
      </c>
      <c r="F889" s="20" t="str">
        <f t="shared" si="51"/>
        <v/>
      </c>
      <c r="G889" s="18" t="str">
        <f t="shared" si="53"/>
        <v/>
      </c>
      <c r="I889" s="18" t="str">
        <f>IF($B889="","",H889-IF(Ventas!D889="",0,Ventas!D889))</f>
        <v/>
      </c>
      <c r="J889" t="str">
        <f t="shared" si="52"/>
        <v/>
      </c>
    </row>
    <row r="890" spans="1:10" hidden="1" x14ac:dyDescent="0.2">
      <c r="A890" s="18" t="str">
        <f t="shared" si="50"/>
        <v/>
      </c>
      <c r="F890" s="20" t="str">
        <f t="shared" si="51"/>
        <v/>
      </c>
      <c r="G890" s="18" t="str">
        <f t="shared" si="53"/>
        <v/>
      </c>
      <c r="I890" s="18" t="str">
        <f>IF($B890="","",H890-IF(Ventas!D890="",0,Ventas!D890))</f>
        <v/>
      </c>
      <c r="J890" t="str">
        <f t="shared" si="52"/>
        <v/>
      </c>
    </row>
    <row r="891" spans="1:10" hidden="1" x14ac:dyDescent="0.2">
      <c r="A891" s="18" t="str">
        <f t="shared" si="50"/>
        <v/>
      </c>
      <c r="F891" s="20" t="str">
        <f t="shared" si="51"/>
        <v/>
      </c>
      <c r="G891" s="18" t="str">
        <f t="shared" si="53"/>
        <v/>
      </c>
      <c r="I891" s="18" t="str">
        <f>IF($B891="","",H891-IF(Ventas!D891="",0,Ventas!D891))</f>
        <v/>
      </c>
      <c r="J891" t="str">
        <f t="shared" si="52"/>
        <v/>
      </c>
    </row>
    <row r="892" spans="1:10" hidden="1" x14ac:dyDescent="0.2">
      <c r="A892" s="18" t="str">
        <f t="shared" si="50"/>
        <v/>
      </c>
      <c r="F892" s="20" t="str">
        <f t="shared" si="51"/>
        <v/>
      </c>
      <c r="G892" s="18" t="str">
        <f t="shared" si="53"/>
        <v/>
      </c>
      <c r="I892" s="18" t="str">
        <f>IF($B892="","",H892-IF(Ventas!D892="",0,Ventas!D892))</f>
        <v/>
      </c>
      <c r="J892" t="str">
        <f t="shared" si="52"/>
        <v/>
      </c>
    </row>
    <row r="893" spans="1:10" hidden="1" x14ac:dyDescent="0.2">
      <c r="A893" s="18" t="str">
        <f t="shared" si="50"/>
        <v/>
      </c>
      <c r="F893" s="20" t="str">
        <f t="shared" si="51"/>
        <v/>
      </c>
      <c r="G893" s="18" t="str">
        <f t="shared" si="53"/>
        <v/>
      </c>
      <c r="I893" s="18" t="str">
        <f>IF($B893="","",H893-IF(Ventas!D893="",0,Ventas!D893))</f>
        <v/>
      </c>
      <c r="J893" t="str">
        <f t="shared" si="52"/>
        <v/>
      </c>
    </row>
    <row r="894" spans="1:10" hidden="1" x14ac:dyDescent="0.2">
      <c r="A894" s="18" t="str">
        <f t="shared" si="50"/>
        <v/>
      </c>
      <c r="F894" s="20" t="str">
        <f t="shared" si="51"/>
        <v/>
      </c>
      <c r="G894" s="18" t="str">
        <f t="shared" si="53"/>
        <v/>
      </c>
      <c r="I894" s="18" t="str">
        <f>IF($B894="","",H894-IF(Ventas!D894="",0,Ventas!D894))</f>
        <v/>
      </c>
      <c r="J894" t="str">
        <f t="shared" si="52"/>
        <v/>
      </c>
    </row>
    <row r="895" spans="1:10" hidden="1" x14ac:dyDescent="0.2">
      <c r="A895" s="18" t="str">
        <f t="shared" si="50"/>
        <v/>
      </c>
      <c r="F895" s="20" t="str">
        <f t="shared" si="51"/>
        <v/>
      </c>
      <c r="G895" s="18" t="str">
        <f t="shared" si="53"/>
        <v/>
      </c>
      <c r="I895" s="18" t="str">
        <f>IF($B895="","",H895-IF(Ventas!D895="",0,Ventas!D895))</f>
        <v/>
      </c>
      <c r="J895" t="str">
        <f t="shared" si="52"/>
        <v/>
      </c>
    </row>
    <row r="896" spans="1:10" hidden="1" x14ac:dyDescent="0.2">
      <c r="A896" s="18" t="str">
        <f t="shared" si="50"/>
        <v/>
      </c>
      <c r="F896" s="20" t="str">
        <f t="shared" si="51"/>
        <v/>
      </c>
      <c r="G896" s="18" t="str">
        <f t="shared" si="53"/>
        <v/>
      </c>
      <c r="I896" s="18" t="str">
        <f>IF($B896="","",H896-IF(Ventas!D896="",0,Ventas!D896))</f>
        <v/>
      </c>
      <c r="J896" t="str">
        <f t="shared" si="52"/>
        <v/>
      </c>
    </row>
    <row r="897" spans="1:10" hidden="1" x14ac:dyDescent="0.2">
      <c r="A897" s="18" t="str">
        <f t="shared" si="50"/>
        <v/>
      </c>
      <c r="F897" s="20" t="str">
        <f t="shared" si="51"/>
        <v/>
      </c>
      <c r="G897" s="18" t="str">
        <f t="shared" si="53"/>
        <v/>
      </c>
      <c r="I897" s="18" t="str">
        <f>IF($B897="","",H897-IF(Ventas!D897="",0,Ventas!D897))</f>
        <v/>
      </c>
      <c r="J897" t="str">
        <f t="shared" si="52"/>
        <v/>
      </c>
    </row>
    <row r="898" spans="1:10" hidden="1" x14ac:dyDescent="0.2">
      <c r="A898" s="18" t="str">
        <f t="shared" si="50"/>
        <v/>
      </c>
      <c r="F898" s="20" t="str">
        <f t="shared" si="51"/>
        <v/>
      </c>
      <c r="G898" s="18" t="str">
        <f t="shared" si="53"/>
        <v/>
      </c>
      <c r="I898" s="18" t="str">
        <f>IF($B898="","",H898-IF(Ventas!D898="",0,Ventas!D898))</f>
        <v/>
      </c>
      <c r="J898" t="str">
        <f t="shared" si="52"/>
        <v/>
      </c>
    </row>
    <row r="899" spans="1:10" hidden="1" x14ac:dyDescent="0.2">
      <c r="A899" s="18" t="str">
        <f t="shared" ref="A899:A962" si="54">IF(B899="","","P"&amp;TEXT(ROW()-1,"000"))</f>
        <v/>
      </c>
      <c r="F899" s="20" t="str">
        <f t="shared" ref="F899:F962" si="55">IF(OR(E899="",D899="",D899=0),"",E899/D899)</f>
        <v/>
      </c>
      <c r="G899" s="18" t="str">
        <f t="shared" si="53"/>
        <v/>
      </c>
      <c r="I899" s="18" t="str">
        <f>IF($B899="","",H899-IF(Ventas!D899="",0,Ventas!D899))</f>
        <v/>
      </c>
      <c r="J899" t="str">
        <f t="shared" ref="J899:J962" si="56">IF($B899="","",IF(N(I899)=0,"Agotado","Activo"))</f>
        <v/>
      </c>
    </row>
    <row r="900" spans="1:10" hidden="1" x14ac:dyDescent="0.2">
      <c r="A900" s="18" t="str">
        <f t="shared" si="54"/>
        <v/>
      </c>
      <c r="F900" s="20" t="str">
        <f t="shared" si="55"/>
        <v/>
      </c>
      <c r="G900" s="18" t="str">
        <f t="shared" si="53"/>
        <v/>
      </c>
      <c r="I900" s="18" t="str">
        <f>IF($B900="","",H900-IF(Ventas!D900="",0,Ventas!D900))</f>
        <v/>
      </c>
      <c r="J900" t="str">
        <f t="shared" si="56"/>
        <v/>
      </c>
    </row>
    <row r="901" spans="1:10" hidden="1" x14ac:dyDescent="0.2">
      <c r="A901" s="18" t="str">
        <f t="shared" si="54"/>
        <v/>
      </c>
      <c r="F901" s="20" t="str">
        <f t="shared" si="55"/>
        <v/>
      </c>
      <c r="G901" s="18" t="str">
        <f t="shared" si="53"/>
        <v/>
      </c>
      <c r="I901" s="18" t="str">
        <f>IF($B901="","",H901-IF(Ventas!D901="",0,Ventas!D901))</f>
        <v/>
      </c>
      <c r="J901" t="str">
        <f t="shared" si="56"/>
        <v/>
      </c>
    </row>
    <row r="902" spans="1:10" hidden="1" x14ac:dyDescent="0.2">
      <c r="A902" s="18" t="str">
        <f t="shared" si="54"/>
        <v/>
      </c>
      <c r="F902" s="20" t="str">
        <f t="shared" si="55"/>
        <v/>
      </c>
      <c r="G902" s="18" t="str">
        <f t="shared" ref="G902:G965" si="57">IF(F902="","",ROUND(F902*1.33,0))</f>
        <v/>
      </c>
      <c r="I902" s="18" t="str">
        <f>IF($B902="","",H902-IF(Ventas!D902="",0,Ventas!D902))</f>
        <v/>
      </c>
      <c r="J902" t="str">
        <f t="shared" si="56"/>
        <v/>
      </c>
    </row>
    <row r="903" spans="1:10" hidden="1" x14ac:dyDescent="0.2">
      <c r="A903" s="18" t="str">
        <f t="shared" si="54"/>
        <v/>
      </c>
      <c r="F903" s="20" t="str">
        <f t="shared" si="55"/>
        <v/>
      </c>
      <c r="G903" s="18" t="str">
        <f t="shared" si="57"/>
        <v/>
      </c>
      <c r="I903" s="18" t="str">
        <f>IF($B903="","",H903-IF(Ventas!D903="",0,Ventas!D903))</f>
        <v/>
      </c>
      <c r="J903" t="str">
        <f t="shared" si="56"/>
        <v/>
      </c>
    </row>
    <row r="904" spans="1:10" hidden="1" x14ac:dyDescent="0.2">
      <c r="A904" s="18" t="str">
        <f t="shared" si="54"/>
        <v/>
      </c>
      <c r="F904" s="20" t="str">
        <f t="shared" si="55"/>
        <v/>
      </c>
      <c r="G904" s="18" t="str">
        <f t="shared" si="57"/>
        <v/>
      </c>
      <c r="I904" s="18" t="str">
        <f>IF($B904="","",H904-IF(Ventas!D904="",0,Ventas!D904))</f>
        <v/>
      </c>
      <c r="J904" t="str">
        <f t="shared" si="56"/>
        <v/>
      </c>
    </row>
    <row r="905" spans="1:10" hidden="1" x14ac:dyDescent="0.2">
      <c r="A905" s="18" t="str">
        <f t="shared" si="54"/>
        <v/>
      </c>
      <c r="F905" s="20" t="str">
        <f t="shared" si="55"/>
        <v/>
      </c>
      <c r="G905" s="18" t="str">
        <f t="shared" si="57"/>
        <v/>
      </c>
      <c r="I905" s="18" t="str">
        <f>IF($B905="","",H905-IF(Ventas!D905="",0,Ventas!D905))</f>
        <v/>
      </c>
      <c r="J905" t="str">
        <f t="shared" si="56"/>
        <v/>
      </c>
    </row>
    <row r="906" spans="1:10" hidden="1" x14ac:dyDescent="0.2">
      <c r="A906" s="18" t="str">
        <f t="shared" si="54"/>
        <v/>
      </c>
      <c r="F906" s="20" t="str">
        <f t="shared" si="55"/>
        <v/>
      </c>
      <c r="G906" s="18" t="str">
        <f t="shared" si="57"/>
        <v/>
      </c>
      <c r="I906" s="18" t="str">
        <f>IF($B906="","",H906-IF(Ventas!D906="",0,Ventas!D906))</f>
        <v/>
      </c>
      <c r="J906" t="str">
        <f t="shared" si="56"/>
        <v/>
      </c>
    </row>
    <row r="907" spans="1:10" hidden="1" x14ac:dyDescent="0.2">
      <c r="A907" s="18" t="str">
        <f t="shared" si="54"/>
        <v/>
      </c>
      <c r="F907" s="20" t="str">
        <f t="shared" si="55"/>
        <v/>
      </c>
      <c r="G907" s="18" t="str">
        <f t="shared" si="57"/>
        <v/>
      </c>
      <c r="I907" s="18" t="str">
        <f>IF($B907="","",H907-IF(Ventas!D907="",0,Ventas!D907))</f>
        <v/>
      </c>
      <c r="J907" t="str">
        <f t="shared" si="56"/>
        <v/>
      </c>
    </row>
    <row r="908" spans="1:10" hidden="1" x14ac:dyDescent="0.2">
      <c r="A908" s="18" t="str">
        <f t="shared" si="54"/>
        <v/>
      </c>
      <c r="F908" s="20" t="str">
        <f t="shared" si="55"/>
        <v/>
      </c>
      <c r="G908" s="18" t="str">
        <f t="shared" si="57"/>
        <v/>
      </c>
      <c r="I908" s="18" t="str">
        <f>IF($B908="","",H908-IF(Ventas!D908="",0,Ventas!D908))</f>
        <v/>
      </c>
      <c r="J908" t="str">
        <f t="shared" si="56"/>
        <v/>
      </c>
    </row>
    <row r="909" spans="1:10" hidden="1" x14ac:dyDescent="0.2">
      <c r="A909" s="18" t="str">
        <f t="shared" si="54"/>
        <v/>
      </c>
      <c r="F909" s="20" t="str">
        <f t="shared" si="55"/>
        <v/>
      </c>
      <c r="G909" s="18" t="str">
        <f t="shared" si="57"/>
        <v/>
      </c>
      <c r="I909" s="18" t="str">
        <f>IF($B909="","",H909-IF(Ventas!D909="",0,Ventas!D909))</f>
        <v/>
      </c>
      <c r="J909" t="str">
        <f t="shared" si="56"/>
        <v/>
      </c>
    </row>
    <row r="910" spans="1:10" hidden="1" x14ac:dyDescent="0.2">
      <c r="A910" s="18" t="str">
        <f t="shared" si="54"/>
        <v/>
      </c>
      <c r="F910" s="20" t="str">
        <f t="shared" si="55"/>
        <v/>
      </c>
      <c r="G910" s="18" t="str">
        <f t="shared" si="57"/>
        <v/>
      </c>
      <c r="I910" s="18" t="str">
        <f>IF($B910="","",H910-IF(Ventas!D910="",0,Ventas!D910))</f>
        <v/>
      </c>
      <c r="J910" t="str">
        <f t="shared" si="56"/>
        <v/>
      </c>
    </row>
    <row r="911" spans="1:10" hidden="1" x14ac:dyDescent="0.2">
      <c r="A911" s="18" t="str">
        <f t="shared" si="54"/>
        <v/>
      </c>
      <c r="F911" s="20" t="str">
        <f t="shared" si="55"/>
        <v/>
      </c>
      <c r="G911" s="18" t="str">
        <f t="shared" si="57"/>
        <v/>
      </c>
      <c r="I911" s="18" t="str">
        <f>IF($B911="","",H911-IF(Ventas!D911="",0,Ventas!D911))</f>
        <v/>
      </c>
      <c r="J911" t="str">
        <f t="shared" si="56"/>
        <v/>
      </c>
    </row>
    <row r="912" spans="1:10" hidden="1" x14ac:dyDescent="0.2">
      <c r="A912" s="18" t="str">
        <f t="shared" si="54"/>
        <v/>
      </c>
      <c r="F912" s="20" t="str">
        <f t="shared" si="55"/>
        <v/>
      </c>
      <c r="G912" s="18" t="str">
        <f t="shared" si="57"/>
        <v/>
      </c>
      <c r="I912" s="18" t="str">
        <f>IF($B912="","",H912-IF(Ventas!D912="",0,Ventas!D912))</f>
        <v/>
      </c>
      <c r="J912" t="str">
        <f t="shared" si="56"/>
        <v/>
      </c>
    </row>
    <row r="913" spans="1:10" hidden="1" x14ac:dyDescent="0.2">
      <c r="A913" s="18" t="str">
        <f t="shared" si="54"/>
        <v/>
      </c>
      <c r="F913" s="20" t="str">
        <f t="shared" si="55"/>
        <v/>
      </c>
      <c r="G913" s="18" t="str">
        <f t="shared" si="57"/>
        <v/>
      </c>
      <c r="I913" s="18" t="str">
        <f>IF($B913="","",H913-IF(Ventas!D913="",0,Ventas!D913))</f>
        <v/>
      </c>
      <c r="J913" t="str">
        <f t="shared" si="56"/>
        <v/>
      </c>
    </row>
    <row r="914" spans="1:10" hidden="1" x14ac:dyDescent="0.2">
      <c r="A914" s="18" t="str">
        <f t="shared" si="54"/>
        <v/>
      </c>
      <c r="F914" s="20" t="str">
        <f t="shared" si="55"/>
        <v/>
      </c>
      <c r="G914" s="18" t="str">
        <f t="shared" si="57"/>
        <v/>
      </c>
      <c r="I914" s="18" t="str">
        <f>IF($B914="","",H914-IF(Ventas!D914="",0,Ventas!D914))</f>
        <v/>
      </c>
      <c r="J914" t="str">
        <f t="shared" si="56"/>
        <v/>
      </c>
    </row>
    <row r="915" spans="1:10" hidden="1" x14ac:dyDescent="0.2">
      <c r="A915" s="18" t="str">
        <f t="shared" si="54"/>
        <v/>
      </c>
      <c r="F915" s="20" t="str">
        <f t="shared" si="55"/>
        <v/>
      </c>
      <c r="G915" s="18" t="str">
        <f t="shared" si="57"/>
        <v/>
      </c>
      <c r="I915" s="18" t="str">
        <f>IF($B915="","",H915-IF(Ventas!D915="",0,Ventas!D915))</f>
        <v/>
      </c>
      <c r="J915" t="str">
        <f t="shared" si="56"/>
        <v/>
      </c>
    </row>
    <row r="916" spans="1:10" hidden="1" x14ac:dyDescent="0.2">
      <c r="A916" s="18" t="str">
        <f t="shared" si="54"/>
        <v/>
      </c>
      <c r="F916" s="20" t="str">
        <f t="shared" si="55"/>
        <v/>
      </c>
      <c r="G916" s="18" t="str">
        <f t="shared" si="57"/>
        <v/>
      </c>
      <c r="I916" s="18" t="str">
        <f>IF($B916="","",H916-IF(Ventas!D916="",0,Ventas!D916))</f>
        <v/>
      </c>
      <c r="J916" t="str">
        <f t="shared" si="56"/>
        <v/>
      </c>
    </row>
    <row r="917" spans="1:10" hidden="1" x14ac:dyDescent="0.2">
      <c r="A917" s="18" t="str">
        <f t="shared" si="54"/>
        <v/>
      </c>
      <c r="F917" s="20" t="str">
        <f t="shared" si="55"/>
        <v/>
      </c>
      <c r="G917" s="18" t="str">
        <f t="shared" si="57"/>
        <v/>
      </c>
      <c r="I917" s="18" t="str">
        <f>IF($B917="","",H917-IF(Ventas!D917="",0,Ventas!D917))</f>
        <v/>
      </c>
      <c r="J917" t="str">
        <f t="shared" si="56"/>
        <v/>
      </c>
    </row>
    <row r="918" spans="1:10" hidden="1" x14ac:dyDescent="0.2">
      <c r="A918" s="18" t="str">
        <f t="shared" si="54"/>
        <v/>
      </c>
      <c r="F918" s="20" t="str">
        <f t="shared" si="55"/>
        <v/>
      </c>
      <c r="G918" s="18" t="str">
        <f t="shared" si="57"/>
        <v/>
      </c>
      <c r="I918" s="18" t="str">
        <f>IF($B918="","",H918-IF(Ventas!D918="",0,Ventas!D918))</f>
        <v/>
      </c>
      <c r="J918" t="str">
        <f t="shared" si="56"/>
        <v/>
      </c>
    </row>
    <row r="919" spans="1:10" hidden="1" x14ac:dyDescent="0.2">
      <c r="A919" s="18" t="str">
        <f t="shared" si="54"/>
        <v/>
      </c>
      <c r="F919" s="20" t="str">
        <f t="shared" si="55"/>
        <v/>
      </c>
      <c r="G919" s="18" t="str">
        <f t="shared" si="57"/>
        <v/>
      </c>
      <c r="I919" s="18" t="str">
        <f>IF($B919="","",H919-IF(Ventas!D919="",0,Ventas!D919))</f>
        <v/>
      </c>
      <c r="J919" t="str">
        <f t="shared" si="56"/>
        <v/>
      </c>
    </row>
    <row r="920" spans="1:10" hidden="1" x14ac:dyDescent="0.2">
      <c r="A920" s="18" t="str">
        <f t="shared" si="54"/>
        <v/>
      </c>
      <c r="F920" s="20" t="str">
        <f t="shared" si="55"/>
        <v/>
      </c>
      <c r="G920" s="18" t="str">
        <f t="shared" si="57"/>
        <v/>
      </c>
      <c r="I920" s="18" t="str">
        <f>IF($B920="","",H920-IF(Ventas!D920="",0,Ventas!D920))</f>
        <v/>
      </c>
      <c r="J920" t="str">
        <f t="shared" si="56"/>
        <v/>
      </c>
    </row>
    <row r="921" spans="1:10" hidden="1" x14ac:dyDescent="0.2">
      <c r="A921" s="18" t="str">
        <f t="shared" si="54"/>
        <v/>
      </c>
      <c r="F921" s="20" t="str">
        <f t="shared" si="55"/>
        <v/>
      </c>
      <c r="G921" s="18" t="str">
        <f t="shared" si="57"/>
        <v/>
      </c>
      <c r="I921" s="18" t="str">
        <f>IF($B921="","",H921-IF(Ventas!D921="",0,Ventas!D921))</f>
        <v/>
      </c>
      <c r="J921" t="str">
        <f t="shared" si="56"/>
        <v/>
      </c>
    </row>
    <row r="922" spans="1:10" hidden="1" x14ac:dyDescent="0.2">
      <c r="A922" s="18" t="str">
        <f t="shared" si="54"/>
        <v/>
      </c>
      <c r="F922" s="20" t="str">
        <f t="shared" si="55"/>
        <v/>
      </c>
      <c r="G922" s="18" t="str">
        <f t="shared" si="57"/>
        <v/>
      </c>
      <c r="I922" s="18" t="str">
        <f>IF($B922="","",H922-IF(Ventas!D922="",0,Ventas!D922))</f>
        <v/>
      </c>
      <c r="J922" t="str">
        <f t="shared" si="56"/>
        <v/>
      </c>
    </row>
    <row r="923" spans="1:10" hidden="1" x14ac:dyDescent="0.2">
      <c r="A923" s="18" t="str">
        <f t="shared" si="54"/>
        <v/>
      </c>
      <c r="F923" s="20" t="str">
        <f t="shared" si="55"/>
        <v/>
      </c>
      <c r="G923" s="18" t="str">
        <f t="shared" si="57"/>
        <v/>
      </c>
      <c r="I923" s="18" t="str">
        <f>IF($B923="","",H923-IF(Ventas!D923="",0,Ventas!D923))</f>
        <v/>
      </c>
      <c r="J923" t="str">
        <f t="shared" si="56"/>
        <v/>
      </c>
    </row>
    <row r="924" spans="1:10" hidden="1" x14ac:dyDescent="0.2">
      <c r="A924" s="18" t="str">
        <f t="shared" si="54"/>
        <v/>
      </c>
      <c r="F924" s="20" t="str">
        <f t="shared" si="55"/>
        <v/>
      </c>
      <c r="G924" s="18" t="str">
        <f t="shared" si="57"/>
        <v/>
      </c>
      <c r="I924" s="18" t="str">
        <f>IF($B924="","",H924-IF(Ventas!D924="",0,Ventas!D924))</f>
        <v/>
      </c>
      <c r="J924" t="str">
        <f t="shared" si="56"/>
        <v/>
      </c>
    </row>
    <row r="925" spans="1:10" hidden="1" x14ac:dyDescent="0.2">
      <c r="A925" s="18" t="str">
        <f t="shared" si="54"/>
        <v/>
      </c>
      <c r="F925" s="20" t="str">
        <f t="shared" si="55"/>
        <v/>
      </c>
      <c r="G925" s="18" t="str">
        <f t="shared" si="57"/>
        <v/>
      </c>
      <c r="I925" s="18" t="str">
        <f>IF($B925="","",H925-IF(Ventas!D925="",0,Ventas!D925))</f>
        <v/>
      </c>
      <c r="J925" t="str">
        <f t="shared" si="56"/>
        <v/>
      </c>
    </row>
    <row r="926" spans="1:10" hidden="1" x14ac:dyDescent="0.2">
      <c r="A926" s="18" t="str">
        <f t="shared" si="54"/>
        <v/>
      </c>
      <c r="F926" s="20" t="str">
        <f t="shared" si="55"/>
        <v/>
      </c>
      <c r="G926" s="18" t="str">
        <f t="shared" si="57"/>
        <v/>
      </c>
      <c r="I926" s="18" t="str">
        <f>IF($B926="","",H926-IF(Ventas!D926="",0,Ventas!D926))</f>
        <v/>
      </c>
      <c r="J926" t="str">
        <f t="shared" si="56"/>
        <v/>
      </c>
    </row>
    <row r="927" spans="1:10" hidden="1" x14ac:dyDescent="0.2">
      <c r="A927" s="18" t="str">
        <f t="shared" si="54"/>
        <v/>
      </c>
      <c r="F927" s="20" t="str">
        <f t="shared" si="55"/>
        <v/>
      </c>
      <c r="G927" s="18" t="str">
        <f t="shared" si="57"/>
        <v/>
      </c>
      <c r="I927" s="18" t="str">
        <f>IF($B927="","",H927-IF(Ventas!D927="",0,Ventas!D927))</f>
        <v/>
      </c>
      <c r="J927" t="str">
        <f t="shared" si="56"/>
        <v/>
      </c>
    </row>
    <row r="928" spans="1:10" hidden="1" x14ac:dyDescent="0.2">
      <c r="A928" s="18" t="str">
        <f t="shared" si="54"/>
        <v/>
      </c>
      <c r="F928" s="20" t="str">
        <f t="shared" si="55"/>
        <v/>
      </c>
      <c r="G928" s="18" t="str">
        <f t="shared" si="57"/>
        <v/>
      </c>
      <c r="I928" s="18" t="str">
        <f>IF($B928="","",H928-IF(Ventas!D928="",0,Ventas!D928))</f>
        <v/>
      </c>
      <c r="J928" t="str">
        <f t="shared" si="56"/>
        <v/>
      </c>
    </row>
    <row r="929" spans="1:10" hidden="1" x14ac:dyDescent="0.2">
      <c r="A929" s="18" t="str">
        <f t="shared" si="54"/>
        <v/>
      </c>
      <c r="F929" s="20" t="str">
        <f t="shared" si="55"/>
        <v/>
      </c>
      <c r="G929" s="18" t="str">
        <f t="shared" si="57"/>
        <v/>
      </c>
      <c r="I929" s="18" t="str">
        <f>IF($B929="","",H929-IF(Ventas!D929="",0,Ventas!D929))</f>
        <v/>
      </c>
      <c r="J929" t="str">
        <f t="shared" si="56"/>
        <v/>
      </c>
    </row>
    <row r="930" spans="1:10" hidden="1" x14ac:dyDescent="0.2">
      <c r="A930" s="18" t="str">
        <f t="shared" si="54"/>
        <v/>
      </c>
      <c r="F930" s="20" t="str">
        <f t="shared" si="55"/>
        <v/>
      </c>
      <c r="G930" s="18" t="str">
        <f t="shared" si="57"/>
        <v/>
      </c>
      <c r="I930" s="18" t="str">
        <f>IF($B930="","",H930-IF(Ventas!D930="",0,Ventas!D930))</f>
        <v/>
      </c>
      <c r="J930" t="str">
        <f t="shared" si="56"/>
        <v/>
      </c>
    </row>
    <row r="931" spans="1:10" hidden="1" x14ac:dyDescent="0.2">
      <c r="A931" s="18" t="str">
        <f t="shared" si="54"/>
        <v/>
      </c>
      <c r="F931" s="20" t="str">
        <f t="shared" si="55"/>
        <v/>
      </c>
      <c r="G931" s="18" t="str">
        <f t="shared" si="57"/>
        <v/>
      </c>
      <c r="I931" s="18" t="str">
        <f>IF($B931="","",H931-IF(Ventas!D931="",0,Ventas!D931))</f>
        <v/>
      </c>
      <c r="J931" t="str">
        <f t="shared" si="56"/>
        <v/>
      </c>
    </row>
    <row r="932" spans="1:10" hidden="1" x14ac:dyDescent="0.2">
      <c r="A932" s="18" t="str">
        <f t="shared" si="54"/>
        <v/>
      </c>
      <c r="F932" s="20" t="str">
        <f t="shared" si="55"/>
        <v/>
      </c>
      <c r="G932" s="18" t="str">
        <f t="shared" si="57"/>
        <v/>
      </c>
      <c r="I932" s="18" t="str">
        <f>IF($B932="","",H932-IF(Ventas!D932="",0,Ventas!D932))</f>
        <v/>
      </c>
      <c r="J932" t="str">
        <f t="shared" si="56"/>
        <v/>
      </c>
    </row>
    <row r="933" spans="1:10" hidden="1" x14ac:dyDescent="0.2">
      <c r="A933" s="18" t="str">
        <f t="shared" si="54"/>
        <v/>
      </c>
      <c r="F933" s="20" t="str">
        <f t="shared" si="55"/>
        <v/>
      </c>
      <c r="G933" s="18" t="str">
        <f t="shared" si="57"/>
        <v/>
      </c>
      <c r="I933" s="18" t="str">
        <f>IF($B933="","",H933-IF(Ventas!D933="",0,Ventas!D933))</f>
        <v/>
      </c>
      <c r="J933" t="str">
        <f t="shared" si="56"/>
        <v/>
      </c>
    </row>
    <row r="934" spans="1:10" hidden="1" x14ac:dyDescent="0.2">
      <c r="A934" s="18" t="str">
        <f t="shared" si="54"/>
        <v/>
      </c>
      <c r="F934" s="20" t="str">
        <f t="shared" si="55"/>
        <v/>
      </c>
      <c r="G934" s="18" t="str">
        <f t="shared" si="57"/>
        <v/>
      </c>
      <c r="I934" s="18" t="str">
        <f>IF($B934="","",H934-IF(Ventas!D934="",0,Ventas!D934))</f>
        <v/>
      </c>
      <c r="J934" t="str">
        <f t="shared" si="56"/>
        <v/>
      </c>
    </row>
    <row r="935" spans="1:10" hidden="1" x14ac:dyDescent="0.2">
      <c r="A935" s="18" t="str">
        <f t="shared" si="54"/>
        <v/>
      </c>
      <c r="F935" s="20" t="str">
        <f t="shared" si="55"/>
        <v/>
      </c>
      <c r="G935" s="18" t="str">
        <f t="shared" si="57"/>
        <v/>
      </c>
      <c r="I935" s="18" t="str">
        <f>IF($B935="","",H935-IF(Ventas!D935="",0,Ventas!D935))</f>
        <v/>
      </c>
      <c r="J935" t="str">
        <f t="shared" si="56"/>
        <v/>
      </c>
    </row>
    <row r="936" spans="1:10" hidden="1" x14ac:dyDescent="0.2">
      <c r="A936" s="18" t="str">
        <f t="shared" si="54"/>
        <v/>
      </c>
      <c r="F936" s="20" t="str">
        <f t="shared" si="55"/>
        <v/>
      </c>
      <c r="G936" s="18" t="str">
        <f t="shared" si="57"/>
        <v/>
      </c>
      <c r="I936" s="18" t="str">
        <f>IF($B936="","",H936-IF(Ventas!D936="",0,Ventas!D936))</f>
        <v/>
      </c>
      <c r="J936" t="str">
        <f t="shared" si="56"/>
        <v/>
      </c>
    </row>
    <row r="937" spans="1:10" hidden="1" x14ac:dyDescent="0.2">
      <c r="A937" s="18" t="str">
        <f t="shared" si="54"/>
        <v/>
      </c>
      <c r="F937" s="20" t="str">
        <f t="shared" si="55"/>
        <v/>
      </c>
      <c r="G937" s="18" t="str">
        <f t="shared" si="57"/>
        <v/>
      </c>
      <c r="I937" s="18" t="str">
        <f>IF($B937="","",H937-IF(Ventas!D937="",0,Ventas!D937))</f>
        <v/>
      </c>
      <c r="J937" t="str">
        <f t="shared" si="56"/>
        <v/>
      </c>
    </row>
    <row r="938" spans="1:10" hidden="1" x14ac:dyDescent="0.2">
      <c r="A938" s="18" t="str">
        <f t="shared" si="54"/>
        <v/>
      </c>
      <c r="F938" s="20" t="str">
        <f t="shared" si="55"/>
        <v/>
      </c>
      <c r="G938" s="18" t="str">
        <f t="shared" si="57"/>
        <v/>
      </c>
      <c r="I938" s="18" t="str">
        <f>IF($B938="","",H938-IF(Ventas!D938="",0,Ventas!D938))</f>
        <v/>
      </c>
      <c r="J938" t="str">
        <f t="shared" si="56"/>
        <v/>
      </c>
    </row>
    <row r="939" spans="1:10" hidden="1" x14ac:dyDescent="0.2">
      <c r="A939" s="18" t="str">
        <f t="shared" si="54"/>
        <v/>
      </c>
      <c r="F939" s="20" t="str">
        <f t="shared" si="55"/>
        <v/>
      </c>
      <c r="G939" s="18" t="str">
        <f t="shared" si="57"/>
        <v/>
      </c>
      <c r="I939" s="18" t="str">
        <f>IF($B939="","",H939-IF(Ventas!D939="",0,Ventas!D939))</f>
        <v/>
      </c>
      <c r="J939" t="str">
        <f t="shared" si="56"/>
        <v/>
      </c>
    </row>
    <row r="940" spans="1:10" hidden="1" x14ac:dyDescent="0.2">
      <c r="A940" s="18" t="str">
        <f t="shared" si="54"/>
        <v/>
      </c>
      <c r="F940" s="20" t="str">
        <f t="shared" si="55"/>
        <v/>
      </c>
      <c r="G940" s="18" t="str">
        <f t="shared" si="57"/>
        <v/>
      </c>
      <c r="I940" s="18" t="str">
        <f>IF($B940="","",H940-IF(Ventas!D940="",0,Ventas!D940))</f>
        <v/>
      </c>
      <c r="J940" t="str">
        <f t="shared" si="56"/>
        <v/>
      </c>
    </row>
    <row r="941" spans="1:10" hidden="1" x14ac:dyDescent="0.2">
      <c r="A941" s="18" t="str">
        <f t="shared" si="54"/>
        <v/>
      </c>
      <c r="F941" s="20" t="str">
        <f t="shared" si="55"/>
        <v/>
      </c>
      <c r="G941" s="18" t="str">
        <f t="shared" si="57"/>
        <v/>
      </c>
      <c r="I941" s="18" t="str">
        <f>IF($B941="","",H941-IF(Ventas!D941="",0,Ventas!D941))</f>
        <v/>
      </c>
      <c r="J941" t="str">
        <f t="shared" si="56"/>
        <v/>
      </c>
    </row>
    <row r="942" spans="1:10" hidden="1" x14ac:dyDescent="0.2">
      <c r="A942" s="18" t="str">
        <f t="shared" si="54"/>
        <v/>
      </c>
      <c r="F942" s="20" t="str">
        <f t="shared" si="55"/>
        <v/>
      </c>
      <c r="G942" s="18" t="str">
        <f t="shared" si="57"/>
        <v/>
      </c>
      <c r="I942" s="18" t="str">
        <f>IF($B942="","",H942-IF(Ventas!D942="",0,Ventas!D942))</f>
        <v/>
      </c>
      <c r="J942" t="str">
        <f t="shared" si="56"/>
        <v/>
      </c>
    </row>
    <row r="943" spans="1:10" hidden="1" x14ac:dyDescent="0.2">
      <c r="A943" s="18" t="str">
        <f t="shared" si="54"/>
        <v/>
      </c>
      <c r="F943" s="20" t="str">
        <f t="shared" si="55"/>
        <v/>
      </c>
      <c r="G943" s="18" t="str">
        <f t="shared" si="57"/>
        <v/>
      </c>
      <c r="I943" s="18" t="str">
        <f>IF($B943="","",H943-IF(Ventas!D943="",0,Ventas!D943))</f>
        <v/>
      </c>
      <c r="J943" t="str">
        <f t="shared" si="56"/>
        <v/>
      </c>
    </row>
    <row r="944" spans="1:10" hidden="1" x14ac:dyDescent="0.2">
      <c r="A944" s="18" t="str">
        <f t="shared" si="54"/>
        <v/>
      </c>
      <c r="F944" s="20" t="str">
        <f t="shared" si="55"/>
        <v/>
      </c>
      <c r="G944" s="18" t="str">
        <f t="shared" si="57"/>
        <v/>
      </c>
      <c r="I944" s="18" t="str">
        <f>IF($B944="","",H944-IF(Ventas!D944="",0,Ventas!D944))</f>
        <v/>
      </c>
      <c r="J944" t="str">
        <f t="shared" si="56"/>
        <v/>
      </c>
    </row>
    <row r="945" spans="1:10" hidden="1" x14ac:dyDescent="0.2">
      <c r="A945" s="18" t="str">
        <f t="shared" si="54"/>
        <v/>
      </c>
      <c r="F945" s="20" t="str">
        <f t="shared" si="55"/>
        <v/>
      </c>
      <c r="G945" s="18" t="str">
        <f t="shared" si="57"/>
        <v/>
      </c>
      <c r="I945" s="18" t="str">
        <f>IF($B945="","",H945-IF(Ventas!D945="",0,Ventas!D945))</f>
        <v/>
      </c>
      <c r="J945" t="str">
        <f t="shared" si="56"/>
        <v/>
      </c>
    </row>
    <row r="946" spans="1:10" hidden="1" x14ac:dyDescent="0.2">
      <c r="A946" s="18" t="str">
        <f t="shared" si="54"/>
        <v/>
      </c>
      <c r="F946" s="20" t="str">
        <f t="shared" si="55"/>
        <v/>
      </c>
      <c r="G946" s="18" t="str">
        <f t="shared" si="57"/>
        <v/>
      </c>
      <c r="I946" s="18" t="str">
        <f>IF($B946="","",H946-IF(Ventas!D946="",0,Ventas!D946))</f>
        <v/>
      </c>
      <c r="J946" t="str">
        <f t="shared" si="56"/>
        <v/>
      </c>
    </row>
    <row r="947" spans="1:10" hidden="1" x14ac:dyDescent="0.2">
      <c r="A947" s="18" t="str">
        <f t="shared" si="54"/>
        <v/>
      </c>
      <c r="F947" s="20" t="str">
        <f t="shared" si="55"/>
        <v/>
      </c>
      <c r="G947" s="18" t="str">
        <f t="shared" si="57"/>
        <v/>
      </c>
      <c r="I947" s="18" t="str">
        <f>IF($B947="","",H947-IF(Ventas!D947="",0,Ventas!D947))</f>
        <v/>
      </c>
      <c r="J947" t="str">
        <f t="shared" si="56"/>
        <v/>
      </c>
    </row>
    <row r="948" spans="1:10" hidden="1" x14ac:dyDescent="0.2">
      <c r="A948" s="18" t="str">
        <f t="shared" si="54"/>
        <v/>
      </c>
      <c r="F948" s="20" t="str">
        <f t="shared" si="55"/>
        <v/>
      </c>
      <c r="G948" s="18" t="str">
        <f t="shared" si="57"/>
        <v/>
      </c>
      <c r="I948" s="18" t="str">
        <f>IF($B948="","",H948-IF(Ventas!D948="",0,Ventas!D948))</f>
        <v/>
      </c>
      <c r="J948" t="str">
        <f t="shared" si="56"/>
        <v/>
      </c>
    </row>
    <row r="949" spans="1:10" hidden="1" x14ac:dyDescent="0.2">
      <c r="A949" s="18" t="str">
        <f t="shared" si="54"/>
        <v/>
      </c>
      <c r="F949" s="20" t="str">
        <f t="shared" si="55"/>
        <v/>
      </c>
      <c r="G949" s="18" t="str">
        <f t="shared" si="57"/>
        <v/>
      </c>
      <c r="I949" s="18" t="str">
        <f>IF($B949="","",H949-IF(Ventas!D949="",0,Ventas!D949))</f>
        <v/>
      </c>
      <c r="J949" t="str">
        <f t="shared" si="56"/>
        <v/>
      </c>
    </row>
    <row r="950" spans="1:10" hidden="1" x14ac:dyDescent="0.2">
      <c r="A950" s="18" t="str">
        <f t="shared" si="54"/>
        <v/>
      </c>
      <c r="F950" s="20" t="str">
        <f t="shared" si="55"/>
        <v/>
      </c>
      <c r="G950" s="18" t="str">
        <f t="shared" si="57"/>
        <v/>
      </c>
      <c r="I950" s="18" t="str">
        <f>IF($B950="","",H950-IF(Ventas!D950="",0,Ventas!D950))</f>
        <v/>
      </c>
      <c r="J950" t="str">
        <f t="shared" si="56"/>
        <v/>
      </c>
    </row>
    <row r="951" spans="1:10" hidden="1" x14ac:dyDescent="0.2">
      <c r="A951" s="18" t="str">
        <f t="shared" si="54"/>
        <v/>
      </c>
      <c r="F951" s="20" t="str">
        <f t="shared" si="55"/>
        <v/>
      </c>
      <c r="G951" s="18" t="str">
        <f t="shared" si="57"/>
        <v/>
      </c>
      <c r="I951" s="18" t="str">
        <f>IF($B951="","",H951-IF(Ventas!D951="",0,Ventas!D951))</f>
        <v/>
      </c>
      <c r="J951" t="str">
        <f t="shared" si="56"/>
        <v/>
      </c>
    </row>
    <row r="952" spans="1:10" hidden="1" x14ac:dyDescent="0.2">
      <c r="A952" s="18" t="str">
        <f t="shared" si="54"/>
        <v/>
      </c>
      <c r="F952" s="20" t="str">
        <f t="shared" si="55"/>
        <v/>
      </c>
      <c r="G952" s="18" t="str">
        <f t="shared" si="57"/>
        <v/>
      </c>
      <c r="I952" s="18" t="str">
        <f>IF($B952="","",H952-IF(Ventas!D952="",0,Ventas!D952))</f>
        <v/>
      </c>
      <c r="J952" t="str">
        <f t="shared" si="56"/>
        <v/>
      </c>
    </row>
    <row r="953" spans="1:10" hidden="1" x14ac:dyDescent="0.2">
      <c r="A953" s="18" t="str">
        <f t="shared" si="54"/>
        <v/>
      </c>
      <c r="F953" s="20" t="str">
        <f t="shared" si="55"/>
        <v/>
      </c>
      <c r="G953" s="18" t="str">
        <f t="shared" si="57"/>
        <v/>
      </c>
      <c r="I953" s="18" t="str">
        <f>IF($B953="","",H953-IF(Ventas!D953="",0,Ventas!D953))</f>
        <v/>
      </c>
      <c r="J953" t="str">
        <f t="shared" si="56"/>
        <v/>
      </c>
    </row>
    <row r="954" spans="1:10" hidden="1" x14ac:dyDescent="0.2">
      <c r="A954" s="18" t="str">
        <f t="shared" si="54"/>
        <v/>
      </c>
      <c r="F954" s="20" t="str">
        <f t="shared" si="55"/>
        <v/>
      </c>
      <c r="G954" s="18" t="str">
        <f t="shared" si="57"/>
        <v/>
      </c>
      <c r="I954" s="18" t="str">
        <f>IF($B954="","",H954-IF(Ventas!D954="",0,Ventas!D954))</f>
        <v/>
      </c>
      <c r="J954" t="str">
        <f t="shared" si="56"/>
        <v/>
      </c>
    </row>
    <row r="955" spans="1:10" hidden="1" x14ac:dyDescent="0.2">
      <c r="A955" s="18" t="str">
        <f t="shared" si="54"/>
        <v/>
      </c>
      <c r="F955" s="20" t="str">
        <f t="shared" si="55"/>
        <v/>
      </c>
      <c r="G955" s="18" t="str">
        <f t="shared" si="57"/>
        <v/>
      </c>
      <c r="I955" s="18" t="str">
        <f>IF($B955="","",H955-IF(Ventas!D955="",0,Ventas!D955))</f>
        <v/>
      </c>
      <c r="J955" t="str">
        <f t="shared" si="56"/>
        <v/>
      </c>
    </row>
    <row r="956" spans="1:10" hidden="1" x14ac:dyDescent="0.2">
      <c r="A956" s="18" t="str">
        <f t="shared" si="54"/>
        <v/>
      </c>
      <c r="F956" s="20" t="str">
        <f t="shared" si="55"/>
        <v/>
      </c>
      <c r="G956" s="18" t="str">
        <f t="shared" si="57"/>
        <v/>
      </c>
      <c r="I956" s="18" t="str">
        <f>IF($B956="","",H956-IF(Ventas!D956="",0,Ventas!D956))</f>
        <v/>
      </c>
      <c r="J956" t="str">
        <f t="shared" si="56"/>
        <v/>
      </c>
    </row>
    <row r="957" spans="1:10" hidden="1" x14ac:dyDescent="0.2">
      <c r="A957" s="18" t="str">
        <f t="shared" si="54"/>
        <v/>
      </c>
      <c r="F957" s="20" t="str">
        <f t="shared" si="55"/>
        <v/>
      </c>
      <c r="G957" s="18" t="str">
        <f t="shared" si="57"/>
        <v/>
      </c>
      <c r="I957" s="18" t="str">
        <f>IF($B957="","",H957-IF(Ventas!D957="",0,Ventas!D957))</f>
        <v/>
      </c>
      <c r="J957" t="str">
        <f t="shared" si="56"/>
        <v/>
      </c>
    </row>
    <row r="958" spans="1:10" hidden="1" x14ac:dyDescent="0.2">
      <c r="A958" s="18" t="str">
        <f t="shared" si="54"/>
        <v/>
      </c>
      <c r="F958" s="20" t="str">
        <f t="shared" si="55"/>
        <v/>
      </c>
      <c r="G958" s="18" t="str">
        <f t="shared" si="57"/>
        <v/>
      </c>
      <c r="I958" s="18" t="str">
        <f>IF($B958="","",H958-IF(Ventas!D958="",0,Ventas!D958))</f>
        <v/>
      </c>
      <c r="J958" t="str">
        <f t="shared" si="56"/>
        <v/>
      </c>
    </row>
    <row r="959" spans="1:10" hidden="1" x14ac:dyDescent="0.2">
      <c r="A959" s="18" t="str">
        <f t="shared" si="54"/>
        <v/>
      </c>
      <c r="F959" s="20" t="str">
        <f t="shared" si="55"/>
        <v/>
      </c>
      <c r="G959" s="18" t="str">
        <f t="shared" si="57"/>
        <v/>
      </c>
      <c r="I959" s="18" t="str">
        <f>IF($B959="","",H959-IF(Ventas!D959="",0,Ventas!D959))</f>
        <v/>
      </c>
      <c r="J959" t="str">
        <f t="shared" si="56"/>
        <v/>
      </c>
    </row>
    <row r="960" spans="1:10" hidden="1" x14ac:dyDescent="0.2">
      <c r="A960" s="18" t="str">
        <f t="shared" si="54"/>
        <v/>
      </c>
      <c r="F960" s="20" t="str">
        <f t="shared" si="55"/>
        <v/>
      </c>
      <c r="G960" s="18" t="str">
        <f t="shared" si="57"/>
        <v/>
      </c>
      <c r="I960" s="18" t="str">
        <f>IF($B960="","",H960-IF(Ventas!D960="",0,Ventas!D960))</f>
        <v/>
      </c>
      <c r="J960" t="str">
        <f t="shared" si="56"/>
        <v/>
      </c>
    </row>
    <row r="961" spans="1:10" hidden="1" x14ac:dyDescent="0.2">
      <c r="A961" s="18" t="str">
        <f t="shared" si="54"/>
        <v/>
      </c>
      <c r="F961" s="20" t="str">
        <f t="shared" si="55"/>
        <v/>
      </c>
      <c r="G961" s="18" t="str">
        <f t="shared" si="57"/>
        <v/>
      </c>
      <c r="I961" s="18" t="str">
        <f>IF($B961="","",H961-IF(Ventas!D961="",0,Ventas!D961))</f>
        <v/>
      </c>
      <c r="J961" t="str">
        <f t="shared" si="56"/>
        <v/>
      </c>
    </row>
    <row r="962" spans="1:10" hidden="1" x14ac:dyDescent="0.2">
      <c r="A962" s="18" t="str">
        <f t="shared" si="54"/>
        <v/>
      </c>
      <c r="F962" s="20" t="str">
        <f t="shared" si="55"/>
        <v/>
      </c>
      <c r="G962" s="18" t="str">
        <f t="shared" si="57"/>
        <v/>
      </c>
      <c r="I962" s="18" t="str">
        <f>IF($B962="","",H962-IF(Ventas!D962="",0,Ventas!D962))</f>
        <v/>
      </c>
      <c r="J962" t="str">
        <f t="shared" si="56"/>
        <v/>
      </c>
    </row>
    <row r="963" spans="1:10" hidden="1" x14ac:dyDescent="0.2">
      <c r="A963" s="18" t="str">
        <f t="shared" ref="A963:A1000" si="58">IF(B963="","","P"&amp;TEXT(ROW()-1,"000"))</f>
        <v/>
      </c>
      <c r="F963" s="20" t="str">
        <f t="shared" ref="F963:F1000" si="59">IF(OR(E963="",D963="",D963=0),"",E963/D963)</f>
        <v/>
      </c>
      <c r="G963" s="18" t="str">
        <f t="shared" si="57"/>
        <v/>
      </c>
      <c r="I963" s="18" t="str">
        <f>IF($B963="","",H963-IF(Ventas!D963="",0,Ventas!D963))</f>
        <v/>
      </c>
      <c r="J963" t="str">
        <f t="shared" ref="J963:J1000" si="60">IF($B963="","",IF(N(I963)=0,"Agotado","Activo"))</f>
        <v/>
      </c>
    </row>
    <row r="964" spans="1:10" hidden="1" x14ac:dyDescent="0.2">
      <c r="A964" s="18" t="str">
        <f t="shared" si="58"/>
        <v/>
      </c>
      <c r="F964" s="20" t="str">
        <f t="shared" si="59"/>
        <v/>
      </c>
      <c r="G964" s="18" t="str">
        <f t="shared" si="57"/>
        <v/>
      </c>
      <c r="I964" s="18" t="str">
        <f>IF($B964="","",H964-IF(Ventas!D964="",0,Ventas!D964))</f>
        <v/>
      </c>
      <c r="J964" t="str">
        <f t="shared" si="60"/>
        <v/>
      </c>
    </row>
    <row r="965" spans="1:10" hidden="1" x14ac:dyDescent="0.2">
      <c r="A965" s="18" t="str">
        <f t="shared" si="58"/>
        <v/>
      </c>
      <c r="F965" s="20" t="str">
        <f t="shared" si="59"/>
        <v/>
      </c>
      <c r="G965" s="18" t="str">
        <f t="shared" si="57"/>
        <v/>
      </c>
      <c r="I965" s="18" t="str">
        <f>IF($B965="","",H965-IF(Ventas!D965="",0,Ventas!D965))</f>
        <v/>
      </c>
      <c r="J965" t="str">
        <f t="shared" si="60"/>
        <v/>
      </c>
    </row>
    <row r="966" spans="1:10" hidden="1" x14ac:dyDescent="0.2">
      <c r="A966" s="18" t="str">
        <f t="shared" si="58"/>
        <v/>
      </c>
      <c r="F966" s="20" t="str">
        <f t="shared" si="59"/>
        <v/>
      </c>
      <c r="G966" s="18" t="str">
        <f t="shared" ref="G966:G1000" si="61">IF(F966="","",ROUND(F966*1.33,0))</f>
        <v/>
      </c>
      <c r="I966" s="18" t="str">
        <f>IF($B966="","",H966-IF(Ventas!D966="",0,Ventas!D966))</f>
        <v/>
      </c>
      <c r="J966" t="str">
        <f t="shared" si="60"/>
        <v/>
      </c>
    </row>
    <row r="967" spans="1:10" hidden="1" x14ac:dyDescent="0.2">
      <c r="A967" s="18" t="str">
        <f t="shared" si="58"/>
        <v/>
      </c>
      <c r="F967" s="20" t="str">
        <f t="shared" si="59"/>
        <v/>
      </c>
      <c r="G967" s="18" t="str">
        <f t="shared" si="61"/>
        <v/>
      </c>
      <c r="I967" s="18" t="str">
        <f>IF($B967="","",H967-IF(Ventas!D967="",0,Ventas!D967))</f>
        <v/>
      </c>
      <c r="J967" t="str">
        <f t="shared" si="60"/>
        <v/>
      </c>
    </row>
    <row r="968" spans="1:10" hidden="1" x14ac:dyDescent="0.2">
      <c r="A968" s="18" t="str">
        <f t="shared" si="58"/>
        <v/>
      </c>
      <c r="F968" s="20" t="str">
        <f t="shared" si="59"/>
        <v/>
      </c>
      <c r="G968" s="18" t="str">
        <f t="shared" si="61"/>
        <v/>
      </c>
      <c r="I968" s="18" t="str">
        <f>IF($B968="","",H968-IF(Ventas!D968="",0,Ventas!D968))</f>
        <v/>
      </c>
      <c r="J968" t="str">
        <f t="shared" si="60"/>
        <v/>
      </c>
    </row>
    <row r="969" spans="1:10" hidden="1" x14ac:dyDescent="0.2">
      <c r="A969" s="18" t="str">
        <f t="shared" si="58"/>
        <v/>
      </c>
      <c r="F969" s="20" t="str">
        <f t="shared" si="59"/>
        <v/>
      </c>
      <c r="G969" s="18" t="str">
        <f t="shared" si="61"/>
        <v/>
      </c>
      <c r="I969" s="18" t="str">
        <f>IF($B969="","",H969-IF(Ventas!D969="",0,Ventas!D969))</f>
        <v/>
      </c>
      <c r="J969" t="str">
        <f t="shared" si="60"/>
        <v/>
      </c>
    </row>
    <row r="970" spans="1:10" hidden="1" x14ac:dyDescent="0.2">
      <c r="A970" s="18" t="str">
        <f t="shared" si="58"/>
        <v/>
      </c>
      <c r="F970" s="20" t="str">
        <f t="shared" si="59"/>
        <v/>
      </c>
      <c r="G970" s="18" t="str">
        <f t="shared" si="61"/>
        <v/>
      </c>
      <c r="I970" s="18" t="str">
        <f>IF($B970="","",H970-IF(Ventas!D970="",0,Ventas!D970))</f>
        <v/>
      </c>
      <c r="J970" t="str">
        <f t="shared" si="60"/>
        <v/>
      </c>
    </row>
    <row r="971" spans="1:10" hidden="1" x14ac:dyDescent="0.2">
      <c r="A971" s="18" t="str">
        <f t="shared" si="58"/>
        <v/>
      </c>
      <c r="F971" s="20" t="str">
        <f t="shared" si="59"/>
        <v/>
      </c>
      <c r="G971" s="18" t="str">
        <f t="shared" si="61"/>
        <v/>
      </c>
      <c r="I971" s="18" t="str">
        <f>IF($B971="","",H971-IF(Ventas!D971="",0,Ventas!D971))</f>
        <v/>
      </c>
      <c r="J971" t="str">
        <f t="shared" si="60"/>
        <v/>
      </c>
    </row>
    <row r="972" spans="1:10" hidden="1" x14ac:dyDescent="0.2">
      <c r="A972" s="18" t="str">
        <f t="shared" si="58"/>
        <v/>
      </c>
      <c r="F972" s="20" t="str">
        <f t="shared" si="59"/>
        <v/>
      </c>
      <c r="G972" s="18" t="str">
        <f t="shared" si="61"/>
        <v/>
      </c>
      <c r="I972" s="18" t="str">
        <f>IF($B972="","",H972-IF(Ventas!D972="",0,Ventas!D972))</f>
        <v/>
      </c>
      <c r="J972" t="str">
        <f t="shared" si="60"/>
        <v/>
      </c>
    </row>
    <row r="973" spans="1:10" hidden="1" x14ac:dyDescent="0.2">
      <c r="A973" s="18" t="str">
        <f t="shared" si="58"/>
        <v/>
      </c>
      <c r="F973" s="20" t="str">
        <f t="shared" si="59"/>
        <v/>
      </c>
      <c r="G973" s="18" t="str">
        <f t="shared" si="61"/>
        <v/>
      </c>
      <c r="I973" s="18" t="str">
        <f>IF($B973="","",H973-IF(Ventas!D973="",0,Ventas!D973))</f>
        <v/>
      </c>
      <c r="J973" t="str">
        <f t="shared" si="60"/>
        <v/>
      </c>
    </row>
    <row r="974" spans="1:10" hidden="1" x14ac:dyDescent="0.2">
      <c r="A974" s="18" t="str">
        <f t="shared" si="58"/>
        <v/>
      </c>
      <c r="F974" s="20" t="str">
        <f t="shared" si="59"/>
        <v/>
      </c>
      <c r="G974" s="18" t="str">
        <f t="shared" si="61"/>
        <v/>
      </c>
      <c r="I974" s="18" t="str">
        <f>IF($B974="","",H974-IF(Ventas!D974="",0,Ventas!D974))</f>
        <v/>
      </c>
      <c r="J974" t="str">
        <f t="shared" si="60"/>
        <v/>
      </c>
    </row>
    <row r="975" spans="1:10" hidden="1" x14ac:dyDescent="0.2">
      <c r="A975" s="18" t="str">
        <f t="shared" si="58"/>
        <v/>
      </c>
      <c r="F975" s="20" t="str">
        <f t="shared" si="59"/>
        <v/>
      </c>
      <c r="G975" s="18" t="str">
        <f t="shared" si="61"/>
        <v/>
      </c>
      <c r="I975" s="18" t="str">
        <f>IF($B975="","",H975-IF(Ventas!D975="",0,Ventas!D975))</f>
        <v/>
      </c>
      <c r="J975" t="str">
        <f t="shared" si="60"/>
        <v/>
      </c>
    </row>
    <row r="976" spans="1:10" hidden="1" x14ac:dyDescent="0.2">
      <c r="A976" s="18" t="str">
        <f t="shared" si="58"/>
        <v/>
      </c>
      <c r="F976" s="20" t="str">
        <f t="shared" si="59"/>
        <v/>
      </c>
      <c r="G976" s="18" t="str">
        <f t="shared" si="61"/>
        <v/>
      </c>
      <c r="I976" s="18" t="str">
        <f>IF($B976="","",H976-IF(Ventas!D976="",0,Ventas!D976))</f>
        <v/>
      </c>
      <c r="J976" t="str">
        <f t="shared" si="60"/>
        <v/>
      </c>
    </row>
    <row r="977" spans="1:10" hidden="1" x14ac:dyDescent="0.2">
      <c r="A977" s="18" t="str">
        <f t="shared" si="58"/>
        <v/>
      </c>
      <c r="F977" s="20" t="str">
        <f t="shared" si="59"/>
        <v/>
      </c>
      <c r="G977" s="18" t="str">
        <f t="shared" si="61"/>
        <v/>
      </c>
      <c r="I977" s="18" t="str">
        <f>IF($B977="","",H977-IF(Ventas!D977="",0,Ventas!D977))</f>
        <v/>
      </c>
      <c r="J977" t="str">
        <f t="shared" si="60"/>
        <v/>
      </c>
    </row>
    <row r="978" spans="1:10" hidden="1" x14ac:dyDescent="0.2">
      <c r="A978" s="18" t="str">
        <f t="shared" si="58"/>
        <v/>
      </c>
      <c r="F978" s="20" t="str">
        <f t="shared" si="59"/>
        <v/>
      </c>
      <c r="G978" s="18" t="str">
        <f t="shared" si="61"/>
        <v/>
      </c>
      <c r="I978" s="18" t="str">
        <f>IF($B978="","",H978-IF(Ventas!D978="",0,Ventas!D978))</f>
        <v/>
      </c>
      <c r="J978" t="str">
        <f t="shared" si="60"/>
        <v/>
      </c>
    </row>
    <row r="979" spans="1:10" hidden="1" x14ac:dyDescent="0.2">
      <c r="A979" s="18" t="str">
        <f t="shared" si="58"/>
        <v/>
      </c>
      <c r="F979" s="20" t="str">
        <f t="shared" si="59"/>
        <v/>
      </c>
      <c r="G979" s="18" t="str">
        <f t="shared" si="61"/>
        <v/>
      </c>
      <c r="I979" s="18" t="str">
        <f>IF($B979="","",H979-IF(Ventas!D979="",0,Ventas!D979))</f>
        <v/>
      </c>
      <c r="J979" t="str">
        <f t="shared" si="60"/>
        <v/>
      </c>
    </row>
    <row r="980" spans="1:10" hidden="1" x14ac:dyDescent="0.2">
      <c r="A980" s="18" t="str">
        <f t="shared" si="58"/>
        <v/>
      </c>
      <c r="F980" s="20" t="str">
        <f t="shared" si="59"/>
        <v/>
      </c>
      <c r="G980" s="18" t="str">
        <f t="shared" si="61"/>
        <v/>
      </c>
      <c r="I980" s="18" t="str">
        <f>IF($B980="","",H980-IF(Ventas!D980="",0,Ventas!D980))</f>
        <v/>
      </c>
      <c r="J980" t="str">
        <f t="shared" si="60"/>
        <v/>
      </c>
    </row>
    <row r="981" spans="1:10" hidden="1" x14ac:dyDescent="0.2">
      <c r="A981" s="18" t="str">
        <f t="shared" si="58"/>
        <v/>
      </c>
      <c r="F981" s="20" t="str">
        <f t="shared" si="59"/>
        <v/>
      </c>
      <c r="G981" s="18" t="str">
        <f t="shared" si="61"/>
        <v/>
      </c>
      <c r="I981" s="18" t="str">
        <f>IF($B981="","",H981-IF(Ventas!D981="",0,Ventas!D981))</f>
        <v/>
      </c>
      <c r="J981" t="str">
        <f t="shared" si="60"/>
        <v/>
      </c>
    </row>
    <row r="982" spans="1:10" hidden="1" x14ac:dyDescent="0.2">
      <c r="A982" s="18" t="str">
        <f t="shared" si="58"/>
        <v/>
      </c>
      <c r="F982" s="20" t="str">
        <f t="shared" si="59"/>
        <v/>
      </c>
      <c r="G982" s="18" t="str">
        <f t="shared" si="61"/>
        <v/>
      </c>
      <c r="I982" s="18" t="str">
        <f>IF($B982="","",H982-IF(Ventas!D982="",0,Ventas!D982))</f>
        <v/>
      </c>
      <c r="J982" t="str">
        <f t="shared" si="60"/>
        <v/>
      </c>
    </row>
    <row r="983" spans="1:10" hidden="1" x14ac:dyDescent="0.2">
      <c r="A983" s="18" t="str">
        <f t="shared" si="58"/>
        <v/>
      </c>
      <c r="F983" s="20" t="str">
        <f t="shared" si="59"/>
        <v/>
      </c>
      <c r="G983" s="18" t="str">
        <f t="shared" si="61"/>
        <v/>
      </c>
      <c r="I983" s="18" t="str">
        <f>IF($B983="","",H983-IF(Ventas!D983="",0,Ventas!D983))</f>
        <v/>
      </c>
      <c r="J983" t="str">
        <f t="shared" si="60"/>
        <v/>
      </c>
    </row>
    <row r="984" spans="1:10" hidden="1" x14ac:dyDescent="0.2">
      <c r="A984" s="18" t="str">
        <f t="shared" si="58"/>
        <v/>
      </c>
      <c r="F984" s="20" t="str">
        <f t="shared" si="59"/>
        <v/>
      </c>
      <c r="G984" s="18" t="str">
        <f t="shared" si="61"/>
        <v/>
      </c>
      <c r="I984" s="18" t="str">
        <f>IF($B984="","",H984-IF(Ventas!D984="",0,Ventas!D984))</f>
        <v/>
      </c>
      <c r="J984" t="str">
        <f t="shared" si="60"/>
        <v/>
      </c>
    </row>
    <row r="985" spans="1:10" hidden="1" x14ac:dyDescent="0.2">
      <c r="A985" s="18" t="str">
        <f t="shared" si="58"/>
        <v/>
      </c>
      <c r="F985" s="20" t="str">
        <f t="shared" si="59"/>
        <v/>
      </c>
      <c r="G985" s="18" t="str">
        <f t="shared" si="61"/>
        <v/>
      </c>
      <c r="I985" s="18" t="str">
        <f>IF($B985="","",H985-IF(Ventas!D985="",0,Ventas!D985))</f>
        <v/>
      </c>
      <c r="J985" t="str">
        <f t="shared" si="60"/>
        <v/>
      </c>
    </row>
    <row r="986" spans="1:10" hidden="1" x14ac:dyDescent="0.2">
      <c r="A986" s="18" t="str">
        <f t="shared" si="58"/>
        <v/>
      </c>
      <c r="F986" s="20" t="str">
        <f t="shared" si="59"/>
        <v/>
      </c>
      <c r="G986" s="18" t="str">
        <f t="shared" si="61"/>
        <v/>
      </c>
      <c r="I986" s="18" t="str">
        <f>IF($B986="","",H986-IF(Ventas!D986="",0,Ventas!D986))</f>
        <v/>
      </c>
      <c r="J986" t="str">
        <f t="shared" si="60"/>
        <v/>
      </c>
    </row>
    <row r="987" spans="1:10" hidden="1" x14ac:dyDescent="0.2">
      <c r="A987" s="18" t="str">
        <f t="shared" si="58"/>
        <v/>
      </c>
      <c r="F987" s="20" t="str">
        <f t="shared" si="59"/>
        <v/>
      </c>
      <c r="G987" s="18" t="str">
        <f t="shared" si="61"/>
        <v/>
      </c>
      <c r="I987" s="18" t="str">
        <f>IF($B987="","",H987-IF(Ventas!D987="",0,Ventas!D987))</f>
        <v/>
      </c>
      <c r="J987" t="str">
        <f t="shared" si="60"/>
        <v/>
      </c>
    </row>
    <row r="988" spans="1:10" hidden="1" x14ac:dyDescent="0.2">
      <c r="A988" s="18" t="str">
        <f t="shared" si="58"/>
        <v/>
      </c>
      <c r="F988" s="20" t="str">
        <f t="shared" si="59"/>
        <v/>
      </c>
      <c r="G988" s="18" t="str">
        <f t="shared" si="61"/>
        <v/>
      </c>
      <c r="I988" s="18" t="str">
        <f>IF($B988="","",H988-IF(Ventas!D988="",0,Ventas!D988))</f>
        <v/>
      </c>
      <c r="J988" t="str">
        <f t="shared" si="60"/>
        <v/>
      </c>
    </row>
    <row r="989" spans="1:10" hidden="1" x14ac:dyDescent="0.2">
      <c r="A989" s="18" t="str">
        <f t="shared" si="58"/>
        <v/>
      </c>
      <c r="F989" s="20" t="str">
        <f t="shared" si="59"/>
        <v/>
      </c>
      <c r="G989" s="18" t="str">
        <f t="shared" si="61"/>
        <v/>
      </c>
      <c r="I989" s="18" t="str">
        <f>IF($B989="","",H989-IF(Ventas!D989="",0,Ventas!D989))</f>
        <v/>
      </c>
      <c r="J989" t="str">
        <f t="shared" si="60"/>
        <v/>
      </c>
    </row>
    <row r="990" spans="1:10" hidden="1" x14ac:dyDescent="0.2">
      <c r="A990" s="18" t="str">
        <f t="shared" si="58"/>
        <v/>
      </c>
      <c r="F990" s="20" t="str">
        <f t="shared" si="59"/>
        <v/>
      </c>
      <c r="G990" s="18" t="str">
        <f t="shared" si="61"/>
        <v/>
      </c>
      <c r="I990" s="18" t="str">
        <f>IF($B990="","",H990-IF(Ventas!D990="",0,Ventas!D990))</f>
        <v/>
      </c>
      <c r="J990" t="str">
        <f t="shared" si="60"/>
        <v/>
      </c>
    </row>
    <row r="991" spans="1:10" hidden="1" x14ac:dyDescent="0.2">
      <c r="A991" s="18" t="str">
        <f t="shared" si="58"/>
        <v/>
      </c>
      <c r="F991" s="20" t="str">
        <f t="shared" si="59"/>
        <v/>
      </c>
      <c r="G991" s="18" t="str">
        <f t="shared" si="61"/>
        <v/>
      </c>
      <c r="I991" s="18" t="str">
        <f>IF($B991="","",H991-IF(Ventas!D991="",0,Ventas!D991))</f>
        <v/>
      </c>
      <c r="J991" t="str">
        <f t="shared" si="60"/>
        <v/>
      </c>
    </row>
    <row r="992" spans="1:10" hidden="1" x14ac:dyDescent="0.2">
      <c r="A992" s="18" t="str">
        <f t="shared" si="58"/>
        <v/>
      </c>
      <c r="F992" s="20" t="str">
        <f t="shared" si="59"/>
        <v/>
      </c>
      <c r="G992" s="18" t="str">
        <f t="shared" si="61"/>
        <v/>
      </c>
      <c r="I992" s="18" t="str">
        <f>IF($B992="","",H992-IF(Ventas!D992="",0,Ventas!D992))</f>
        <v/>
      </c>
      <c r="J992" t="str">
        <f t="shared" si="60"/>
        <v/>
      </c>
    </row>
    <row r="993" spans="1:10" hidden="1" x14ac:dyDescent="0.2">
      <c r="A993" s="18" t="str">
        <f t="shared" si="58"/>
        <v/>
      </c>
      <c r="F993" s="20" t="str">
        <f t="shared" si="59"/>
        <v/>
      </c>
      <c r="G993" s="18" t="str">
        <f t="shared" si="61"/>
        <v/>
      </c>
      <c r="I993" s="18" t="str">
        <f>IF($B993="","",H993-IF(Ventas!D993="",0,Ventas!D993))</f>
        <v/>
      </c>
      <c r="J993" t="str">
        <f t="shared" si="60"/>
        <v/>
      </c>
    </row>
    <row r="994" spans="1:10" hidden="1" x14ac:dyDescent="0.2">
      <c r="A994" s="18" t="str">
        <f t="shared" si="58"/>
        <v/>
      </c>
      <c r="F994" s="20" t="str">
        <f t="shared" si="59"/>
        <v/>
      </c>
      <c r="G994" s="18" t="str">
        <f t="shared" si="61"/>
        <v/>
      </c>
      <c r="I994" s="18" t="str">
        <f>IF($B994="","",H994-IF(Ventas!D994="",0,Ventas!D994))</f>
        <v/>
      </c>
      <c r="J994" t="str">
        <f t="shared" si="60"/>
        <v/>
      </c>
    </row>
    <row r="995" spans="1:10" hidden="1" x14ac:dyDescent="0.2">
      <c r="A995" s="18" t="str">
        <f t="shared" si="58"/>
        <v/>
      </c>
      <c r="F995" s="20" t="str">
        <f t="shared" si="59"/>
        <v/>
      </c>
      <c r="G995" s="18" t="str">
        <f t="shared" si="61"/>
        <v/>
      </c>
      <c r="I995" s="18" t="str">
        <f>IF($B995="","",H995-IF(Ventas!D995="",0,Ventas!D995))</f>
        <v/>
      </c>
      <c r="J995" t="str">
        <f t="shared" si="60"/>
        <v/>
      </c>
    </row>
    <row r="996" spans="1:10" hidden="1" x14ac:dyDescent="0.2">
      <c r="A996" s="18" t="str">
        <f t="shared" si="58"/>
        <v/>
      </c>
      <c r="F996" s="20" t="str">
        <f t="shared" si="59"/>
        <v/>
      </c>
      <c r="G996" s="18" t="str">
        <f t="shared" si="61"/>
        <v/>
      </c>
      <c r="I996" s="18" t="str">
        <f>IF($B996="","",H996-IF(Ventas!D996="",0,Ventas!D996))</f>
        <v/>
      </c>
      <c r="J996" t="str">
        <f t="shared" si="60"/>
        <v/>
      </c>
    </row>
    <row r="997" spans="1:10" hidden="1" x14ac:dyDescent="0.2">
      <c r="A997" s="18" t="str">
        <f t="shared" si="58"/>
        <v/>
      </c>
      <c r="F997" s="20" t="str">
        <f t="shared" si="59"/>
        <v/>
      </c>
      <c r="G997" s="18" t="str">
        <f t="shared" si="61"/>
        <v/>
      </c>
      <c r="I997" s="18" t="str">
        <f>IF($B997="","",H997-IF(Ventas!D997="",0,Ventas!D997))</f>
        <v/>
      </c>
      <c r="J997" t="str">
        <f t="shared" si="60"/>
        <v/>
      </c>
    </row>
    <row r="998" spans="1:10" hidden="1" x14ac:dyDescent="0.2">
      <c r="A998" s="18" t="str">
        <f t="shared" si="58"/>
        <v/>
      </c>
      <c r="F998" s="20" t="str">
        <f t="shared" si="59"/>
        <v/>
      </c>
      <c r="G998" s="18" t="str">
        <f t="shared" si="61"/>
        <v/>
      </c>
      <c r="I998" s="18" t="str">
        <f>IF($B998="","",H998-IF(Ventas!D998="",0,Ventas!D998))</f>
        <v/>
      </c>
      <c r="J998" t="str">
        <f t="shared" si="60"/>
        <v/>
      </c>
    </row>
    <row r="999" spans="1:10" hidden="1" x14ac:dyDescent="0.2">
      <c r="A999" s="18" t="str">
        <f t="shared" si="58"/>
        <v/>
      </c>
      <c r="F999" s="20" t="str">
        <f t="shared" si="59"/>
        <v/>
      </c>
      <c r="G999" s="18" t="str">
        <f t="shared" si="61"/>
        <v/>
      </c>
      <c r="I999" s="18" t="str">
        <f>IF($B999="","",H999-IF(Ventas!D999="",0,Ventas!D999))</f>
        <v/>
      </c>
      <c r="J999" t="str">
        <f t="shared" si="60"/>
        <v/>
      </c>
    </row>
    <row r="1000" spans="1:10" hidden="1" x14ac:dyDescent="0.2">
      <c r="A1000" s="18" t="str">
        <f t="shared" si="58"/>
        <v/>
      </c>
      <c r="F1000" s="20" t="str">
        <f t="shared" si="59"/>
        <v/>
      </c>
      <c r="G1000" s="18" t="str">
        <f t="shared" si="61"/>
        <v/>
      </c>
      <c r="I1000" s="18" t="str">
        <f>IF($B1000="","",H1000-IF(Ventas!D1000="",0,Ventas!D1000))</f>
        <v/>
      </c>
      <c r="J1000" t="str">
        <f t="shared" si="60"/>
        <v/>
      </c>
    </row>
  </sheetData>
  <autoFilter ref="A1:J1000" xr:uid="{00000000-0001-0000-0100-000000000000}">
    <filterColumn colId="9">
      <filters>
        <filter val="Activo"/>
      </filters>
    </filterColumn>
  </autoFilter>
  <conditionalFormatting sqref="A2:I2 B3:E36 C37:E39 B40:E42 C43:E43 B44:E44 C45:E48 B49:E49 B204:E205 C50:E66 C206:E206 H204:H206 H69:H197 B67:E68 A3:A1000 G3:H68 F3:F1000 I3:I1000 G69:G1000 B71:E197 C69:E70">
    <cfRule type="expression" dxfId="11" priority="19">
      <formula>AND($B2&lt;&gt;"",$H2=0)</formula>
    </cfRule>
  </conditionalFormatting>
  <conditionalFormatting sqref="B43">
    <cfRule type="expression" dxfId="10" priority="17">
      <formula>AND($H43&lt;&gt;"",$H43&lt;=0)</formula>
    </cfRule>
  </conditionalFormatting>
  <conditionalFormatting sqref="B45:B48">
    <cfRule type="expression" dxfId="9" priority="13">
      <formula>AND($H45&lt;&gt;"",$H45&lt;=0)</formula>
    </cfRule>
  </conditionalFormatting>
  <conditionalFormatting sqref="B50:B62">
    <cfRule type="expression" dxfId="8" priority="9">
      <formula>AND($H50&lt;&gt;"",$H50&lt;=0)</formula>
    </cfRule>
  </conditionalFormatting>
  <conditionalFormatting sqref="J2:J1000">
    <cfRule type="containsText" dxfId="7" priority="20" operator="containsText" text="Activo">
      <formula>NOT(ISERROR(SEARCH("Activo",J2)))</formula>
    </cfRule>
    <cfRule type="containsText" dxfId="6" priority="21" operator="containsText" text="Agotado">
      <formula>NOT(ISERROR(SEARCH("Agotado",J2)))</formula>
    </cfRule>
  </conditionalFormatting>
  <conditionalFormatting sqref="B64:B66 B206">
    <cfRule type="expression" dxfId="5" priority="2">
      <formula>AND($H64&lt;&gt;"",$H64&lt;=0)</formula>
    </cfRule>
  </conditionalFormatting>
  <dataValidations count="1">
    <dataValidation type="list" allowBlank="1" showInputMessage="1" showErrorMessage="1" sqref="J2:J1000" xr:uid="{EA2A66CB-3F5F-B648-90F6-1B4ACEEC23DF}">
      <formula1>"Activo,Agotado"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1002"/>
  <sheetViews>
    <sheetView showGridLines="0" zoomScale="150" zoomScaleNormal="150" workbookViewId="0">
      <pane ySplit="1" topLeftCell="A3" activePane="bottomLeft" state="frozen"/>
      <selection pane="bottomLeft" activeCell="D64" sqref="D64"/>
    </sheetView>
  </sheetViews>
  <sheetFormatPr baseColWidth="10" defaultColWidth="8.6640625" defaultRowHeight="15" x14ac:dyDescent="0.2"/>
  <cols>
    <col min="1" max="1" width="9.1640625" customWidth="1"/>
    <col min="2" max="2" width="59" customWidth="1"/>
    <col min="3" max="3" width="14.1640625" customWidth="1"/>
    <col min="4" max="4" width="15.83203125" customWidth="1"/>
    <col min="5" max="5" width="14.1640625" customWidth="1"/>
    <col min="6" max="6" width="16.6640625" customWidth="1"/>
    <col min="7" max="7" width="20" customWidth="1"/>
    <col min="8" max="8" width="16.6640625" customWidth="1"/>
    <col min="9" max="9" width="13" customWidth="1"/>
    <col min="11" max="11" width="50" customWidth="1"/>
    <col min="12" max="12" width="18.33203125" customWidth="1"/>
    <col min="13" max="13" width="23.33203125" customWidth="1"/>
    <col min="14" max="14" width="25" customWidth="1"/>
    <col min="15" max="15" width="18.33203125" customWidth="1"/>
  </cols>
  <sheetData>
    <row r="1" spans="1:15" ht="16" x14ac:dyDescent="0.2">
      <c r="A1" s="17" t="s">
        <v>7</v>
      </c>
      <c r="B1" s="17" t="s">
        <v>8</v>
      </c>
      <c r="C1" s="17" t="s">
        <v>14</v>
      </c>
      <c r="D1" s="17" t="s">
        <v>49</v>
      </c>
      <c r="E1" s="17" t="s">
        <v>50</v>
      </c>
      <c r="F1" s="17" t="s">
        <v>1</v>
      </c>
      <c r="G1" s="17" t="s">
        <v>2</v>
      </c>
      <c r="H1" s="17" t="s">
        <v>3</v>
      </c>
      <c r="I1" s="17" t="s">
        <v>96</v>
      </c>
      <c r="K1" s="39" t="s">
        <v>89</v>
      </c>
      <c r="L1" s="39"/>
      <c r="M1" s="39"/>
      <c r="N1" s="39"/>
      <c r="O1" s="39"/>
    </row>
    <row r="2" spans="1:15" hidden="1" x14ac:dyDescent="0.2">
      <c r="A2" s="18" t="str">
        <f>IF(Productos!A2="","",Productos!A2)</f>
        <v>P001</v>
      </c>
      <c r="B2" s="18" t="str">
        <f>IF(Productos!B2="","",Productos!B2)</f>
        <v>AN ABE ENERGY DRINK 11.2 OZ 12PK TANG ORANGE</v>
      </c>
      <c r="C2" s="18">
        <f>IF(Productos!$A2="","",Productos!H2)</f>
        <v>0</v>
      </c>
      <c r="D2" s="18"/>
      <c r="E2" s="18">
        <f>IF(C2="","",C2-IF(D2="",0,D2))</f>
        <v>0</v>
      </c>
      <c r="F2" s="26">
        <f>IF(A2="","",IF(D2="",0,D2*Productos!G2))</f>
        <v>0</v>
      </c>
      <c r="G2" s="26">
        <f>IF(A2="","",IF(D2="",0,D2*Productos!F2))</f>
        <v>0</v>
      </c>
      <c r="H2" s="26">
        <f>IF(A2="","",F2-G2)</f>
        <v>0</v>
      </c>
      <c r="I2" t="str">
        <f>IF(A2="","",Productos!J2)</f>
        <v>Agotado</v>
      </c>
      <c r="K2" s="28" t="s">
        <v>8</v>
      </c>
      <c r="L2" s="28" t="s">
        <v>49</v>
      </c>
      <c r="M2" s="28" t="s">
        <v>90</v>
      </c>
      <c r="N2" s="28" t="s">
        <v>2</v>
      </c>
      <c r="O2" s="28" t="s">
        <v>91</v>
      </c>
    </row>
    <row r="3" spans="1:15" x14ac:dyDescent="0.2">
      <c r="A3" s="18" t="str">
        <f>IF(Productos!A3="","",Productos!A3)</f>
        <v>P002</v>
      </c>
      <c r="B3" s="18" t="str">
        <f>IF(Productos!B3="","",Productos!B3)</f>
        <v>ARMADA ASHWAGANDHA + L-TEANINA 600 MG 90 CAPS</v>
      </c>
      <c r="C3" s="18">
        <f>IF(Productos!$A3="","",Productos!H3)</f>
        <v>1</v>
      </c>
      <c r="D3" s="18"/>
      <c r="E3" s="18">
        <f t="shared" ref="E3:E66" si="0">IF(C3="","",C3-IF(D3="",0,D3))</f>
        <v>1</v>
      </c>
      <c r="F3" s="26">
        <f>IF(A3="","",IF(D3="",0,D3*Productos!G3))</f>
        <v>0</v>
      </c>
      <c r="G3" s="26">
        <f>IF(A3="","",IF(D3="",0,D3*Productos!F3))</f>
        <v>0</v>
      </c>
      <c r="H3" s="26">
        <f t="shared" ref="H3:H66" si="1">IF(A3="","",F3-G3)</f>
        <v>0</v>
      </c>
      <c r="I3" t="str">
        <f>IF(A3="","",Productos!J3)</f>
        <v>Activo</v>
      </c>
      <c r="K3" t="str" cm="1">
        <f t="array" ref="K3:O15">IFERROR(_xlfn._xlws.FILTER(_xlfn.HSTACK(B2:B1000,D2:D1000,Productos!E2:E1000,G2:G1000,H2:H1000),(D2:D1000&lt;&gt;"")*(D2:D1000&gt;0),"Sin ventas registradas"),"Sin ventas registradas")</f>
        <v>BEBIDA CELSIUS</v>
      </c>
      <c r="L3" s="3">
        <v>2</v>
      </c>
      <c r="M3" s="5">
        <v>600</v>
      </c>
      <c r="N3" s="5">
        <v>100</v>
      </c>
      <c r="O3" s="5">
        <v>40</v>
      </c>
    </row>
    <row r="4" spans="1:15" x14ac:dyDescent="0.2">
      <c r="A4" s="18" t="str">
        <f>IF(Productos!A4="","",Productos!A4)</f>
        <v>P003</v>
      </c>
      <c r="B4" s="18" t="str">
        <f>IF(Productos!B4="","",Productos!B4)</f>
        <v>ARMADA CITRATO DE MAGNESIO 1000 MG 100 CAPS</v>
      </c>
      <c r="C4" s="18">
        <f>IF(Productos!$A4="","",Productos!H4)</f>
        <v>1</v>
      </c>
      <c r="D4" s="18"/>
      <c r="E4" s="18">
        <f t="shared" si="0"/>
        <v>1</v>
      </c>
      <c r="F4" s="26">
        <f>IF(A4="","",IF(D4="",0,D4*Productos!G4))</f>
        <v>0</v>
      </c>
      <c r="G4" s="26">
        <f>IF(A4="","",IF(D4="",0,D4*Productos!F4))</f>
        <v>0</v>
      </c>
      <c r="H4" s="26">
        <f t="shared" si="1"/>
        <v>0</v>
      </c>
      <c r="I4" t="str">
        <f>IF(A4="","",Productos!J4)</f>
        <v>Activo</v>
      </c>
      <c r="K4" t="str">
        <v>BLOOM SURTIDO</v>
      </c>
      <c r="L4" s="3">
        <v>10</v>
      </c>
      <c r="M4" s="5">
        <v>550</v>
      </c>
      <c r="N4" s="5">
        <v>458.33333333333337</v>
      </c>
      <c r="O4" s="5">
        <v>191.66666666666663</v>
      </c>
    </row>
    <row r="5" spans="1:15" x14ac:dyDescent="0.2">
      <c r="A5" s="18" t="str">
        <f>IF(Productos!A5="","",Productos!A5)</f>
        <v>P004</v>
      </c>
      <c r="B5" s="18" t="str">
        <f>IF(Productos!B5="","",Productos!B5)</f>
        <v>BEBIDA CELSIUS</v>
      </c>
      <c r="C5" s="18">
        <f>IF(Productos!$A5="","",Productos!H5)</f>
        <v>14</v>
      </c>
      <c r="D5" s="18">
        <v>2</v>
      </c>
      <c r="E5" s="18">
        <f t="shared" si="0"/>
        <v>12</v>
      </c>
      <c r="F5" s="26">
        <f>IF(A5="","",IF(D5="",0,D5*Productos!G5))</f>
        <v>140</v>
      </c>
      <c r="G5" s="26">
        <f>IF(A5="","",IF(D5="",0,D5*Productos!F5))</f>
        <v>100</v>
      </c>
      <c r="H5" s="26">
        <f t="shared" si="1"/>
        <v>40</v>
      </c>
      <c r="I5" t="str">
        <f>IF(A5="","",Productos!J5)</f>
        <v>Activo</v>
      </c>
      <c r="K5" t="str">
        <v>BSN PROTEIN CRIPS 12 BARS VANILLA MARSHMALLOW *OFERTA*</v>
      </c>
      <c r="L5" s="3">
        <v>12</v>
      </c>
      <c r="M5" s="5">
        <v>600</v>
      </c>
      <c r="N5" s="5">
        <v>600</v>
      </c>
      <c r="O5" s="5">
        <v>180</v>
      </c>
    </row>
    <row r="6" spans="1:15" x14ac:dyDescent="0.2">
      <c r="A6" s="18" t="str">
        <f>IF(Productos!A6="","",Productos!A6)</f>
        <v>P005</v>
      </c>
      <c r="B6" s="18" t="str">
        <f>IF(Productos!B6="","",Productos!B6)</f>
        <v>BLOOM 25 SERV PAQUETE</v>
      </c>
      <c r="C6" s="18">
        <f>IF(Productos!$A6="","",Productos!H6)</f>
        <v>1</v>
      </c>
      <c r="D6" s="18"/>
      <c r="E6" s="18">
        <f t="shared" si="0"/>
        <v>1</v>
      </c>
      <c r="F6" s="26">
        <f>IF(A6="","",IF(D6="",0,D6*Productos!G6))</f>
        <v>0</v>
      </c>
      <c r="G6" s="26">
        <f>IF(A6="","",IF(D6="",0,D6*Productos!F6))</f>
        <v>0</v>
      </c>
      <c r="H6" s="26">
        <f t="shared" si="1"/>
        <v>0</v>
      </c>
      <c r="I6" t="str">
        <f>IF(A6="","",Productos!J6)</f>
        <v>Activo</v>
      </c>
      <c r="K6" t="str">
        <v>CREATINA BIRDMAN</v>
      </c>
      <c r="L6" s="3">
        <v>3</v>
      </c>
      <c r="M6" s="5">
        <v>780</v>
      </c>
      <c r="N6" s="5">
        <v>1170</v>
      </c>
      <c r="O6" s="5">
        <v>120</v>
      </c>
    </row>
    <row r="7" spans="1:15" hidden="1" x14ac:dyDescent="0.2">
      <c r="A7" s="18" t="str">
        <f>IF(Productos!A7="","",Productos!A7)</f>
        <v>P006</v>
      </c>
      <c r="B7" s="18" t="str">
        <f>IF(Productos!B7="","",Productos!B7)</f>
        <v>BLOOM SPAERKALING ENERGY 12OZ PEACH WATERMELON</v>
      </c>
      <c r="C7" s="18">
        <f>IF(Productos!$A7="","",Productos!H7)</f>
        <v>0</v>
      </c>
      <c r="D7" s="18"/>
      <c r="E7" s="18">
        <f t="shared" si="0"/>
        <v>0</v>
      </c>
      <c r="F7" s="26">
        <f>IF(A7="","",IF(D7="",0,D7*Productos!G7))</f>
        <v>0</v>
      </c>
      <c r="G7" s="26">
        <f>IF(A7="","",IF(D7="",0,D7*Productos!F7))</f>
        <v>0</v>
      </c>
      <c r="H7" s="26">
        <f t="shared" si="1"/>
        <v>0</v>
      </c>
      <c r="I7" t="str">
        <f>IF(A7="","",Productos!J7)</f>
        <v>Agotado</v>
      </c>
      <c r="K7" t="str">
        <v>CREATINA BIRDMAN CON ELECTROLIT</v>
      </c>
      <c r="L7" s="3">
        <v>1</v>
      </c>
      <c r="M7" s="5">
        <v>350</v>
      </c>
      <c r="N7" s="5">
        <v>350</v>
      </c>
      <c r="O7" s="5">
        <v>80</v>
      </c>
    </row>
    <row r="8" spans="1:15" hidden="1" x14ac:dyDescent="0.2">
      <c r="A8" s="18" t="str">
        <f>IF(Productos!A8="","",Productos!A8)</f>
        <v>P007</v>
      </c>
      <c r="B8" s="18" t="str">
        <f>IF(Productos!B8="","",Productos!B8)</f>
        <v>BLOOM SPARKLING ENERGY 12OZ PEACH MANGO</v>
      </c>
      <c r="C8" s="18">
        <f>IF(Productos!$A8="","",Productos!H8)</f>
        <v>0</v>
      </c>
      <c r="D8" s="18"/>
      <c r="E8" s="18">
        <f t="shared" si="0"/>
        <v>0</v>
      </c>
      <c r="F8" s="26">
        <f>IF(A8="","",IF(D8="",0,D8*Productos!G8))</f>
        <v>0</v>
      </c>
      <c r="G8" s="26">
        <f>IF(A8="","",IF(D8="",0,D8*Productos!F8))</f>
        <v>0</v>
      </c>
      <c r="H8" s="26">
        <f t="shared" si="1"/>
        <v>0</v>
      </c>
      <c r="I8" t="str">
        <f>IF(A8="","",Productos!J8)</f>
        <v>Agotado</v>
      </c>
      <c r="K8" t="str">
        <v xml:space="preserve">OUTLET ISOFLEX 5LB CHOCOLATE PEANUT BUTTER </v>
      </c>
      <c r="L8" s="3">
        <v>10</v>
      </c>
      <c r="M8" s="5">
        <v>1120</v>
      </c>
      <c r="N8" s="5">
        <v>160</v>
      </c>
      <c r="O8" s="5">
        <v>190</v>
      </c>
    </row>
    <row r="9" spans="1:15" hidden="1" x14ac:dyDescent="0.2">
      <c r="A9" s="18" t="str">
        <f>IF(Productos!A9="","",Productos!A9)</f>
        <v>P008</v>
      </c>
      <c r="B9" s="18" t="str">
        <f>IF(Productos!B9="","",Productos!B9)</f>
        <v>BLOOM SPEARKLING ENERGY 12OZ PEACH LEMONS</v>
      </c>
      <c r="C9" s="18">
        <f>IF(Productos!$A9="","",Productos!H9)</f>
        <v>0</v>
      </c>
      <c r="D9" s="18"/>
      <c r="E9" s="18">
        <f t="shared" si="0"/>
        <v>0</v>
      </c>
      <c r="F9" s="26">
        <f>IF(A9="","",IF(D9="",0,D9*Productos!G9))</f>
        <v>0</v>
      </c>
      <c r="G9" s="26">
        <f>IF(A9="","",IF(D9="",0,D9*Productos!F9))</f>
        <v>0</v>
      </c>
      <c r="H9" s="26">
        <f t="shared" si="1"/>
        <v>0</v>
      </c>
      <c r="I9" t="str">
        <f>IF(A9="","",Productos!J9)</f>
        <v>Agotado</v>
      </c>
      <c r="K9" t="str">
        <v>PREENTRENO CBUM THAVAGE PWO 40 SERV 6 PEAT</v>
      </c>
      <c r="L9" s="3">
        <v>20</v>
      </c>
      <c r="M9" s="5">
        <v>600</v>
      </c>
      <c r="N9" s="5">
        <v>279.06976744186045</v>
      </c>
      <c r="O9" s="5">
        <v>220.93023255813955</v>
      </c>
    </row>
    <row r="10" spans="1:15" x14ac:dyDescent="0.2">
      <c r="A10" s="18" t="str">
        <f>IF(Productos!A10="","",Productos!A10)</f>
        <v>P009</v>
      </c>
      <c r="B10" s="18" t="str">
        <f>IF(Productos!B10="","",Productos!B10)</f>
        <v>BLOOM SURTIDO</v>
      </c>
      <c r="C10" s="18">
        <f>IF(Productos!$A10="","",Productos!H10)</f>
        <v>11</v>
      </c>
      <c r="D10" s="18">
        <v>10</v>
      </c>
      <c r="E10" s="18">
        <f t="shared" si="0"/>
        <v>1</v>
      </c>
      <c r="F10" s="26">
        <f>IF(A10="","",IF(D10="",0,D10*Productos!G10))</f>
        <v>650</v>
      </c>
      <c r="G10" s="26">
        <f>IF(A10="","",IF(D10="",0,D10*Productos!F10))</f>
        <v>458.33333333333337</v>
      </c>
      <c r="H10" s="26">
        <f t="shared" si="1"/>
        <v>191.66666666666663</v>
      </c>
      <c r="I10" t="str">
        <f>IF(A10="","",Productos!J10)</f>
        <v>Activo</v>
      </c>
      <c r="K10" t="str">
        <v>PROTEINA ISO-HD 5 LBS COOKIES BUTTER</v>
      </c>
      <c r="L10" s="3">
        <v>10</v>
      </c>
      <c r="M10" s="5">
        <v>1100</v>
      </c>
      <c r="N10" s="5">
        <v>157.14285714285714</v>
      </c>
      <c r="O10" s="5">
        <v>192.85714285714286</v>
      </c>
    </row>
    <row r="11" spans="1:15" x14ac:dyDescent="0.2">
      <c r="A11" s="18" t="str">
        <f>IF(Productos!A11="","",Productos!A11)</f>
        <v>P010</v>
      </c>
      <c r="B11" s="18" t="str">
        <f>IF(Productos!B11="","",Productos!B11)</f>
        <v>BSN NO-XPLODE VASO PUMP 24 SERV PINEAPPLE PUMP</v>
      </c>
      <c r="C11" s="18">
        <f>IF(Productos!$A11="","",Productos!H11)</f>
        <v>1</v>
      </c>
      <c r="D11" s="27"/>
      <c r="E11" s="18">
        <f t="shared" si="0"/>
        <v>1</v>
      </c>
      <c r="F11" s="26">
        <f>IF(A11="","",IF(D11="",0,D11*Productos!G11))</f>
        <v>0</v>
      </c>
      <c r="G11" s="26">
        <f>IF(A11="","",IF(D11="",0,D11*Productos!F11))</f>
        <v>0</v>
      </c>
      <c r="H11" s="26">
        <f t="shared" si="1"/>
        <v>0</v>
      </c>
      <c r="I11" t="str">
        <f>IF(A11="","",Productos!J11)</f>
        <v>Activo</v>
      </c>
      <c r="K11" t="str">
        <v>PROTEINA ISOPURE ZERO CARB 4.5 LBS VAINILLA</v>
      </c>
      <c r="L11" s="3">
        <v>1</v>
      </c>
      <c r="M11" s="5">
        <v>1500</v>
      </c>
      <c r="N11" s="5">
        <v>1500</v>
      </c>
      <c r="O11" s="5">
        <v>200</v>
      </c>
    </row>
    <row r="12" spans="1:15" hidden="1" x14ac:dyDescent="0.2">
      <c r="A12" s="18" t="str">
        <f>IF(Productos!A12="","",Productos!A12)</f>
        <v>P011</v>
      </c>
      <c r="B12" s="18" t="str">
        <f>IF(Productos!B12="","",Productos!B12)</f>
        <v>BSN PROTEIN CRIPS 12 BARS VANILLA MARSHMALLOW *OFERTA*</v>
      </c>
      <c r="C12" s="18">
        <f>IF(Productos!$A12="","",Productos!H12)</f>
        <v>12</v>
      </c>
      <c r="D12" s="18">
        <v>12</v>
      </c>
      <c r="E12" s="18">
        <f t="shared" si="0"/>
        <v>0</v>
      </c>
      <c r="F12" s="26">
        <f>IF(A12="","",IF(D12="",0,D12*Productos!G12))</f>
        <v>780</v>
      </c>
      <c r="G12" s="26">
        <f>IF(A12="","",IF(D12="",0,D12*Productos!F12))</f>
        <v>600</v>
      </c>
      <c r="H12" s="26">
        <f t="shared" si="1"/>
        <v>180</v>
      </c>
      <c r="I12" t="str">
        <f>IF(A12="","",Productos!J12)</f>
        <v>Agotado</v>
      </c>
      <c r="K12" t="str">
        <v>PROTEINA RAW CBUM ITHOLATE 5 LBS COOKIES &amp; CREAM (UND)</v>
      </c>
      <c r="L12" s="3">
        <v>10</v>
      </c>
      <c r="M12" s="5">
        <v>1400</v>
      </c>
      <c r="N12" s="5">
        <v>200</v>
      </c>
      <c r="O12" s="5">
        <v>150</v>
      </c>
    </row>
    <row r="13" spans="1:15" hidden="1" x14ac:dyDescent="0.2">
      <c r="A13" s="18" t="str">
        <f>IF(Productos!A13="","",Productos!A13)</f>
        <v>P012</v>
      </c>
      <c r="B13" s="18" t="str">
        <f>IF(Productos!B13="","",Productos!B13)</f>
        <v>CBUM ESSENTIAL PWO 30 SERV BLUE RASPBERRY</v>
      </c>
      <c r="C13" s="18">
        <f>IF(Productos!$A13="","",Productos!H13)</f>
        <v>0</v>
      </c>
      <c r="D13" s="18"/>
      <c r="E13" s="18">
        <f t="shared" si="0"/>
        <v>0</v>
      </c>
      <c r="F13" s="26">
        <f>IF(A13="","",IF(D13="",0,D13*Productos!G13))</f>
        <v>0</v>
      </c>
      <c r="G13" s="26">
        <f>IF(A13="","",IF(D13="",0,D13*Productos!F13))</f>
        <v>0</v>
      </c>
      <c r="H13" s="26">
        <f t="shared" si="1"/>
        <v>0</v>
      </c>
      <c r="I13" t="str">
        <f>IF(A13="","",Productos!J13)</f>
        <v>Agotado</v>
      </c>
      <c r="K13" t="str">
        <v>RAW CBUM ESSENTIAL PWO 30 SERV JAMAICA *EDICION LIMITADA*</v>
      </c>
      <c r="L13" s="3">
        <v>20</v>
      </c>
      <c r="M13" s="5">
        <v>420</v>
      </c>
      <c r="N13" s="5">
        <v>254.54545454545453</v>
      </c>
      <c r="O13" s="5">
        <v>245.45454545454547</v>
      </c>
    </row>
    <row r="14" spans="1:15" hidden="1" x14ac:dyDescent="0.2">
      <c r="A14" s="18" t="str">
        <f>IF(Productos!A14="","",Productos!A14)</f>
        <v>P013</v>
      </c>
      <c r="B14" s="18" t="str">
        <f>IF(Productos!B14="","",Productos!B14)</f>
        <v>CBUM ESSENTIAL PWO 30 SERV GUAVA</v>
      </c>
      <c r="C14" s="18">
        <f>IF(Productos!$A14="","",Productos!H14)</f>
        <v>0</v>
      </c>
      <c r="D14" s="18"/>
      <c r="E14" s="18">
        <f t="shared" si="0"/>
        <v>0</v>
      </c>
      <c r="F14" s="26">
        <f>IF(A14="","",IF(D14="",0,D14*Productos!G14))</f>
        <v>0</v>
      </c>
      <c r="G14" s="26">
        <f>IF(A14="","",IF(D14="",0,D14*Productos!F14))</f>
        <v>0</v>
      </c>
      <c r="H14" s="26">
        <f t="shared" si="1"/>
        <v>0</v>
      </c>
      <c r="I14" t="str">
        <f>IF(A14="","",Productos!J14)</f>
        <v>Agotado</v>
      </c>
      <c r="K14" t="str">
        <v xml:space="preserve">RAW MY COOKIE DEALER 113 G 12 PACK MILK &amp; COOKIES </v>
      </c>
      <c r="L14" s="3">
        <v>22</v>
      </c>
      <c r="M14" s="5">
        <v>600</v>
      </c>
      <c r="N14" s="5">
        <v>1100</v>
      </c>
      <c r="O14" s="5">
        <v>440</v>
      </c>
    </row>
    <row r="15" spans="1:15" hidden="1" x14ac:dyDescent="0.2">
      <c r="A15" s="18" t="str">
        <f>IF(Productos!A15="","",Productos!A15)</f>
        <v>P014</v>
      </c>
      <c r="B15" s="18" t="str">
        <f>IF(Productos!B15="","",Productos!B15)</f>
        <v>CBUM ESSENTIAL PWO 30 SERV LYCHEE</v>
      </c>
      <c r="C15" s="18">
        <f>IF(Productos!$A15="","",Productos!H15)</f>
        <v>0</v>
      </c>
      <c r="D15" s="18"/>
      <c r="E15" s="18">
        <f t="shared" si="0"/>
        <v>0</v>
      </c>
      <c r="F15" s="26">
        <f>IF(A15="","",IF(D15="",0,D15*Productos!G15))</f>
        <v>0</v>
      </c>
      <c r="G15" s="26">
        <f>IF(A15="","",IF(D15="",0,D15*Productos!F15))</f>
        <v>0</v>
      </c>
      <c r="H15" s="26">
        <f t="shared" si="1"/>
        <v>0</v>
      </c>
      <c r="I15" t="str">
        <f>IF(A15="","",Productos!J15)</f>
        <v>Agotado</v>
      </c>
      <c r="K15" t="str">
        <v>VASOS SHAKERS</v>
      </c>
      <c r="L15" s="3">
        <v>2</v>
      </c>
      <c r="M15" s="5">
        <v>300</v>
      </c>
      <c r="N15" s="5">
        <v>200</v>
      </c>
      <c r="O15" s="5">
        <v>60</v>
      </c>
    </row>
    <row r="16" spans="1:15" hidden="1" x14ac:dyDescent="0.2">
      <c r="A16" s="18" t="str">
        <f>IF(Productos!A16="","",Productos!A16)</f>
        <v>P015</v>
      </c>
      <c r="B16" s="18" t="str">
        <f>IF(Productos!B16="","",Productos!B16)</f>
        <v>CBUM ESSENTIAL PWO 30SER GUAVA FRUIT</v>
      </c>
      <c r="C16" s="18">
        <f>IF(Productos!$A16="","",Productos!H16)</f>
        <v>0</v>
      </c>
      <c r="D16" s="18"/>
      <c r="E16" s="18">
        <f t="shared" si="0"/>
        <v>0</v>
      </c>
      <c r="F16" s="26">
        <f>IF(A16="","",IF(D16="",0,D16*Productos!G16))</f>
        <v>0</v>
      </c>
      <c r="G16" s="26">
        <f>IF(A16="","",IF(D16="",0,D16*Productos!F16))</f>
        <v>0</v>
      </c>
      <c r="H16" s="26">
        <f t="shared" si="1"/>
        <v>0</v>
      </c>
      <c r="I16" t="str">
        <f>IF(A16="","",Productos!J16)</f>
        <v>Agotado</v>
      </c>
      <c r="L16" s="3"/>
      <c r="M16" s="5"/>
      <c r="N16" s="5"/>
      <c r="O16" s="5"/>
    </row>
    <row r="17" spans="1:15" x14ac:dyDescent="0.2">
      <c r="A17" s="18" t="str">
        <f>IF(Productos!A17="","",Productos!A17)</f>
        <v>P016</v>
      </c>
      <c r="B17" s="18" t="str">
        <f>IF(Productos!B17="","",Productos!B17)</f>
        <v>CREATINA BIRDMAN</v>
      </c>
      <c r="C17" s="18">
        <f>IF(Productos!$A17="","",Productos!H17)</f>
        <v>3</v>
      </c>
      <c r="D17" s="18">
        <v>3</v>
      </c>
      <c r="E17" s="18">
        <f t="shared" si="0"/>
        <v>0</v>
      </c>
      <c r="F17" s="26">
        <f>IF(A17="","",IF(D17="",0,D17*Productos!G17))</f>
        <v>1290</v>
      </c>
      <c r="G17" s="26">
        <f>IF(A17="","",IF(D17="",0,D17*Productos!F17))</f>
        <v>1170</v>
      </c>
      <c r="H17" s="26">
        <f t="shared" si="1"/>
        <v>120</v>
      </c>
      <c r="I17" t="str">
        <f>IF(A17="","",Productos!J17)</f>
        <v>Activo</v>
      </c>
      <c r="L17" s="3"/>
      <c r="M17" s="5"/>
      <c r="N17" s="5"/>
      <c r="O17" s="5"/>
    </row>
    <row r="18" spans="1:15" x14ac:dyDescent="0.2">
      <c r="A18" s="18" t="str">
        <f>IF(Productos!A18="","",Productos!A18)</f>
        <v>P017</v>
      </c>
      <c r="B18" s="18" t="str">
        <f>IF(Productos!B18="","",Productos!B18)</f>
        <v>CREATINA BIRDMAN CON ELECTROLIT</v>
      </c>
      <c r="C18" s="18">
        <f>IF(Productos!$A18="","",Productos!H18)</f>
        <v>2</v>
      </c>
      <c r="D18" s="18">
        <v>1</v>
      </c>
      <c r="E18" s="18">
        <f t="shared" si="0"/>
        <v>1</v>
      </c>
      <c r="F18" s="26">
        <f>IF(A18="","",IF(D18="",0,D18*Productos!G18))</f>
        <v>430</v>
      </c>
      <c r="G18" s="26">
        <f>IF(A18="","",IF(D18="",0,D18*Productos!F18))</f>
        <v>350</v>
      </c>
      <c r="H18" s="26">
        <f t="shared" si="1"/>
        <v>80</v>
      </c>
      <c r="I18" t="str">
        <f>IF(A18="","",Productos!J18)</f>
        <v>Activo</v>
      </c>
      <c r="L18" s="3"/>
      <c r="M18" s="5"/>
      <c r="N18" s="5"/>
      <c r="O18" s="5"/>
    </row>
    <row r="19" spans="1:15" x14ac:dyDescent="0.2">
      <c r="A19" s="18" t="str">
        <f>IF(Productos!A19="","",Productos!A19)</f>
        <v>P018</v>
      </c>
      <c r="B19" s="18" t="str">
        <f>IF(Productos!B19="","",Productos!B19)</f>
        <v>CREATINA DRAGON PHARMA MONOHYDRATE 1KG</v>
      </c>
      <c r="C19" s="18">
        <f>IF(Productos!$A19="","",Productos!H19)</f>
        <v>2</v>
      </c>
      <c r="D19" s="18"/>
      <c r="E19" s="18">
        <f t="shared" si="0"/>
        <v>2</v>
      </c>
      <c r="F19" s="26">
        <f>IF(A19="","",IF(D19="",0,D19*Productos!G19))</f>
        <v>0</v>
      </c>
      <c r="G19" s="26">
        <f>IF(A19="","",IF(D19="",0,D19*Productos!F19))</f>
        <v>0</v>
      </c>
      <c r="H19" s="26">
        <f t="shared" si="1"/>
        <v>0</v>
      </c>
      <c r="I19" t="str">
        <f>IF(A19="","",Productos!J19)</f>
        <v>Activo</v>
      </c>
      <c r="L19" s="3"/>
      <c r="M19" s="5"/>
      <c r="N19" s="5"/>
      <c r="O19" s="5"/>
    </row>
    <row r="20" spans="1:15" hidden="1" x14ac:dyDescent="0.2">
      <c r="A20" s="18" t="str">
        <f>IF(Productos!A20="","",Productos!A20)</f>
        <v>P019</v>
      </c>
      <c r="B20" s="18" t="str">
        <f>IF(Productos!B20="","",Productos!B20)</f>
        <v xml:space="preserve">CREATINA DRAGON PHARMACREATINE MONOHYDRATE 300 GRS UNFLAVORED </v>
      </c>
      <c r="C20" s="18">
        <f>IF(Productos!$A20="","",Productos!H20)</f>
        <v>0</v>
      </c>
      <c r="D20" s="18"/>
      <c r="E20" s="18">
        <f t="shared" si="0"/>
        <v>0</v>
      </c>
      <c r="F20" s="26">
        <f>IF(A20="","",IF(D20="",0,D20*Productos!G20))</f>
        <v>0</v>
      </c>
      <c r="G20" s="26">
        <f>IF(A20="","",IF(D20="",0,D20*Productos!F20))</f>
        <v>0</v>
      </c>
      <c r="H20" s="26">
        <f t="shared" si="1"/>
        <v>0</v>
      </c>
      <c r="I20" t="str">
        <f>IF(A20="","",Productos!J20)</f>
        <v>Agotado</v>
      </c>
      <c r="L20" s="3"/>
      <c r="M20" s="5"/>
      <c r="N20" s="5"/>
      <c r="O20" s="5"/>
    </row>
    <row r="21" spans="1:15" x14ac:dyDescent="0.2">
      <c r="A21" s="18" t="str">
        <f>IF(Productos!A21="","",Productos!A21)</f>
        <v>P020</v>
      </c>
      <c r="B21" s="18" t="str">
        <f>IF(Productos!B21="","",Productos!B21)</f>
        <v>CREATINA MONOHIDRATADA CAT 300GR</v>
      </c>
      <c r="C21" s="18">
        <f>IF(Productos!$A21="","",Productos!H21)</f>
        <v>1</v>
      </c>
      <c r="D21" s="18"/>
      <c r="E21" s="18">
        <f t="shared" si="0"/>
        <v>1</v>
      </c>
      <c r="F21" s="26">
        <f>IF(A21="","",IF(D21="",0,D21*Productos!G21))</f>
        <v>0</v>
      </c>
      <c r="G21" s="26">
        <f>IF(A21="","",IF(D21="",0,D21*Productos!F21))</f>
        <v>0</v>
      </c>
      <c r="H21" s="26">
        <f t="shared" si="1"/>
        <v>0</v>
      </c>
      <c r="I21" t="str">
        <f>IF(A21="","",Productos!J21)</f>
        <v>Activo</v>
      </c>
      <c r="L21" s="3"/>
      <c r="M21" s="5"/>
      <c r="N21" s="5"/>
      <c r="O21" s="5"/>
    </row>
    <row r="22" spans="1:15" x14ac:dyDescent="0.2">
      <c r="A22" s="18" t="str">
        <f>IF(Productos!A22="","",Productos!A22)</f>
        <v>P021</v>
      </c>
      <c r="B22" s="18" t="str">
        <f>IF(Productos!B22="","",Productos!B22)</f>
        <v>CREATINA MONOHYDRATADA CAT 1000GR</v>
      </c>
      <c r="C22" s="18">
        <f>IF(Productos!$A22="","",Productos!H22)</f>
        <v>2</v>
      </c>
      <c r="D22" s="18"/>
      <c r="E22" s="18">
        <f t="shared" si="0"/>
        <v>2</v>
      </c>
      <c r="F22" s="26">
        <f>IF(A22="","",IF(D22="",0,D22*Productos!G22))</f>
        <v>0</v>
      </c>
      <c r="G22" s="26">
        <f>IF(A22="","",IF(D22="",0,D22*Productos!F22))</f>
        <v>0</v>
      </c>
      <c r="H22" s="26">
        <f t="shared" si="1"/>
        <v>0</v>
      </c>
      <c r="I22" t="str">
        <f>IF(A22="","",Productos!J22)</f>
        <v>Activo</v>
      </c>
      <c r="L22" s="3"/>
      <c r="M22" s="5"/>
      <c r="N22" s="5"/>
      <c r="O22" s="5"/>
    </row>
    <row r="23" spans="1:15" x14ac:dyDescent="0.2">
      <c r="A23" s="18" t="str">
        <f>IF(Productos!A23="","",Productos!A23)</f>
        <v>P022</v>
      </c>
      <c r="B23" s="18" t="str">
        <f>IF(Productos!B23="","",Productos!B23)</f>
        <v>DIPS DRAGON PHARMA</v>
      </c>
      <c r="C23" s="18">
        <f>IF(Productos!$A23="","",Productos!H23)</f>
        <v>4</v>
      </c>
      <c r="D23" s="18"/>
      <c r="E23" s="18">
        <f t="shared" si="0"/>
        <v>4</v>
      </c>
      <c r="F23" s="26">
        <f>IF(A23="","",IF(D23="",0,D23*Productos!G23))</f>
        <v>0</v>
      </c>
      <c r="G23" s="26">
        <f>IF(A23="","",IF(D23="",0,D23*Productos!F23))</f>
        <v>0</v>
      </c>
      <c r="H23" s="26">
        <f t="shared" si="1"/>
        <v>0</v>
      </c>
      <c r="I23" t="str">
        <f>IF(A23="","",Productos!J23)</f>
        <v>Activo</v>
      </c>
      <c r="L23" s="3"/>
      <c r="M23" s="5"/>
      <c r="N23" s="5"/>
      <c r="O23" s="5"/>
    </row>
    <row r="24" spans="1:15" x14ac:dyDescent="0.2">
      <c r="A24" s="18" t="str">
        <f>IF(Productos!A24="","",Productos!A24)</f>
        <v>P023</v>
      </c>
      <c r="B24" s="18" t="str">
        <f>IF(Productos!B24="","",Productos!B24)</f>
        <v>DRAGON L-CARNITINE 32 SERV BLUE RASPBERRY</v>
      </c>
      <c r="C24" s="18">
        <f>IF(Productos!$A24="","",Productos!H24)</f>
        <v>1</v>
      </c>
      <c r="D24" s="18"/>
      <c r="E24" s="18">
        <f t="shared" si="0"/>
        <v>1</v>
      </c>
      <c r="F24" s="26">
        <f>IF(A24="","",IF(D24="",0,D24*Productos!G24))</f>
        <v>0</v>
      </c>
      <c r="G24" s="26">
        <f>IF(A24="","",IF(D24="",0,D24*Productos!F24))</f>
        <v>0</v>
      </c>
      <c r="H24" s="26">
        <f t="shared" si="1"/>
        <v>0</v>
      </c>
      <c r="I24" t="str">
        <f>IF(A24="","",Productos!J24)</f>
        <v>Activo</v>
      </c>
      <c r="L24" s="3"/>
      <c r="M24" s="5"/>
      <c r="N24" s="5"/>
      <c r="O24" s="5"/>
    </row>
    <row r="25" spans="1:15" hidden="1" x14ac:dyDescent="0.2">
      <c r="A25" s="18" t="str">
        <f>IF(Productos!A25="","",Productos!A25)</f>
        <v>P024</v>
      </c>
      <c r="B25" s="18" t="str">
        <f>IF(Productos!B25="","",Productos!B25)</f>
        <v>ENERGY 16 OZ 12 PK BLUE RASPBERRY "NUEVO SABOR</v>
      </c>
      <c r="C25" s="18">
        <f>IF(Productos!$A25="","",Productos!H25)</f>
        <v>0</v>
      </c>
      <c r="D25" s="18"/>
      <c r="E25" s="18">
        <f t="shared" si="0"/>
        <v>0</v>
      </c>
      <c r="F25" s="26">
        <f>IF(A25="","",IF(D25="",0,D25*Productos!G25))</f>
        <v>0</v>
      </c>
      <c r="G25" s="26">
        <f>IF(A25="","",IF(D25="",0,D25*Productos!F25))</f>
        <v>0</v>
      </c>
      <c r="H25" s="26">
        <f t="shared" si="1"/>
        <v>0</v>
      </c>
      <c r="I25" t="str">
        <f>IF(A25="","",Productos!J25)</f>
        <v>Agotado</v>
      </c>
      <c r="L25" s="3"/>
      <c r="M25" s="5"/>
      <c r="N25" s="5"/>
      <c r="O25" s="5"/>
    </row>
    <row r="26" spans="1:15" x14ac:dyDescent="0.2">
      <c r="A26" s="18" t="str">
        <f>IF(Productos!A26="","",Productos!A26)</f>
        <v>P025</v>
      </c>
      <c r="B26" s="18" t="str">
        <f>IF(Productos!B26="","",Productos!B26)</f>
        <v>FUEL DRINK 16 OZ/12PACK RING POP CHERRY</v>
      </c>
      <c r="C26" s="18">
        <f>IF(Productos!$A26="","",Productos!H26)</f>
        <v>12</v>
      </c>
      <c r="D26" s="18"/>
      <c r="E26" s="18">
        <f t="shared" si="0"/>
        <v>12</v>
      </c>
      <c r="F26" s="26">
        <f>IF(A26="","",IF(D26="",0,D26*Productos!G26))</f>
        <v>0</v>
      </c>
      <c r="G26" s="26">
        <f>IF(A26="","",IF(D26="",0,D26*Productos!F26))</f>
        <v>0</v>
      </c>
      <c r="H26" s="26">
        <f t="shared" si="1"/>
        <v>0</v>
      </c>
      <c r="I26" t="str">
        <f>IF(A26="","",Productos!J26)</f>
        <v>Activo</v>
      </c>
      <c r="L26" s="3"/>
      <c r="M26" s="5"/>
      <c r="N26" s="5"/>
      <c r="O26" s="5"/>
    </row>
    <row r="27" spans="1:15" hidden="1" x14ac:dyDescent="0.2">
      <c r="A27" s="18" t="str">
        <f>IF(Productos!A27="","",Productos!A27)</f>
        <v>P026</v>
      </c>
      <c r="B27" s="18" t="str">
        <f>IF(Productos!B27="","",Productos!B27)</f>
        <v>GAT SPORT GLUTAMINA 300G</v>
      </c>
      <c r="C27" s="18">
        <f>IF(Productos!$A27="","",Productos!H27)</f>
        <v>0</v>
      </c>
      <c r="D27" s="18"/>
      <c r="E27" s="18">
        <f t="shared" si="0"/>
        <v>0</v>
      </c>
      <c r="F27" s="26">
        <f>IF(A27="","",IF(D27="",0,D27*Productos!G27))</f>
        <v>0</v>
      </c>
      <c r="G27" s="26">
        <f>IF(A27="","",IF(D27="",0,D27*Productos!F27))</f>
        <v>0</v>
      </c>
      <c r="H27" s="26">
        <f t="shared" si="1"/>
        <v>0</v>
      </c>
      <c r="I27" t="str">
        <f>IF(A27="","",Productos!J27)</f>
        <v>Agotado</v>
      </c>
      <c r="L27" s="3"/>
      <c r="M27" s="5"/>
      <c r="N27" s="5"/>
      <c r="O27" s="5"/>
    </row>
    <row r="28" spans="1:15" x14ac:dyDescent="0.2">
      <c r="A28" s="18" t="str">
        <f>IF(Productos!A28="","",Productos!A28)</f>
        <v>P027</v>
      </c>
      <c r="B28" s="18" t="str">
        <f>IF(Productos!B28="","",Productos!B28)</f>
        <v>GHOST ENERGY 16 OZ 12PK PEACHES</v>
      </c>
      <c r="C28" s="18">
        <f>IF(Productos!$A28="","",Productos!H28)</f>
        <v>2</v>
      </c>
      <c r="D28" s="18"/>
      <c r="E28" s="18">
        <f t="shared" si="0"/>
        <v>2</v>
      </c>
      <c r="F28" s="26">
        <f>IF(A28="","",IF(D28="",0,D28*Productos!G28))</f>
        <v>0</v>
      </c>
      <c r="G28" s="26">
        <f>IF(A28="","",IF(D28="",0,D28*Productos!F28))</f>
        <v>0</v>
      </c>
      <c r="H28" s="26">
        <f t="shared" si="1"/>
        <v>0</v>
      </c>
      <c r="I28" t="str">
        <f>IF(A28="","",Productos!J28)</f>
        <v>Activo</v>
      </c>
      <c r="L28" s="3"/>
      <c r="M28" s="5"/>
      <c r="N28" s="5"/>
      <c r="O28" s="5"/>
    </row>
    <row r="29" spans="1:15" hidden="1" x14ac:dyDescent="0.2">
      <c r="A29" s="18" t="str">
        <f>IF(Productos!A29="","",Productos!A29)</f>
        <v>P028</v>
      </c>
      <c r="B29" s="18" t="str">
        <f>IF(Productos!B29="","",Productos!B29)</f>
        <v>HTP LIPODRENE AMARILLO 90 TABS</v>
      </c>
      <c r="C29" s="18">
        <f>IF(Productos!$A29="","",Productos!H29)</f>
        <v>0</v>
      </c>
      <c r="D29" s="18"/>
      <c r="E29" s="18">
        <f t="shared" si="0"/>
        <v>0</v>
      </c>
      <c r="F29" s="26">
        <f>IF(A29="","",IF(D29="",0,D29*Productos!G29))</f>
        <v>0</v>
      </c>
      <c r="G29" s="26">
        <f>IF(A29="","",IF(D29="",0,D29*Productos!F29))</f>
        <v>0</v>
      </c>
      <c r="H29" s="26">
        <f t="shared" si="1"/>
        <v>0</v>
      </c>
      <c r="I29" t="str">
        <f>IF(A29="","",Productos!J29)</f>
        <v>Agotado</v>
      </c>
      <c r="L29" s="3"/>
      <c r="M29" s="5"/>
      <c r="N29" s="5"/>
      <c r="O29" s="5"/>
    </row>
    <row r="30" spans="1:15" hidden="1" x14ac:dyDescent="0.2">
      <c r="A30" s="18" t="str">
        <f>IF(Productos!A30="","",Productos!A30)</f>
        <v>P029</v>
      </c>
      <c r="B30" s="18" t="str">
        <f>IF(Productos!B30="","",Productos!B30)</f>
        <v>ISO 100 1.3 LBS 20 SERV DUNKIN CAPPUCCIONO</v>
      </c>
      <c r="C30" s="18">
        <f>IF(Productos!$A30="","",Productos!H30)</f>
        <v>0</v>
      </c>
      <c r="D30" s="18"/>
      <c r="E30" s="18">
        <f t="shared" si="0"/>
        <v>0</v>
      </c>
      <c r="F30" s="26">
        <f>IF(A30="","",IF(D30="",0,D30*Productos!G30))</f>
        <v>0</v>
      </c>
      <c r="G30" s="26">
        <f>IF(A30="","",IF(D30="",0,D30*Productos!F30))</f>
        <v>0</v>
      </c>
      <c r="H30" s="26">
        <f t="shared" si="1"/>
        <v>0</v>
      </c>
      <c r="I30" t="str">
        <f>IF(A30="","",Productos!J30)</f>
        <v>Agotado</v>
      </c>
      <c r="L30" s="3"/>
      <c r="M30" s="5"/>
      <c r="N30" s="5"/>
      <c r="O30" s="5"/>
    </row>
    <row r="31" spans="1:15" hidden="1" x14ac:dyDescent="0.2">
      <c r="A31" s="18" t="str">
        <f>IF(Productos!A31="","",Productos!A31)</f>
        <v>P030</v>
      </c>
      <c r="B31" s="18" t="str">
        <f>IF(Productos!B31="","",Productos!B31)</f>
        <v>ISO 100 1.3 LBS 20 SERV DUNKIN GLAZED DONUT</v>
      </c>
      <c r="C31" s="18">
        <f>IF(Productos!$A31="","",Productos!H31)</f>
        <v>0</v>
      </c>
      <c r="D31" s="18"/>
      <c r="E31" s="18">
        <f t="shared" si="0"/>
        <v>0</v>
      </c>
      <c r="F31" s="26">
        <f>IF(A31="","",IF(D31="",0,D31*Productos!G31))</f>
        <v>0</v>
      </c>
      <c r="G31" s="26">
        <f>IF(A31="","",IF(D31="",0,D31*Productos!F31))</f>
        <v>0</v>
      </c>
      <c r="H31" s="26">
        <f t="shared" si="1"/>
        <v>0</v>
      </c>
      <c r="I31" t="str">
        <f>IF(A31="","",Productos!J31)</f>
        <v>Agotado</v>
      </c>
      <c r="L31" s="3"/>
      <c r="M31" s="5"/>
      <c r="N31" s="5"/>
      <c r="O31" s="5"/>
    </row>
    <row r="32" spans="1:15" x14ac:dyDescent="0.2">
      <c r="A32" s="18" t="str">
        <f>IF(Productos!A32="","",Productos!A32)</f>
        <v>P031</v>
      </c>
      <c r="B32" s="18" t="str">
        <f>IF(Productos!B32="","",Productos!B32)</f>
        <v>ISO 100 1.3 LBS 20 SERV DUNKIN GLAZED DONUT OFERTA</v>
      </c>
      <c r="C32" s="18">
        <f>IF(Productos!$A32="","",Productos!H32)</f>
        <v>1</v>
      </c>
      <c r="D32" s="18"/>
      <c r="E32" s="18">
        <f t="shared" si="0"/>
        <v>1</v>
      </c>
      <c r="F32" s="26">
        <f>IF(A32="","",IF(D32="",0,D32*Productos!G32))</f>
        <v>0</v>
      </c>
      <c r="G32" s="26">
        <f>IF(A32="","",IF(D32="",0,D32*Productos!F32))</f>
        <v>0</v>
      </c>
      <c r="H32" s="26">
        <f t="shared" si="1"/>
        <v>0</v>
      </c>
      <c r="I32" t="str">
        <f>IF(A32="","",Productos!J32)</f>
        <v>Activo</v>
      </c>
      <c r="L32" s="3"/>
      <c r="M32" s="5"/>
      <c r="N32" s="5"/>
      <c r="O32" s="5"/>
    </row>
    <row r="33" spans="1:15" hidden="1" x14ac:dyDescent="0.2">
      <c r="A33" s="18" t="str">
        <f>IF(Productos!A33="","",Productos!A33)</f>
        <v>P032</v>
      </c>
      <c r="B33" s="18" t="str">
        <f>IF(Productos!B33="","",Productos!B33)</f>
        <v>ISOPHORM 5 LIBS VAINILLA SOFT</v>
      </c>
      <c r="C33" s="18">
        <f>IF(Productos!$A33="","",Productos!H33)</f>
        <v>0</v>
      </c>
      <c r="D33" s="18"/>
      <c r="E33" s="18">
        <f t="shared" si="0"/>
        <v>0</v>
      </c>
      <c r="F33" s="26">
        <f>IF(A33="","",IF(D33="",0,D33*Productos!G33))</f>
        <v>0</v>
      </c>
      <c r="G33" s="26">
        <f>IF(A33="","",IF(D33="",0,D33*Productos!F33))</f>
        <v>0</v>
      </c>
      <c r="H33" s="26">
        <f t="shared" si="1"/>
        <v>0</v>
      </c>
      <c r="I33" t="str">
        <f>IF(A33="","",Productos!J33)</f>
        <v>Agotado</v>
      </c>
      <c r="L33" s="3"/>
      <c r="M33" s="5"/>
      <c r="N33" s="5"/>
      <c r="O33" s="5"/>
    </row>
    <row r="34" spans="1:15" hidden="1" x14ac:dyDescent="0.2">
      <c r="A34" s="18" t="str">
        <f>IF(Productos!A34="","",Productos!A34)</f>
        <v>P033</v>
      </c>
      <c r="B34" s="18" t="str">
        <f>IF(Productos!B34="","",Productos!B34)</f>
        <v xml:space="preserve">OUTLET ISOFLEX 5LB CHOCOLATE PEANUT BUTTER </v>
      </c>
      <c r="C34" s="18">
        <f>IF(Productos!$A34="","",Productos!H34)</f>
        <v>0</v>
      </c>
      <c r="D34" s="18"/>
      <c r="E34" s="18">
        <f t="shared" si="0"/>
        <v>0</v>
      </c>
      <c r="F34" s="26">
        <f>IF(A34="","",IF(D34="",0,D34*Productos!G34))</f>
        <v>0</v>
      </c>
      <c r="G34" s="26">
        <f>IF(A34="","",IF(D34="",0,D34*Productos!F34))</f>
        <v>0</v>
      </c>
      <c r="H34" s="26">
        <f t="shared" si="1"/>
        <v>0</v>
      </c>
      <c r="I34" t="str">
        <f>IF(A34="","",Productos!J34)</f>
        <v>Agotado</v>
      </c>
      <c r="L34" s="3"/>
      <c r="M34" s="5"/>
      <c r="N34" s="5"/>
      <c r="O34" s="5"/>
    </row>
    <row r="35" spans="1:15" x14ac:dyDescent="0.2">
      <c r="A35" s="18" t="str">
        <f>IF(Productos!A35="","",Productos!A35)</f>
        <v>P034</v>
      </c>
      <c r="B35" s="18" t="str">
        <f>IF(Productos!B35="","",Productos!B35)</f>
        <v xml:space="preserve">OUTLET ISOFLEX 5LB CHOCOLATE PEANUT BUTTER </v>
      </c>
      <c r="C35" s="18">
        <f>IF(Productos!$A35="","",Productos!H35)</f>
        <v>20</v>
      </c>
      <c r="D35" s="18">
        <v>10</v>
      </c>
      <c r="E35" s="18">
        <f t="shared" si="0"/>
        <v>10</v>
      </c>
      <c r="F35" s="26">
        <f>IF(A35="","",IF(D35="",0,D35*Productos!G35))</f>
        <v>350</v>
      </c>
      <c r="G35" s="26">
        <f>IF(A35="","",IF(D35="",0,D35*Productos!F35))</f>
        <v>160</v>
      </c>
      <c r="H35" s="26">
        <f t="shared" si="1"/>
        <v>190</v>
      </c>
      <c r="I35" t="str">
        <f>IF(A35="","",Productos!J35)</f>
        <v>Activo</v>
      </c>
      <c r="L35" s="3"/>
      <c r="M35" s="5"/>
      <c r="N35" s="5"/>
      <c r="O35" s="5"/>
    </row>
    <row r="36" spans="1:15" x14ac:dyDescent="0.2">
      <c r="A36" s="18" t="str">
        <f>IF(Productos!A36="","",Productos!A36)</f>
        <v>P035</v>
      </c>
      <c r="B36" s="18" t="str">
        <f>IF(Productos!B36="","",Productos!B36)</f>
        <v>PREENTRENO BLACK MAMBA 20 SERV GRAPE BUBLEGUM</v>
      </c>
      <c r="C36" s="18">
        <f>IF(Productos!$A36="","",Productos!H36)</f>
        <v>1</v>
      </c>
      <c r="D36" s="18"/>
      <c r="E36" s="18">
        <f t="shared" si="0"/>
        <v>1</v>
      </c>
      <c r="F36" s="26">
        <f>IF(A36="","",IF(D36="",0,D36*Productos!G36))</f>
        <v>0</v>
      </c>
      <c r="G36" s="26">
        <f>IF(A36="","",IF(D36="",0,D36*Productos!F36))</f>
        <v>0</v>
      </c>
      <c r="H36" s="26">
        <f t="shared" si="1"/>
        <v>0</v>
      </c>
      <c r="I36" t="str">
        <f>IF(A36="","",Productos!J36)</f>
        <v>Activo</v>
      </c>
      <c r="L36" s="3"/>
      <c r="M36" s="5"/>
      <c r="N36" s="5"/>
      <c r="O36" s="5"/>
    </row>
    <row r="37" spans="1:15" x14ac:dyDescent="0.2">
      <c r="A37" s="18" t="str">
        <f>IF(Productos!A37="","",Productos!A37)</f>
        <v>P036</v>
      </c>
      <c r="B37" s="18" t="str">
        <f>IF(Productos!B37="","",Productos!B37)</f>
        <v>PREENTRENO BLACK MAMBA 20 SERV GRAPE BUBLEGUM (UND)</v>
      </c>
      <c r="C37" s="18">
        <f>IF(Productos!$A37="","",Productos!H37)</f>
        <v>15</v>
      </c>
      <c r="D37" s="18"/>
      <c r="E37" s="18">
        <f t="shared" si="0"/>
        <v>15</v>
      </c>
      <c r="F37" s="26">
        <f>IF(A37="","",IF(D37="",0,D37*Productos!G37))</f>
        <v>0</v>
      </c>
      <c r="G37" s="26">
        <f>IF(A37="","",IF(D37="",0,D37*Productos!F37))</f>
        <v>0</v>
      </c>
      <c r="H37" s="26">
        <f t="shared" si="1"/>
        <v>0</v>
      </c>
      <c r="I37" t="str">
        <f>IF(A37="","",Productos!J37)</f>
        <v>Activo</v>
      </c>
      <c r="L37" s="3"/>
      <c r="M37" s="5"/>
      <c r="N37" s="5"/>
      <c r="O37" s="5"/>
    </row>
    <row r="38" spans="1:15" x14ac:dyDescent="0.2">
      <c r="A38" s="18" t="str">
        <f>IF(Productos!A38="","",Productos!A38)</f>
        <v>P037</v>
      </c>
      <c r="B38" s="18" t="str">
        <f>IF(Productos!B38="","",Productos!B38)</f>
        <v>PREENTRENO BUCKED UP MOTHER BUCKER 20 SRV MIAMI</v>
      </c>
      <c r="C38" s="18">
        <f>IF(Productos!$A38="","",Productos!H38)</f>
        <v>20</v>
      </c>
      <c r="D38" s="18"/>
      <c r="E38" s="18">
        <f t="shared" si="0"/>
        <v>20</v>
      </c>
      <c r="F38" s="26">
        <f>IF(A38="","",IF(D38="",0,D38*Productos!G38))</f>
        <v>0</v>
      </c>
      <c r="G38" s="26">
        <f>IF(A38="","",IF(D38="",0,D38*Productos!F38))</f>
        <v>0</v>
      </c>
      <c r="H38" s="26">
        <f t="shared" si="1"/>
        <v>0</v>
      </c>
      <c r="I38" t="str">
        <f>IF(A38="","",Productos!J38)</f>
        <v>Activo</v>
      </c>
      <c r="L38" s="3"/>
      <c r="M38" s="5"/>
      <c r="N38" s="5"/>
      <c r="O38" s="5"/>
    </row>
    <row r="39" spans="1:15" hidden="1" x14ac:dyDescent="0.2">
      <c r="A39" s="18" t="str">
        <f>IF(Productos!A39="","",Productos!A39)</f>
        <v>P038</v>
      </c>
      <c r="B39" s="18" t="str">
        <f>IF(Productos!B39="","",Productos!B39)</f>
        <v>PREENTRENO CBUM ESSENTIAL PWO 30 SERV ORANGE</v>
      </c>
      <c r="C39" s="18">
        <f>IF(Productos!$A39="","",Productos!H39)</f>
        <v>0</v>
      </c>
      <c r="D39" s="18"/>
      <c r="E39" s="18">
        <f t="shared" si="0"/>
        <v>0</v>
      </c>
      <c r="F39" s="26">
        <f>IF(A39="","",IF(D39="",0,D39*Productos!G39))</f>
        <v>0</v>
      </c>
      <c r="G39" s="26">
        <f>IF(A39="","",IF(D39="",0,D39*Productos!F39))</f>
        <v>0</v>
      </c>
      <c r="H39" s="26">
        <f t="shared" si="1"/>
        <v>0</v>
      </c>
      <c r="I39" t="str">
        <f>IF(A39="","",Productos!J39)</f>
        <v>Agotado</v>
      </c>
      <c r="L39" s="3"/>
      <c r="M39" s="5"/>
      <c r="N39" s="5"/>
      <c r="O39" s="5"/>
    </row>
    <row r="40" spans="1:15" x14ac:dyDescent="0.2">
      <c r="A40" s="18" t="str">
        <f>IF(Productos!A40="","",Productos!A40)</f>
        <v>P039</v>
      </c>
      <c r="B40" s="18" t="str">
        <f>IF(Productos!B40="","",Productos!B40)</f>
        <v>PREENTRENO CBUM ESSENTIAL PWO 30 SERV RED WHITE AND BUM</v>
      </c>
      <c r="C40" s="18">
        <f>IF(Productos!$A40="","",Productos!H40)</f>
        <v>25</v>
      </c>
      <c r="D40" s="18"/>
      <c r="E40" s="18">
        <f t="shared" si="0"/>
        <v>25</v>
      </c>
      <c r="F40" s="26">
        <f>IF(A40="","",IF(D40="",0,D40*Productos!G40))</f>
        <v>0</v>
      </c>
      <c r="G40" s="26">
        <f>IF(A40="","",IF(D40="",0,D40*Productos!F40))</f>
        <v>0</v>
      </c>
      <c r="H40" s="26">
        <f t="shared" si="1"/>
        <v>0</v>
      </c>
      <c r="I40" t="str">
        <f>IF(A40="","",Productos!J40)</f>
        <v>Activo</v>
      </c>
      <c r="L40" s="3"/>
      <c r="M40" s="5"/>
      <c r="N40" s="5"/>
      <c r="O40" s="5"/>
    </row>
    <row r="41" spans="1:15" x14ac:dyDescent="0.2">
      <c r="A41" s="18" t="str">
        <f>IF(Productos!A41="","",Productos!A41)</f>
        <v>P040</v>
      </c>
      <c r="B41" s="18" t="str">
        <f>IF(Productos!B41="","",Productos!B41)</f>
        <v>PREENTRENO CBUM THAVAGE PWO 40 SERV 6 PEAT</v>
      </c>
      <c r="C41" s="18">
        <f>IF(Productos!$A41="","",Productos!H41)</f>
        <v>20</v>
      </c>
      <c r="D41" s="18">
        <v>20</v>
      </c>
      <c r="E41" s="18">
        <f t="shared" si="0"/>
        <v>0</v>
      </c>
      <c r="F41" s="26">
        <f>IF(A41="","",IF(D41="",0,D41*Productos!G41))</f>
        <v>500</v>
      </c>
      <c r="G41" s="26">
        <f>IF(A41="","",IF(D41="",0,D41*Productos!F41))</f>
        <v>279.06976744186045</v>
      </c>
      <c r="H41" s="26">
        <f t="shared" si="1"/>
        <v>220.93023255813955</v>
      </c>
      <c r="I41" t="str">
        <f>IF(A41="","",Productos!J41)</f>
        <v>Activo</v>
      </c>
      <c r="L41" s="3"/>
      <c r="M41" s="5"/>
      <c r="N41" s="5"/>
      <c r="O41" s="5"/>
    </row>
    <row r="42" spans="1:15" x14ac:dyDescent="0.2">
      <c r="A42" s="18" t="str">
        <f>IF(Productos!A42="","",Productos!A42)</f>
        <v>P041</v>
      </c>
      <c r="B42" s="18" t="str">
        <f>IF(Productos!B42="","",Productos!B42)</f>
        <v>PREENTRENO HYDE NIGHTMARE PWO 30 SERV BLOOD BERRY</v>
      </c>
      <c r="C42" s="18">
        <f>IF(Productos!$A42="","",Productos!H42)</f>
        <v>30</v>
      </c>
      <c r="D42" s="18"/>
      <c r="E42" s="18">
        <f t="shared" si="0"/>
        <v>30</v>
      </c>
      <c r="F42" s="26">
        <f>IF(A42="","",IF(D42="",0,D42*Productos!G42))</f>
        <v>0</v>
      </c>
      <c r="G42" s="26">
        <f>IF(A42="","",IF(D42="",0,D42*Productos!F42))</f>
        <v>0</v>
      </c>
      <c r="H42" s="26">
        <f t="shared" si="1"/>
        <v>0</v>
      </c>
      <c r="I42" t="str">
        <f>IF(A42="","",Productos!J42)</f>
        <v>Activo</v>
      </c>
      <c r="L42" s="3"/>
      <c r="M42" s="5"/>
      <c r="N42" s="5"/>
      <c r="O42" s="5"/>
    </row>
    <row r="43" spans="1:15" hidden="1" x14ac:dyDescent="0.2">
      <c r="A43" s="18" t="str">
        <f>IF(Productos!A43="","",Productos!A43)</f>
        <v>P042</v>
      </c>
      <c r="B43" s="18" t="str">
        <f>IF(Productos!B43="","",Productos!B43)</f>
        <v>PREENTRENO HYDE NIGHTMARE PWO 30 SERV JAWBREAKER</v>
      </c>
      <c r="C43" s="18">
        <f>IF(Productos!$A43="","",Productos!H43)</f>
        <v>0</v>
      </c>
      <c r="D43" s="18"/>
      <c r="E43" s="18">
        <f t="shared" si="0"/>
        <v>0</v>
      </c>
      <c r="F43" s="26">
        <f>IF(A43="","",IF(D43="",0,D43*Productos!G43))</f>
        <v>0</v>
      </c>
      <c r="G43" s="26">
        <f>IF(A43="","",IF(D43="",0,D43*Productos!F43))</f>
        <v>0</v>
      </c>
      <c r="H43" s="26">
        <f t="shared" si="1"/>
        <v>0</v>
      </c>
      <c r="I43" t="str">
        <f>IF(A43="","",Productos!J43)</f>
        <v>Agotado</v>
      </c>
      <c r="L43" s="3"/>
      <c r="M43" s="5"/>
      <c r="N43" s="5"/>
      <c r="O43" s="5"/>
    </row>
    <row r="44" spans="1:15" x14ac:dyDescent="0.2">
      <c r="A44" s="18" t="str">
        <f>IF(Productos!A44="","",Productos!A44)</f>
        <v>P043</v>
      </c>
      <c r="B44" s="18" t="str">
        <f>IF(Productos!B44="","",Productos!B44)</f>
        <v>PREENTRENO HYDE NIGHTWARE PWO 30 SERV JAWBREAKER</v>
      </c>
      <c r="C44" s="18">
        <f>IF(Productos!$A44="","",Productos!H44)</f>
        <v>1</v>
      </c>
      <c r="D44" s="18"/>
      <c r="E44" s="18">
        <f t="shared" si="0"/>
        <v>1</v>
      </c>
      <c r="F44" s="26">
        <f>IF(A44="","",IF(D44="",0,D44*Productos!G44))</f>
        <v>0</v>
      </c>
      <c r="G44" s="26">
        <f>IF(A44="","",IF(D44="",0,D44*Productos!F44))</f>
        <v>0</v>
      </c>
      <c r="H44" s="26">
        <f t="shared" si="1"/>
        <v>0</v>
      </c>
      <c r="I44" t="str">
        <f>IF(A44="","",Productos!J44)</f>
        <v>Activo</v>
      </c>
      <c r="L44" s="3"/>
      <c r="M44" s="5"/>
      <c r="N44" s="5"/>
      <c r="O44" s="5"/>
    </row>
    <row r="45" spans="1:15" x14ac:dyDescent="0.2">
      <c r="A45" s="18" t="str">
        <f>IF(Productos!A45="","",Productos!A45)</f>
        <v>P044</v>
      </c>
      <c r="B45" s="18" t="str">
        <f>IF(Productos!B45="","",Productos!B45)</f>
        <v>PREENTRENO PANDA</v>
      </c>
      <c r="C45" s="18">
        <f>IF(Productos!$A45="","",Productos!H45)</f>
        <v>1</v>
      </c>
      <c r="D45" s="18"/>
      <c r="E45" s="18">
        <f t="shared" si="0"/>
        <v>1</v>
      </c>
      <c r="F45" s="26">
        <f>IF(A45="","",IF(D45="",0,D45*Productos!G45))</f>
        <v>0</v>
      </c>
      <c r="G45" s="26">
        <f>IF(A45="","",IF(D45="",0,D45*Productos!F45))</f>
        <v>0</v>
      </c>
      <c r="H45" s="26">
        <f t="shared" si="1"/>
        <v>0</v>
      </c>
      <c r="I45" t="str">
        <f>IF(A45="","",Productos!J45)</f>
        <v>Activo</v>
      </c>
      <c r="L45" s="3"/>
      <c r="M45" s="5"/>
      <c r="N45" s="5"/>
      <c r="O45" s="5"/>
    </row>
    <row r="46" spans="1:15" x14ac:dyDescent="0.2">
      <c r="A46" s="18" t="str">
        <f>IF(Productos!A46="","",Productos!A46)</f>
        <v>P045</v>
      </c>
      <c r="B46" s="18" t="str">
        <f>IF(Productos!B46="","",Productos!B46)</f>
        <v>PREENTRENO PANDA FIRST BLOOD PWO 20 SERV SOUR BLUE RASPBERRY</v>
      </c>
      <c r="C46" s="18">
        <f>IF(Productos!$A46="","",Productos!H46)</f>
        <v>50</v>
      </c>
      <c r="D46" s="18"/>
      <c r="E46" s="18">
        <f t="shared" si="0"/>
        <v>50</v>
      </c>
      <c r="F46" s="26">
        <f>IF(A46="","",IF(D46="",0,D46*Productos!G46))</f>
        <v>0</v>
      </c>
      <c r="G46" s="26">
        <f>IF(A46="","",IF(D46="",0,D46*Productos!F46))</f>
        <v>0</v>
      </c>
      <c r="H46" s="26">
        <f t="shared" si="1"/>
        <v>0</v>
      </c>
      <c r="I46" t="str">
        <f>IF(A46="","",Productos!J46)</f>
        <v>Activo</v>
      </c>
      <c r="L46" s="3"/>
      <c r="M46" s="5"/>
      <c r="N46" s="5"/>
      <c r="O46" s="5"/>
    </row>
    <row r="47" spans="1:15" x14ac:dyDescent="0.2">
      <c r="A47" s="18" t="str">
        <f>IF(Productos!A47="","",Productos!A47)</f>
        <v>P046</v>
      </c>
      <c r="B47" s="18" t="str">
        <f>IF(Productos!B47="","",Productos!B47)</f>
        <v>PREENTRENO RYSE LOADED PRE 30 SERV KOOL AID TROPICAL PUNCH</v>
      </c>
      <c r="C47" s="18">
        <f>IF(Productos!$A47="","",Productos!H47)</f>
        <v>13</v>
      </c>
      <c r="D47" s="18"/>
      <c r="E47" s="18">
        <f t="shared" si="0"/>
        <v>13</v>
      </c>
      <c r="F47" s="26">
        <f>IF(A47="","",IF(D47="",0,D47*Productos!G47))</f>
        <v>0</v>
      </c>
      <c r="G47" s="26">
        <f>IF(A47="","",IF(D47="",0,D47*Productos!F47))</f>
        <v>0</v>
      </c>
      <c r="H47" s="26">
        <f t="shared" si="1"/>
        <v>0</v>
      </c>
      <c r="I47" t="str">
        <f>IF(A47="","",Productos!J47)</f>
        <v>Activo</v>
      </c>
      <c r="L47" s="3"/>
      <c r="M47" s="5"/>
      <c r="N47" s="5"/>
      <c r="O47" s="5"/>
    </row>
    <row r="48" spans="1:15" hidden="1" x14ac:dyDescent="0.2">
      <c r="A48" s="18" t="str">
        <f>IF(Productos!A48="","",Productos!A48)</f>
        <v>P047</v>
      </c>
      <c r="B48" s="18" t="str">
        <f>IF(Productos!B48="","",Productos!B48)</f>
        <v>PREENTRENO VENOM</v>
      </c>
      <c r="C48" s="18">
        <f>IF(Productos!$A48="","",Productos!H48)</f>
        <v>0</v>
      </c>
      <c r="D48" s="18"/>
      <c r="E48" s="18">
        <f t="shared" si="0"/>
        <v>0</v>
      </c>
      <c r="F48" s="26">
        <f>IF(A48="","",IF(D48="",0,D48*Productos!G48))</f>
        <v>0</v>
      </c>
      <c r="G48" s="26">
        <f>IF(A48="","",IF(D48="",0,D48*Productos!F48))</f>
        <v>0</v>
      </c>
      <c r="H48" s="26">
        <f t="shared" si="1"/>
        <v>0</v>
      </c>
      <c r="I48" t="str">
        <f>IF(A48="","",Productos!J48)</f>
        <v>Agotado</v>
      </c>
      <c r="L48" s="3"/>
      <c r="M48" s="5"/>
      <c r="N48" s="5"/>
      <c r="O48" s="5"/>
    </row>
    <row r="49" spans="1:15" x14ac:dyDescent="0.2">
      <c r="A49" s="18" t="str">
        <f>IF(Productos!A49="","",Productos!A49)</f>
        <v>P048</v>
      </c>
      <c r="B49" s="18" t="str">
        <f>IF(Productos!B49="","",Productos!B49)</f>
        <v>PREENTRENO VENOM (unidad)</v>
      </c>
      <c r="C49" s="18">
        <f>IF(Productos!$A49="","",Productos!H49)</f>
        <v>17</v>
      </c>
      <c r="D49" s="18"/>
      <c r="E49" s="18">
        <f t="shared" si="0"/>
        <v>17</v>
      </c>
      <c r="F49" s="26">
        <f>IF(A49="","",IF(D49="",0,D49*Productos!G49))</f>
        <v>0</v>
      </c>
      <c r="G49" s="26">
        <f>IF(A49="","",IF(D49="",0,D49*Productos!F49))</f>
        <v>0</v>
      </c>
      <c r="H49" s="26">
        <f t="shared" si="1"/>
        <v>0</v>
      </c>
      <c r="I49" t="str">
        <f>IF(A49="","",Productos!J49)</f>
        <v>Activo</v>
      </c>
      <c r="L49" s="3"/>
      <c r="M49" s="5"/>
      <c r="N49" s="5"/>
      <c r="O49" s="5"/>
    </row>
    <row r="50" spans="1:15" hidden="1" x14ac:dyDescent="0.2">
      <c r="A50" s="18" t="str">
        <f>IF(Productos!A50="","",Productos!A50)</f>
        <v>P049</v>
      </c>
      <c r="B50" s="18" t="str">
        <f>IF(Productos!B50="","",Productos!B50)</f>
        <v>PREETRENO RYSE GODZILLA BACK BERRY LEMONADE</v>
      </c>
      <c r="C50" s="18">
        <f>IF(Productos!$A50="","",Productos!H50)</f>
        <v>0</v>
      </c>
      <c r="D50" s="18"/>
      <c r="E50" s="18">
        <f t="shared" si="0"/>
        <v>0</v>
      </c>
      <c r="F50" s="26">
        <f>IF(A50="","",IF(D50="",0,D50*Productos!G50))</f>
        <v>0</v>
      </c>
      <c r="G50" s="26">
        <f>IF(A50="","",IF(D50="",0,D50*Productos!F50))</f>
        <v>0</v>
      </c>
      <c r="H50" s="26">
        <f t="shared" si="1"/>
        <v>0</v>
      </c>
      <c r="I50" t="str">
        <f>IF(A50="","",Productos!J50)</f>
        <v>Agotado</v>
      </c>
      <c r="L50" s="3"/>
      <c r="M50" s="5"/>
      <c r="N50" s="5"/>
      <c r="O50" s="5"/>
    </row>
    <row r="51" spans="1:15" x14ac:dyDescent="0.2">
      <c r="A51" s="18" t="str">
        <f>IF(Productos!A51="","",Productos!A51)</f>
        <v>P050</v>
      </c>
      <c r="B51" s="18" t="str">
        <f>IF(Productos!B51="","",Productos!B51)</f>
        <v>PREETRENO RYSE GODZILLA BACK BERRY LEMONADE</v>
      </c>
      <c r="C51" s="18">
        <f>IF(Productos!$A51="","",Productos!H51)</f>
        <v>1</v>
      </c>
      <c r="D51" s="18"/>
      <c r="E51" s="18">
        <f t="shared" si="0"/>
        <v>1</v>
      </c>
      <c r="F51" s="26">
        <f>IF(A51="","",IF(D51="",0,D51*Productos!G51))</f>
        <v>0</v>
      </c>
      <c r="G51" s="26">
        <f>IF(A51="","",IF(D51="",0,D51*Productos!F51))</f>
        <v>0</v>
      </c>
      <c r="H51" s="26">
        <f t="shared" si="1"/>
        <v>0</v>
      </c>
      <c r="I51" t="str">
        <f>IF(A51="","",Productos!J51)</f>
        <v>Activo</v>
      </c>
      <c r="L51" s="3"/>
      <c r="M51" s="5"/>
      <c r="N51" s="5"/>
      <c r="O51" s="5"/>
    </row>
    <row r="52" spans="1:15" x14ac:dyDescent="0.2">
      <c r="A52" s="18" t="str">
        <f>IF(Productos!A52="","",Productos!A52)</f>
        <v>P051</v>
      </c>
      <c r="B52" s="18" t="str">
        <f>IF(Productos!B52="","",Productos!B52)</f>
        <v>PROTEIN BAR 12 PCK DOUBLE FUDGE BROWNIE</v>
      </c>
      <c r="C52" s="18">
        <f>IF(Productos!$A52="","",Productos!H52)</f>
        <v>13</v>
      </c>
      <c r="D52" s="18"/>
      <c r="E52" s="18">
        <f t="shared" si="0"/>
        <v>13</v>
      </c>
      <c r="F52" s="26">
        <f>IF(A52="","",IF(D52="",0,D52*Productos!G52))</f>
        <v>0</v>
      </c>
      <c r="G52" s="26">
        <f>IF(A52="","",IF(D52="",0,D52*Productos!F52))</f>
        <v>0</v>
      </c>
      <c r="H52" s="26">
        <f t="shared" si="1"/>
        <v>0</v>
      </c>
      <c r="I52" t="str">
        <f>IF(A52="","",Productos!J52)</f>
        <v>Activo</v>
      </c>
      <c r="L52" s="3"/>
      <c r="M52" s="5"/>
      <c r="N52" s="5"/>
      <c r="O52" s="5"/>
    </row>
    <row r="53" spans="1:15" x14ac:dyDescent="0.2">
      <c r="A53" s="18" t="str">
        <f>IF(Productos!A53="","",Productos!A53)</f>
        <v>P052</v>
      </c>
      <c r="B53" s="18" t="str">
        <f>IF(Productos!B53="","",Productos!B53)</f>
        <v>PROTEINA BAR 12PACK DOUBLE FUDGE BRWNIE</v>
      </c>
      <c r="C53" s="18">
        <f>IF(Productos!$A53="","",Productos!H53)</f>
        <v>12</v>
      </c>
      <c r="D53" s="18"/>
      <c r="E53" s="18">
        <f t="shared" si="0"/>
        <v>12</v>
      </c>
      <c r="F53" s="26">
        <f>IF(A53="","",IF(D53="",0,D53*Productos!G53))</f>
        <v>0</v>
      </c>
      <c r="G53" s="26">
        <f>IF(A53="","",IF(D53="",0,D53*Productos!F53))</f>
        <v>0</v>
      </c>
      <c r="H53" s="26">
        <f t="shared" si="1"/>
        <v>0</v>
      </c>
      <c r="I53" t="str">
        <f>IF(A53="","",Productos!J53)</f>
        <v>Activo</v>
      </c>
      <c r="L53" s="3"/>
      <c r="M53" s="5"/>
      <c r="N53" s="5"/>
      <c r="O53" s="5"/>
    </row>
    <row r="54" spans="1:15" x14ac:dyDescent="0.2">
      <c r="A54" s="18" t="str">
        <f>IF(Productos!A54="","",Productos!A54)</f>
        <v>P053</v>
      </c>
      <c r="B54" s="18" t="str">
        <f>IF(Productos!B54="","",Productos!B54)</f>
        <v>PROTEINA ISIPHORM 5 LBS VAINILLA</v>
      </c>
      <c r="C54" s="18">
        <f>IF(Productos!$A54="","",Productos!H54)</f>
        <v>1</v>
      </c>
      <c r="D54" s="18"/>
      <c r="E54" s="18">
        <f t="shared" si="0"/>
        <v>1</v>
      </c>
      <c r="F54" s="26">
        <f>IF(A54="","",IF(D54="",0,D54*Productos!G54))</f>
        <v>0</v>
      </c>
      <c r="G54" s="26">
        <f>IF(A54="","",IF(D54="",0,D54*Productos!F54))</f>
        <v>0</v>
      </c>
      <c r="H54" s="26">
        <f t="shared" si="1"/>
        <v>0</v>
      </c>
      <c r="I54" t="str">
        <f>IF(A54="","",Productos!J54)</f>
        <v>Activo</v>
      </c>
      <c r="L54" s="3"/>
      <c r="M54" s="5"/>
      <c r="N54" s="5"/>
      <c r="O54" s="5"/>
    </row>
    <row r="55" spans="1:15" hidden="1" x14ac:dyDescent="0.2">
      <c r="A55" s="18" t="str">
        <f>IF(Productos!A55="","",Productos!A55)</f>
        <v>P054</v>
      </c>
      <c r="B55" s="18" t="str">
        <f>IF(Productos!B55="","",Productos!B55)</f>
        <v>PROTEINA ISO HD 5 LBS COOKIES BUTTER</v>
      </c>
      <c r="C55" s="18">
        <f>IF(Productos!$A55="","",Productos!H55)</f>
        <v>0</v>
      </c>
      <c r="D55" s="18"/>
      <c r="E55" s="18">
        <f t="shared" si="0"/>
        <v>0</v>
      </c>
      <c r="F55" s="26">
        <f>IF(A55="","",IF(D55="",0,D55*Productos!G55))</f>
        <v>0</v>
      </c>
      <c r="G55" s="26">
        <f>IF(A55="","",IF(D55="",0,D55*Productos!F55))</f>
        <v>0</v>
      </c>
      <c r="H55" s="26">
        <f t="shared" si="1"/>
        <v>0</v>
      </c>
      <c r="I55" t="str">
        <f>IF(A55="","",Productos!J55)</f>
        <v>Agotado</v>
      </c>
      <c r="L55" s="3"/>
      <c r="M55" s="5"/>
      <c r="N55" s="5"/>
      <c r="O55" s="5"/>
    </row>
    <row r="56" spans="1:15" x14ac:dyDescent="0.2">
      <c r="A56" s="18" t="str">
        <f>IF(Productos!A56="","",Productos!A56)</f>
        <v>P055</v>
      </c>
      <c r="B56" s="18" t="str">
        <f>IF(Productos!B56="","",Productos!B56)</f>
        <v>PROTEINA ISO-HD 5 LBS COOKIES BUTTER</v>
      </c>
      <c r="C56" s="18">
        <f>IF(Productos!$A56="","",Productos!H56)</f>
        <v>60</v>
      </c>
      <c r="D56" s="18">
        <v>10</v>
      </c>
      <c r="E56" s="18">
        <f t="shared" si="0"/>
        <v>50</v>
      </c>
      <c r="F56" s="26">
        <f>IF(A56="","",IF(D56="",0,D56*Productos!G56))</f>
        <v>350</v>
      </c>
      <c r="G56" s="26">
        <f>IF(A56="","",IF(D56="",0,D56*Productos!F56))</f>
        <v>157.14285714285714</v>
      </c>
      <c r="H56" s="26">
        <f t="shared" si="1"/>
        <v>192.85714285714286</v>
      </c>
      <c r="I56" t="str">
        <f>IF(A56="","",Productos!J56)</f>
        <v>Activo</v>
      </c>
      <c r="L56" s="3"/>
      <c r="M56" s="5"/>
      <c r="N56" s="5"/>
      <c r="O56" s="5"/>
    </row>
    <row r="57" spans="1:15" x14ac:dyDescent="0.2">
      <c r="A57" s="18" t="str">
        <f>IF(Productos!A57="","",Productos!A57)</f>
        <v>P056</v>
      </c>
      <c r="B57" s="18" t="str">
        <f>IF(Productos!B57="","",Productos!B57)</f>
        <v>PROTEINA ISOFIT 5 LBS STRAWBERRY AND CREAM</v>
      </c>
      <c r="C57" s="18">
        <f>IF(Productos!$A57="","",Productos!H57)</f>
        <v>1</v>
      </c>
      <c r="D57" s="18"/>
      <c r="E57" s="18">
        <f t="shared" si="0"/>
        <v>1</v>
      </c>
      <c r="F57" s="26">
        <f>IF(A57="","",IF(D57="",0,D57*Productos!G57))</f>
        <v>0</v>
      </c>
      <c r="G57" s="26">
        <f>IF(A57="","",IF(D57="",0,D57*Productos!F57))</f>
        <v>0</v>
      </c>
      <c r="H57" s="26">
        <f t="shared" si="1"/>
        <v>0</v>
      </c>
      <c r="I57" t="str">
        <f>IF(A57="","",Productos!J57)</f>
        <v>Activo</v>
      </c>
      <c r="L57" s="3"/>
      <c r="M57" s="5"/>
      <c r="N57" s="5"/>
      <c r="O57" s="5"/>
    </row>
    <row r="58" spans="1:15" x14ac:dyDescent="0.2">
      <c r="A58" s="18" t="str">
        <f>IF(Productos!A58="","",Productos!A58)</f>
        <v>P057</v>
      </c>
      <c r="B58" s="18" t="str">
        <f>IF(Productos!B58="","",Productos!B58)</f>
        <v>PROTEINA ISOPHORM 5 LBS BLUEBERR ICE CREAM</v>
      </c>
      <c r="C58" s="18">
        <f>IF(Productos!$A58="","",Productos!H58)</f>
        <v>1</v>
      </c>
      <c r="D58" s="18"/>
      <c r="E58" s="18">
        <f t="shared" si="0"/>
        <v>1</v>
      </c>
      <c r="F58" s="26">
        <f>IF(A58="","",IF(D58="",0,D58*Productos!G58))</f>
        <v>0</v>
      </c>
      <c r="G58" s="26">
        <f>IF(A58="","",IF(D58="",0,D58*Productos!F58))</f>
        <v>0</v>
      </c>
      <c r="H58" s="26">
        <f t="shared" si="1"/>
        <v>0</v>
      </c>
      <c r="I58" t="str">
        <f>IF(A58="","",Productos!J58)</f>
        <v>Activo</v>
      </c>
      <c r="L58" s="3"/>
      <c r="M58" s="5"/>
      <c r="N58" s="5"/>
      <c r="O58" s="5"/>
    </row>
    <row r="59" spans="1:15" hidden="1" x14ac:dyDescent="0.2">
      <c r="A59" s="18" t="str">
        <f>IF(Productos!A59="","",Productos!A59)</f>
        <v>P058</v>
      </c>
      <c r="B59" s="18" t="str">
        <f>IF(Productos!B59="","",Productos!B59)</f>
        <v>PROTEINA ISOPURE ZERO CARB 4.5 LBS VAINILLA</v>
      </c>
      <c r="C59" s="18">
        <f>IF(Productos!$A59="","",Productos!H59)</f>
        <v>1</v>
      </c>
      <c r="D59" s="18">
        <v>1</v>
      </c>
      <c r="E59" s="18">
        <f t="shared" si="0"/>
        <v>0</v>
      </c>
      <c r="F59" s="26">
        <f>IF(A59="","",IF(D59="",0,D59*Productos!G59))</f>
        <v>1700</v>
      </c>
      <c r="G59" s="26">
        <f>IF(A59="","",IF(D59="",0,D59*Productos!F59))</f>
        <v>1500</v>
      </c>
      <c r="H59" s="26">
        <f t="shared" si="1"/>
        <v>200</v>
      </c>
      <c r="I59" t="str">
        <f>IF(A59="","",Productos!J59)</f>
        <v>Agotado</v>
      </c>
      <c r="L59" s="3"/>
      <c r="M59" s="5"/>
      <c r="N59" s="5"/>
      <c r="O59" s="5"/>
    </row>
    <row r="60" spans="1:15" x14ac:dyDescent="0.2">
      <c r="A60" s="18" t="str">
        <f>IF(Productos!A60="","",Productos!A60)</f>
        <v>P059</v>
      </c>
      <c r="B60" s="18" t="str">
        <f>IF(Productos!B60="","",Productos!B60)</f>
        <v>PROTEINA RAW CBUM ITHOLATE 5 LBS COOKIES &amp; CREAM (UND)</v>
      </c>
      <c r="C60" s="18">
        <f>IF(Productos!$A60="","",Productos!H60)</f>
        <v>20</v>
      </c>
      <c r="D60" s="18">
        <v>10</v>
      </c>
      <c r="E60" s="18">
        <f t="shared" si="0"/>
        <v>10</v>
      </c>
      <c r="F60" s="26">
        <f>IF(A60="","",IF(D60="",0,D60*Productos!G60))</f>
        <v>350</v>
      </c>
      <c r="G60" s="26">
        <f>IF(A60="","",IF(D60="",0,D60*Productos!F60))</f>
        <v>200</v>
      </c>
      <c r="H60" s="26">
        <f t="shared" si="1"/>
        <v>150</v>
      </c>
      <c r="I60" t="str">
        <f>IF(A60="","",Productos!J60)</f>
        <v>Activo</v>
      </c>
      <c r="L60" s="3"/>
      <c r="M60" s="5"/>
      <c r="N60" s="5"/>
      <c r="O60" s="5"/>
    </row>
    <row r="61" spans="1:15" x14ac:dyDescent="0.2">
      <c r="A61" s="18" t="str">
        <f>IF(Productos!A61="","",Productos!A61)</f>
        <v>P060</v>
      </c>
      <c r="B61" s="18" t="str">
        <f>IF(Productos!B61="","",Productos!B61)</f>
        <v>RAW CBUM ESSENTIAL PWO 30 SERV JAMAICA *EDICION LIMITADA*</v>
      </c>
      <c r="C61" s="18">
        <f>IF(Productos!$A61="","",Productos!H61)</f>
        <v>33</v>
      </c>
      <c r="D61" s="18">
        <v>20</v>
      </c>
      <c r="E61" s="18">
        <f t="shared" si="0"/>
        <v>13</v>
      </c>
      <c r="F61" s="26">
        <f>IF(A61="","",IF(D61="",0,D61*Productos!G61))</f>
        <v>500</v>
      </c>
      <c r="G61" s="26">
        <f>IF(A61="","",IF(D61="",0,D61*Productos!F61))</f>
        <v>254.54545454545453</v>
      </c>
      <c r="H61" s="26">
        <f t="shared" si="1"/>
        <v>245.45454545454547</v>
      </c>
      <c r="I61" t="str">
        <f>IF(A61="","",Productos!J61)</f>
        <v>Activo</v>
      </c>
      <c r="L61" s="3"/>
      <c r="M61" s="5"/>
      <c r="N61" s="5"/>
      <c r="O61" s="5"/>
    </row>
    <row r="62" spans="1:15" x14ac:dyDescent="0.2">
      <c r="A62" s="18" t="str">
        <f>IF(Productos!A62="","",Productos!A62)</f>
        <v>P061</v>
      </c>
      <c r="B62" s="18" t="str">
        <f>IF(Productos!B62="","",Productos!B62)</f>
        <v>RAW CREATINE MONOHYDRATE 100 SERV UNFLAVORED</v>
      </c>
      <c r="C62" s="18">
        <f>IF(Productos!$A62="","",Productos!H62)</f>
        <v>1</v>
      </c>
      <c r="D62" s="18"/>
      <c r="E62" s="18">
        <f t="shared" si="0"/>
        <v>1</v>
      </c>
      <c r="F62" s="26">
        <f>IF(A62="","",IF(D62="",0,D62*Productos!G62))</f>
        <v>0</v>
      </c>
      <c r="G62" s="26">
        <f>IF(A62="","",IF(D62="",0,D62*Productos!F62))</f>
        <v>0</v>
      </c>
      <c r="H62" s="26">
        <f t="shared" si="1"/>
        <v>0</v>
      </c>
      <c r="I62" t="str">
        <f>IF(A62="","",Productos!J62)</f>
        <v>Activo</v>
      </c>
      <c r="L62" s="3"/>
      <c r="M62" s="5"/>
      <c r="N62" s="5"/>
      <c r="O62" s="5"/>
    </row>
    <row r="63" spans="1:15" hidden="1" x14ac:dyDescent="0.2">
      <c r="A63" s="18" t="str">
        <f>IF(Productos!A63="","",Productos!A63)</f>
        <v>P062</v>
      </c>
      <c r="B63" s="18" t="str">
        <f>IF(Productos!B63="","",Productos!B63)</f>
        <v>RAW CREATINE MONOHYDRATE 250 SERV UNFLAVORED *NUEVO*</v>
      </c>
      <c r="C63" s="18">
        <f>IF(Productos!$A63="","",Productos!H63)</f>
        <v>0</v>
      </c>
      <c r="D63" s="18"/>
      <c r="E63" s="18">
        <f t="shared" si="0"/>
        <v>0</v>
      </c>
      <c r="F63" s="26">
        <f>IF(A63="","",IF(D63="",0,D63*Productos!G63))</f>
        <v>0</v>
      </c>
      <c r="G63" s="26">
        <f>IF(A63="","",IF(D63="",0,D63*Productos!F63))</f>
        <v>0</v>
      </c>
      <c r="H63" s="26">
        <f t="shared" si="1"/>
        <v>0</v>
      </c>
      <c r="I63" t="str">
        <f>IF(A63="","",Productos!J63)</f>
        <v>Agotado</v>
      </c>
      <c r="L63" s="3"/>
      <c r="M63" s="5"/>
      <c r="N63" s="5"/>
      <c r="O63" s="5"/>
    </row>
    <row r="64" spans="1:15" x14ac:dyDescent="0.2">
      <c r="A64" s="18" t="str">
        <f>IF(Productos!A64="","",Productos!A64)</f>
        <v>P063</v>
      </c>
      <c r="B64" s="18" t="str">
        <f>IF(Productos!B64="","",Productos!B64)</f>
        <v xml:space="preserve">RAW MY COOKIE DEALER 113 G 12 PACK MILK &amp; COOKIES </v>
      </c>
      <c r="C64" s="18">
        <f>IF(Productos!$A64="","",Productos!H64)</f>
        <v>22</v>
      </c>
      <c r="D64" s="18">
        <v>22</v>
      </c>
      <c r="E64" s="18">
        <f t="shared" si="0"/>
        <v>0</v>
      </c>
      <c r="F64" s="26">
        <f>IF(A64="","",IF(D64="",0,D64*Productos!G64))</f>
        <v>1540</v>
      </c>
      <c r="G64" s="26">
        <f>IF(A64="","",IF(D64="",0,D64*Productos!F64))</f>
        <v>1100</v>
      </c>
      <c r="H64" s="26">
        <f t="shared" si="1"/>
        <v>440</v>
      </c>
      <c r="I64" t="str">
        <f>IF(A64="","",Productos!J64)</f>
        <v>Activo</v>
      </c>
      <c r="L64" s="3"/>
      <c r="M64" s="5"/>
      <c r="N64" s="5"/>
      <c r="O64" s="5"/>
    </row>
    <row r="65" spans="1:15" x14ac:dyDescent="0.2">
      <c r="A65" s="18" t="str">
        <f>IF(Productos!A65="","",Productos!A65)</f>
        <v>P064</v>
      </c>
      <c r="B65" s="18" t="str">
        <f>IF(Productos!B65="","",Productos!B65)</f>
        <v>TESTROL GOGA TESTROL GOLD 60 TABSLD</v>
      </c>
      <c r="C65" s="18">
        <f>IF(Productos!$A65="","",Productos!H65)</f>
        <v>1</v>
      </c>
      <c r="D65" s="18"/>
      <c r="E65" s="18">
        <f t="shared" si="0"/>
        <v>1</v>
      </c>
      <c r="F65" s="26">
        <f>IF(A65="","",IF(D65="",0,D65*Productos!G65))</f>
        <v>0</v>
      </c>
      <c r="G65" s="26">
        <f>IF(A65="","",IF(D65="",0,D65*Productos!F65))</f>
        <v>0</v>
      </c>
      <c r="H65" s="26">
        <f t="shared" si="1"/>
        <v>0</v>
      </c>
      <c r="I65" t="str">
        <f>IF(A65="","",Productos!J65)</f>
        <v>Activo</v>
      </c>
      <c r="L65" s="3"/>
      <c r="M65" s="5"/>
      <c r="N65" s="5"/>
      <c r="O65" s="5"/>
    </row>
    <row r="66" spans="1:15" hidden="1" x14ac:dyDescent="0.2">
      <c r="A66" s="18" t="str">
        <f>IF(Productos!A66="","",Productos!A66)</f>
        <v>P065</v>
      </c>
      <c r="B66" s="18" t="str">
        <f>IF(Productos!B66="","",Productos!B66)</f>
        <v>THINK HIGH PROTEIN 10 BARS CHUNKY PEANUT BUTTER</v>
      </c>
      <c r="C66" s="18">
        <f>IF(Productos!$A66="","",Productos!H66)</f>
        <v>0</v>
      </c>
      <c r="D66" s="18"/>
      <c r="E66" s="18">
        <f t="shared" si="0"/>
        <v>0</v>
      </c>
      <c r="F66" s="26">
        <f>IF(A66="","",IF(D66="",0,D66*Productos!G66))</f>
        <v>0</v>
      </c>
      <c r="G66" s="26">
        <f>IF(A66="","",IF(D66="",0,D66*Productos!F66))</f>
        <v>0</v>
      </c>
      <c r="H66" s="26">
        <f t="shared" si="1"/>
        <v>0</v>
      </c>
      <c r="I66" t="str">
        <f>IF(A66="","",Productos!J66)</f>
        <v>Agotado</v>
      </c>
      <c r="L66" s="3"/>
      <c r="M66" s="5"/>
      <c r="N66" s="5"/>
      <c r="O66" s="5"/>
    </row>
    <row r="67" spans="1:15" hidden="1" x14ac:dyDescent="0.2">
      <c r="A67" s="18" t="str">
        <f>IF(Productos!A67="","",Productos!A67)</f>
        <v>P066</v>
      </c>
      <c r="B67" s="18" t="str">
        <f>IF(Productos!B67="","",Productos!B67)</f>
        <v>THINK HIGH PROTEIN 10 BARS COOKIES &amp; CREAM</v>
      </c>
      <c r="C67" s="18">
        <f>IF(Productos!$A67="","",Productos!H67)</f>
        <v>0</v>
      </c>
      <c r="D67" s="18"/>
      <c r="E67" s="18">
        <f t="shared" ref="E67:E130" si="2">IF(C67="","",C67-IF(D67="",0,D67))</f>
        <v>0</v>
      </c>
      <c r="F67" s="26">
        <f>IF(A67="","",IF(D67="",0,D67*Productos!G67))</f>
        <v>0</v>
      </c>
      <c r="G67" s="26">
        <f>IF(A67="","",IF(D67="",0,D67*Productos!F67))</f>
        <v>0</v>
      </c>
      <c r="H67" s="26">
        <f t="shared" ref="H67:H130" si="3">IF(A67="","",F67-G67)</f>
        <v>0</v>
      </c>
      <c r="I67" t="str">
        <f>IF(A67="","",Productos!J67)</f>
        <v>Agotado</v>
      </c>
      <c r="L67" s="3"/>
      <c r="M67" s="5"/>
      <c r="N67" s="5"/>
      <c r="O67" s="5"/>
    </row>
    <row r="68" spans="1:15" x14ac:dyDescent="0.2">
      <c r="A68" s="18" t="str">
        <f>IF(Productos!A68="","",Productos!A68)</f>
        <v>P067</v>
      </c>
      <c r="B68" s="18" t="str">
        <f>IF(Productos!B68="","",Productos!B68)</f>
        <v>TOTAL WAR BLACK OPS 20 SERV TIGERS BLOOD *CAD 07/27*</v>
      </c>
      <c r="C68" s="18">
        <f>IF(Productos!$A68="","",Productos!H68)</f>
        <v>25</v>
      </c>
      <c r="D68" s="18"/>
      <c r="E68" s="18">
        <f t="shared" si="2"/>
        <v>25</v>
      </c>
      <c r="F68" s="26">
        <f>IF(A68="","",IF(D68="",0,D68*Productos!G68))</f>
        <v>0</v>
      </c>
      <c r="G68" s="26">
        <f>IF(A68="","",IF(D68="",0,D68*Productos!F68))</f>
        <v>0</v>
      </c>
      <c r="H68" s="26">
        <f t="shared" si="3"/>
        <v>0</v>
      </c>
      <c r="I68" t="str">
        <f>IF(A68="","",Productos!J68)</f>
        <v>Activo</v>
      </c>
      <c r="L68" s="3"/>
      <c r="M68" s="5"/>
      <c r="N68" s="5"/>
      <c r="O68" s="5"/>
    </row>
    <row r="69" spans="1:15" x14ac:dyDescent="0.2">
      <c r="A69" s="18" t="str">
        <f>IF(Productos!A69="","",Productos!A69)</f>
        <v>P068</v>
      </c>
      <c r="B69" s="18" t="str">
        <f>IF(Productos!B69="","",Productos!B69)</f>
        <v>VASOS SHAKERS</v>
      </c>
      <c r="C69" s="18">
        <f>IF(Productos!$A69="","",Productos!H69)</f>
        <v>3</v>
      </c>
      <c r="D69" s="18">
        <v>2</v>
      </c>
      <c r="E69" s="18">
        <f t="shared" si="2"/>
        <v>1</v>
      </c>
      <c r="F69" s="26">
        <f>IF(A69="","",IF(D69="",0,D69*Productos!G69))</f>
        <v>260</v>
      </c>
      <c r="G69" s="26">
        <f>IF(A69="","",IF(D69="",0,D69*Productos!F69))</f>
        <v>200</v>
      </c>
      <c r="H69" s="26">
        <f t="shared" si="3"/>
        <v>60</v>
      </c>
      <c r="I69" t="str">
        <f>IF(A69="","",Productos!J69)</f>
        <v>Activo</v>
      </c>
      <c r="L69" s="3"/>
      <c r="M69" s="5"/>
      <c r="N69" s="5"/>
      <c r="O69" s="5"/>
    </row>
    <row r="70" spans="1:15" hidden="1" x14ac:dyDescent="0.2">
      <c r="A70" s="18" t="str">
        <f>IF(Productos!A70="","",Productos!A70)</f>
        <v/>
      </c>
      <c r="B70" s="18" t="str">
        <f>IF(Productos!B70="","",Productos!B70)</f>
        <v/>
      </c>
      <c r="C70" s="18" t="str">
        <f>IF(Productos!$A70="","",Productos!H70)</f>
        <v/>
      </c>
      <c r="D70" s="18"/>
      <c r="E70" s="18" t="str">
        <f t="shared" si="2"/>
        <v/>
      </c>
      <c r="F70" s="26" t="str">
        <f>IF(A70="","",IF(D70="",0,D70*Productos!G70))</f>
        <v/>
      </c>
      <c r="G70" s="26" t="str">
        <f>IF(A70="","",IF(D70="",0,D70*Productos!F70))</f>
        <v/>
      </c>
      <c r="H70" s="26" t="str">
        <f t="shared" si="3"/>
        <v/>
      </c>
      <c r="I70" t="str">
        <f>IF(A70="","",Productos!J70)</f>
        <v/>
      </c>
      <c r="L70" s="3"/>
      <c r="M70" s="5"/>
      <c r="N70" s="5"/>
      <c r="O70" s="5"/>
    </row>
    <row r="71" spans="1:15" hidden="1" x14ac:dyDescent="0.2">
      <c r="A71" s="18" t="str">
        <f>IF(Productos!A71="","",Productos!A71)</f>
        <v/>
      </c>
      <c r="B71" s="18" t="str">
        <f>IF(Productos!B71="","",Productos!B71)</f>
        <v/>
      </c>
      <c r="C71" s="18" t="str">
        <f>IF(Productos!$A71="","",Productos!H71)</f>
        <v/>
      </c>
      <c r="D71" s="18"/>
      <c r="E71" s="18" t="str">
        <f t="shared" si="2"/>
        <v/>
      </c>
      <c r="F71" s="26" t="str">
        <f>IF(A71="","",IF(D71="",0,D71*Productos!G71))</f>
        <v/>
      </c>
      <c r="G71" s="26" t="str">
        <f>IF(A71="","",IF(D71="",0,D71*Productos!F71))</f>
        <v/>
      </c>
      <c r="H71" s="26" t="str">
        <f t="shared" si="3"/>
        <v/>
      </c>
      <c r="I71" t="str">
        <f>IF(A71="","",Productos!J71)</f>
        <v/>
      </c>
      <c r="L71" s="3"/>
      <c r="M71" s="5"/>
      <c r="N71" s="5"/>
      <c r="O71" s="5"/>
    </row>
    <row r="72" spans="1:15" hidden="1" x14ac:dyDescent="0.2">
      <c r="A72" s="18" t="str">
        <f>IF(Productos!A72="","",Productos!A72)</f>
        <v/>
      </c>
      <c r="B72" s="18" t="str">
        <f>IF(Productos!B72="","",Productos!B72)</f>
        <v/>
      </c>
      <c r="C72" s="18" t="str">
        <f>IF(Productos!$A72="","",Productos!H72)</f>
        <v/>
      </c>
      <c r="D72" s="18"/>
      <c r="E72" s="18" t="str">
        <f t="shared" si="2"/>
        <v/>
      </c>
      <c r="F72" s="26" t="str">
        <f>IF(A72="","",IF(D72="",0,D72*Productos!G72))</f>
        <v/>
      </c>
      <c r="G72" s="26" t="str">
        <f>IF(A72="","",IF(D72="",0,D72*Productos!F72))</f>
        <v/>
      </c>
      <c r="H72" s="26" t="str">
        <f t="shared" si="3"/>
        <v/>
      </c>
      <c r="I72" t="str">
        <f>IF(A72="","",Productos!J72)</f>
        <v/>
      </c>
      <c r="L72" s="3"/>
      <c r="M72" s="5"/>
      <c r="N72" s="5"/>
      <c r="O72" s="5"/>
    </row>
    <row r="73" spans="1:15" hidden="1" x14ac:dyDescent="0.2">
      <c r="A73" s="18" t="str">
        <f>IF(Productos!A73="","",Productos!A73)</f>
        <v/>
      </c>
      <c r="B73" s="18" t="str">
        <f>IF(Productos!B73="","",Productos!B73)</f>
        <v/>
      </c>
      <c r="C73" s="18" t="str">
        <f>IF(Productos!$A73="","",Productos!H73)</f>
        <v/>
      </c>
      <c r="D73" s="18"/>
      <c r="E73" s="18" t="str">
        <f t="shared" si="2"/>
        <v/>
      </c>
      <c r="F73" s="26" t="str">
        <f>IF(A73="","",IF(D73="",0,D73*Productos!G73))</f>
        <v/>
      </c>
      <c r="G73" s="26" t="str">
        <f>IF(A73="","",IF(D73="",0,D73*Productos!F73))</f>
        <v/>
      </c>
      <c r="H73" s="26" t="str">
        <f t="shared" si="3"/>
        <v/>
      </c>
      <c r="I73" t="str">
        <f>IF(A73="","",Productos!J73)</f>
        <v/>
      </c>
      <c r="L73" s="3"/>
      <c r="M73" s="5"/>
      <c r="N73" s="5"/>
      <c r="O73" s="5"/>
    </row>
    <row r="74" spans="1:15" hidden="1" x14ac:dyDescent="0.2">
      <c r="A74" s="18" t="str">
        <f>IF(Productos!A74="","",Productos!A74)</f>
        <v/>
      </c>
      <c r="B74" s="18" t="str">
        <f>IF(Productos!B74="","",Productos!B74)</f>
        <v/>
      </c>
      <c r="C74" s="18" t="str">
        <f>IF(Productos!$A74="","",Productos!H74)</f>
        <v/>
      </c>
      <c r="D74" s="18"/>
      <c r="E74" s="18" t="str">
        <f t="shared" si="2"/>
        <v/>
      </c>
      <c r="F74" s="26" t="str">
        <f>IF(A74="","",IF(D74="",0,D74*Productos!G74))</f>
        <v/>
      </c>
      <c r="G74" s="26" t="str">
        <f>IF(A74="","",IF(D74="",0,D74*Productos!F74))</f>
        <v/>
      </c>
      <c r="H74" s="26" t="str">
        <f t="shared" si="3"/>
        <v/>
      </c>
      <c r="I74" t="str">
        <f>IF(A74="","",Productos!J74)</f>
        <v/>
      </c>
      <c r="L74" s="3"/>
      <c r="M74" s="5"/>
      <c r="N74" s="5"/>
      <c r="O74" s="5"/>
    </row>
    <row r="75" spans="1:15" hidden="1" x14ac:dyDescent="0.2">
      <c r="A75" s="18" t="str">
        <f>IF(Productos!A75="","",Productos!A75)</f>
        <v/>
      </c>
      <c r="B75" s="18" t="str">
        <f>IF(Productos!B75="","",Productos!B75)</f>
        <v/>
      </c>
      <c r="C75" s="18" t="str">
        <f>IF(Productos!$A75="","",Productos!H75)</f>
        <v/>
      </c>
      <c r="D75" s="18"/>
      <c r="E75" s="18" t="str">
        <f t="shared" si="2"/>
        <v/>
      </c>
      <c r="F75" s="26" t="str">
        <f>IF(A75="","",IF(D75="",0,D75*Productos!G75))</f>
        <v/>
      </c>
      <c r="G75" s="26" t="str">
        <f>IF(A75="","",IF(D75="",0,D75*Productos!F75))</f>
        <v/>
      </c>
      <c r="H75" s="26" t="str">
        <f t="shared" si="3"/>
        <v/>
      </c>
      <c r="I75" t="str">
        <f>IF(A75="","",Productos!J75)</f>
        <v/>
      </c>
      <c r="L75" s="3"/>
      <c r="M75" s="5"/>
      <c r="N75" s="5"/>
      <c r="O75" s="5"/>
    </row>
    <row r="76" spans="1:15" hidden="1" x14ac:dyDescent="0.2">
      <c r="A76" s="18" t="str">
        <f>IF(Productos!A76="","",Productos!A76)</f>
        <v/>
      </c>
      <c r="B76" s="18" t="str">
        <f>IF(Productos!B76="","",Productos!B76)</f>
        <v/>
      </c>
      <c r="C76" s="18" t="str">
        <f>IF(Productos!$A76="","",Productos!H76)</f>
        <v/>
      </c>
      <c r="D76" s="18"/>
      <c r="E76" s="18" t="str">
        <f t="shared" si="2"/>
        <v/>
      </c>
      <c r="F76" s="26" t="str">
        <f>IF(A76="","",IF(D76="",0,D76*Productos!G76))</f>
        <v/>
      </c>
      <c r="G76" s="26" t="str">
        <f>IF(A76="","",IF(D76="",0,D76*Productos!F76))</f>
        <v/>
      </c>
      <c r="H76" s="26" t="str">
        <f t="shared" si="3"/>
        <v/>
      </c>
      <c r="I76" t="str">
        <f>IF(A76="","",Productos!J76)</f>
        <v/>
      </c>
      <c r="L76" s="3"/>
      <c r="M76" s="5"/>
      <c r="N76" s="5"/>
      <c r="O76" s="5"/>
    </row>
    <row r="77" spans="1:15" hidden="1" x14ac:dyDescent="0.2">
      <c r="A77" s="18" t="str">
        <f>IF(Productos!A77="","",Productos!A77)</f>
        <v/>
      </c>
      <c r="B77" s="18" t="str">
        <f>IF(Productos!B77="","",Productos!B77)</f>
        <v/>
      </c>
      <c r="C77" s="18" t="str">
        <f>IF(Productos!$A77="","",Productos!H77)</f>
        <v/>
      </c>
      <c r="D77" s="18"/>
      <c r="E77" s="18" t="str">
        <f t="shared" si="2"/>
        <v/>
      </c>
      <c r="F77" s="26" t="str">
        <f>IF(A77="","",IF(D77="",0,D77*Productos!G77))</f>
        <v/>
      </c>
      <c r="G77" s="26" t="str">
        <f>IF(A77="","",IF(D77="",0,D77*Productos!F77))</f>
        <v/>
      </c>
      <c r="H77" s="26" t="str">
        <f t="shared" si="3"/>
        <v/>
      </c>
      <c r="I77" t="str">
        <f>IF(A77="","",Productos!J77)</f>
        <v/>
      </c>
      <c r="L77" s="3"/>
      <c r="M77" s="5"/>
      <c r="N77" s="5"/>
      <c r="O77" s="5"/>
    </row>
    <row r="78" spans="1:15" hidden="1" x14ac:dyDescent="0.2">
      <c r="A78" s="18" t="str">
        <f>IF(Productos!A78="","",Productos!A78)</f>
        <v/>
      </c>
      <c r="B78" s="18" t="str">
        <f>IF(Productos!B78="","",Productos!B78)</f>
        <v/>
      </c>
      <c r="C78" s="18" t="str">
        <f>IF(Productos!$A78="","",Productos!H78)</f>
        <v/>
      </c>
      <c r="D78" s="18"/>
      <c r="E78" s="18" t="str">
        <f t="shared" si="2"/>
        <v/>
      </c>
      <c r="F78" s="26" t="str">
        <f>IF(A78="","",IF(D78="",0,D78*Productos!G78))</f>
        <v/>
      </c>
      <c r="G78" s="26" t="str">
        <f>IF(A78="","",IF(D78="",0,D78*Productos!F78))</f>
        <v/>
      </c>
      <c r="H78" s="26" t="str">
        <f t="shared" si="3"/>
        <v/>
      </c>
      <c r="I78" t="str">
        <f>IF(A78="","",Productos!J78)</f>
        <v/>
      </c>
      <c r="L78" s="3"/>
      <c r="M78" s="5"/>
      <c r="N78" s="5"/>
      <c r="O78" s="5"/>
    </row>
    <row r="79" spans="1:15" hidden="1" x14ac:dyDescent="0.2">
      <c r="A79" s="18" t="str">
        <f>IF(Productos!A79="","",Productos!A79)</f>
        <v/>
      </c>
      <c r="B79" s="18" t="str">
        <f>IF(Productos!B79="","",Productos!B79)</f>
        <v/>
      </c>
      <c r="C79" s="18" t="str">
        <f>IF(Productos!$A79="","",Productos!H79)</f>
        <v/>
      </c>
      <c r="D79" s="18"/>
      <c r="E79" s="18" t="str">
        <f t="shared" si="2"/>
        <v/>
      </c>
      <c r="F79" s="26" t="str">
        <f>IF(A79="","",IF(D79="",0,D79*Productos!G79))</f>
        <v/>
      </c>
      <c r="G79" s="26" t="str">
        <f>IF(A79="","",IF(D79="",0,D79*Productos!F79))</f>
        <v/>
      </c>
      <c r="H79" s="26" t="str">
        <f t="shared" si="3"/>
        <v/>
      </c>
      <c r="I79" t="str">
        <f>IF(A79="","",Productos!J79)</f>
        <v/>
      </c>
      <c r="L79" s="3"/>
      <c r="M79" s="5"/>
      <c r="N79" s="5"/>
      <c r="O79" s="5"/>
    </row>
    <row r="80" spans="1:15" hidden="1" x14ac:dyDescent="0.2">
      <c r="A80" s="18" t="str">
        <f>IF(Productos!A80="","",Productos!A80)</f>
        <v/>
      </c>
      <c r="B80" s="18" t="str">
        <f>IF(Productos!B80="","",Productos!B80)</f>
        <v/>
      </c>
      <c r="C80" s="18" t="str">
        <f>IF(Productos!$A80="","",Productos!H80)</f>
        <v/>
      </c>
      <c r="D80" s="18"/>
      <c r="E80" s="18" t="str">
        <f t="shared" si="2"/>
        <v/>
      </c>
      <c r="F80" s="26" t="str">
        <f>IF(A80="","",IF(D80="",0,D80*Productos!G80))</f>
        <v/>
      </c>
      <c r="G80" s="26" t="str">
        <f>IF(A80="","",IF(D80="",0,D80*Productos!F80))</f>
        <v/>
      </c>
      <c r="H80" s="26" t="str">
        <f t="shared" si="3"/>
        <v/>
      </c>
      <c r="I80" t="str">
        <f>IF(A80="","",Productos!J80)</f>
        <v/>
      </c>
      <c r="L80" s="3"/>
      <c r="M80" s="5"/>
      <c r="N80" s="5"/>
      <c r="O80" s="5"/>
    </row>
    <row r="81" spans="1:15" hidden="1" x14ac:dyDescent="0.2">
      <c r="A81" s="18" t="str">
        <f>IF(Productos!A81="","",Productos!A81)</f>
        <v/>
      </c>
      <c r="B81" s="18" t="str">
        <f>IF(Productos!B81="","",Productos!B81)</f>
        <v/>
      </c>
      <c r="C81" s="18" t="str">
        <f>IF(Productos!$A81="","",Productos!H81)</f>
        <v/>
      </c>
      <c r="D81" s="18"/>
      <c r="E81" s="18" t="str">
        <f t="shared" si="2"/>
        <v/>
      </c>
      <c r="F81" s="26" t="str">
        <f>IF(A81="","",IF(D81="",0,D81*Productos!G81))</f>
        <v/>
      </c>
      <c r="G81" s="26" t="str">
        <f>IF(A81="","",IF(D81="",0,D81*Productos!F81))</f>
        <v/>
      </c>
      <c r="H81" s="26" t="str">
        <f t="shared" si="3"/>
        <v/>
      </c>
      <c r="I81" t="str">
        <f>IF(A81="","",Productos!J81)</f>
        <v/>
      </c>
      <c r="L81" s="3"/>
      <c r="M81" s="5"/>
      <c r="N81" s="5"/>
      <c r="O81" s="5"/>
    </row>
    <row r="82" spans="1:15" hidden="1" x14ac:dyDescent="0.2">
      <c r="A82" s="18" t="str">
        <f>IF(Productos!A82="","",Productos!A82)</f>
        <v/>
      </c>
      <c r="B82" s="18" t="str">
        <f>IF(Productos!B82="","",Productos!B82)</f>
        <v/>
      </c>
      <c r="C82" s="18" t="str">
        <f>IF(Productos!$A82="","",Productos!H82)</f>
        <v/>
      </c>
      <c r="D82" s="18"/>
      <c r="E82" s="18" t="str">
        <f t="shared" si="2"/>
        <v/>
      </c>
      <c r="F82" s="26" t="str">
        <f>IF(A82="","",IF(D82="",0,D82*Productos!G82))</f>
        <v/>
      </c>
      <c r="G82" s="26" t="str">
        <f>IF(A82="","",IF(D82="",0,D82*Productos!F82))</f>
        <v/>
      </c>
      <c r="H82" s="26" t="str">
        <f t="shared" si="3"/>
        <v/>
      </c>
      <c r="I82" t="str">
        <f>IF(A82="","",Productos!J82)</f>
        <v/>
      </c>
      <c r="L82" s="3"/>
      <c r="M82" s="5"/>
      <c r="N82" s="5"/>
      <c r="O82" s="5"/>
    </row>
    <row r="83" spans="1:15" hidden="1" x14ac:dyDescent="0.2">
      <c r="A83" s="18" t="str">
        <f>IF(Productos!A83="","",Productos!A83)</f>
        <v/>
      </c>
      <c r="B83" s="18" t="str">
        <f>IF(Productos!B83="","",Productos!B83)</f>
        <v/>
      </c>
      <c r="C83" s="18" t="str">
        <f>IF(Productos!$A83="","",Productos!H83)</f>
        <v/>
      </c>
      <c r="D83" s="18"/>
      <c r="E83" s="18" t="str">
        <f t="shared" si="2"/>
        <v/>
      </c>
      <c r="F83" s="26" t="str">
        <f>IF(A83="","",IF(D83="",0,D83*Productos!G83))</f>
        <v/>
      </c>
      <c r="G83" s="26" t="str">
        <f>IF(A83="","",IF(D83="",0,D83*Productos!F83))</f>
        <v/>
      </c>
      <c r="H83" s="26" t="str">
        <f t="shared" si="3"/>
        <v/>
      </c>
      <c r="I83" t="str">
        <f>IF(A83="","",Productos!J83)</f>
        <v/>
      </c>
      <c r="L83" s="3"/>
      <c r="M83" s="5"/>
      <c r="N83" s="5"/>
      <c r="O83" s="5"/>
    </row>
    <row r="84" spans="1:15" hidden="1" x14ac:dyDescent="0.2">
      <c r="A84" s="18" t="str">
        <f>IF(Productos!A84="","",Productos!A84)</f>
        <v/>
      </c>
      <c r="B84" s="18" t="str">
        <f>IF(Productos!B84="","",Productos!B84)</f>
        <v/>
      </c>
      <c r="C84" s="18" t="str">
        <f>IF(Productos!$A84="","",Productos!H84)</f>
        <v/>
      </c>
      <c r="D84" s="18"/>
      <c r="E84" s="18" t="str">
        <f t="shared" si="2"/>
        <v/>
      </c>
      <c r="F84" s="26" t="str">
        <f>IF(A84="","",IF(D84="",0,D84*Productos!G84))</f>
        <v/>
      </c>
      <c r="G84" s="26" t="str">
        <f>IF(A84="","",IF(D84="",0,D84*Productos!F84))</f>
        <v/>
      </c>
      <c r="H84" s="26" t="str">
        <f t="shared" si="3"/>
        <v/>
      </c>
      <c r="I84" t="str">
        <f>IF(A84="","",Productos!J84)</f>
        <v/>
      </c>
      <c r="L84" s="3"/>
      <c r="M84" s="5"/>
      <c r="N84" s="5"/>
      <c r="O84" s="5"/>
    </row>
    <row r="85" spans="1:15" hidden="1" x14ac:dyDescent="0.2">
      <c r="A85" s="18" t="str">
        <f>IF(Productos!A85="","",Productos!A85)</f>
        <v/>
      </c>
      <c r="B85" s="18" t="str">
        <f>IF(Productos!B85="","",Productos!B85)</f>
        <v/>
      </c>
      <c r="C85" s="18" t="str">
        <f>IF(Productos!$A85="","",Productos!H85)</f>
        <v/>
      </c>
      <c r="D85" s="18"/>
      <c r="E85" s="18" t="str">
        <f t="shared" si="2"/>
        <v/>
      </c>
      <c r="F85" s="26" t="str">
        <f>IF(A85="","",IF(D85="",0,D85*Productos!G85))</f>
        <v/>
      </c>
      <c r="G85" s="26" t="str">
        <f>IF(A85="","",IF(D85="",0,D85*Productos!F85))</f>
        <v/>
      </c>
      <c r="H85" s="26" t="str">
        <f t="shared" si="3"/>
        <v/>
      </c>
      <c r="I85" t="str">
        <f>IF(A85="","",Productos!J85)</f>
        <v/>
      </c>
      <c r="L85" s="3"/>
      <c r="M85" s="5"/>
      <c r="N85" s="5"/>
      <c r="O85" s="5"/>
    </row>
    <row r="86" spans="1:15" hidden="1" x14ac:dyDescent="0.2">
      <c r="A86" s="18" t="str">
        <f>IF(Productos!A86="","",Productos!A86)</f>
        <v/>
      </c>
      <c r="B86" s="18" t="str">
        <f>IF(Productos!B86="","",Productos!B86)</f>
        <v/>
      </c>
      <c r="C86" s="18" t="str">
        <f>IF(Productos!$A86="","",Productos!H86)</f>
        <v/>
      </c>
      <c r="D86" s="18"/>
      <c r="E86" s="18" t="str">
        <f t="shared" si="2"/>
        <v/>
      </c>
      <c r="F86" s="26" t="str">
        <f>IF(A86="","",IF(D86="",0,D86*Productos!G86))</f>
        <v/>
      </c>
      <c r="G86" s="26" t="str">
        <f>IF(A86="","",IF(D86="",0,D86*Productos!F86))</f>
        <v/>
      </c>
      <c r="H86" s="26" t="str">
        <f t="shared" si="3"/>
        <v/>
      </c>
      <c r="I86" t="str">
        <f>IF(A86="","",Productos!J86)</f>
        <v/>
      </c>
      <c r="L86" s="3"/>
      <c r="M86" s="5"/>
      <c r="N86" s="5"/>
      <c r="O86" s="5"/>
    </row>
    <row r="87" spans="1:15" hidden="1" x14ac:dyDescent="0.2">
      <c r="A87" s="18" t="str">
        <f>IF(Productos!A87="","",Productos!A87)</f>
        <v/>
      </c>
      <c r="B87" s="18" t="str">
        <f>IF(Productos!B87="","",Productos!B87)</f>
        <v/>
      </c>
      <c r="C87" s="18" t="str">
        <f>IF(Productos!$A87="","",Productos!H87)</f>
        <v/>
      </c>
      <c r="D87" s="18"/>
      <c r="E87" s="18" t="str">
        <f t="shared" si="2"/>
        <v/>
      </c>
      <c r="F87" s="26" t="str">
        <f>IF(A87="","",IF(D87="",0,D87*Productos!G87))</f>
        <v/>
      </c>
      <c r="G87" s="26" t="str">
        <f>IF(A87="","",IF(D87="",0,D87*Productos!F87))</f>
        <v/>
      </c>
      <c r="H87" s="26" t="str">
        <f t="shared" si="3"/>
        <v/>
      </c>
      <c r="I87" t="str">
        <f>IF(A87="","",Productos!J87)</f>
        <v/>
      </c>
      <c r="L87" s="3"/>
      <c r="M87" s="5"/>
      <c r="N87" s="5"/>
      <c r="O87" s="5"/>
    </row>
    <row r="88" spans="1:15" hidden="1" x14ac:dyDescent="0.2">
      <c r="A88" s="18" t="str">
        <f>IF(Productos!A88="","",Productos!A88)</f>
        <v/>
      </c>
      <c r="B88" s="18" t="str">
        <f>IF(Productos!B88="","",Productos!B88)</f>
        <v/>
      </c>
      <c r="C88" s="18" t="str">
        <f>IF(Productos!$A88="","",Productos!H88)</f>
        <v/>
      </c>
      <c r="D88" s="18"/>
      <c r="E88" s="18" t="str">
        <f t="shared" si="2"/>
        <v/>
      </c>
      <c r="F88" s="26" t="str">
        <f>IF(A88="","",IF(D88="",0,D88*Productos!G88))</f>
        <v/>
      </c>
      <c r="G88" s="26" t="str">
        <f>IF(A88="","",IF(D88="",0,D88*Productos!F88))</f>
        <v/>
      </c>
      <c r="H88" s="26" t="str">
        <f t="shared" si="3"/>
        <v/>
      </c>
      <c r="I88" t="str">
        <f>IF(A88="","",Productos!J88)</f>
        <v/>
      </c>
      <c r="L88" s="3"/>
      <c r="M88" s="5"/>
      <c r="N88" s="5"/>
      <c r="O88" s="5"/>
    </row>
    <row r="89" spans="1:15" hidden="1" x14ac:dyDescent="0.2">
      <c r="A89" s="18" t="str">
        <f>IF(Productos!A89="","",Productos!A89)</f>
        <v/>
      </c>
      <c r="B89" s="18" t="str">
        <f>IF(Productos!B89="","",Productos!B89)</f>
        <v/>
      </c>
      <c r="C89" s="18" t="str">
        <f>IF(Productos!$A89="","",Productos!H89)</f>
        <v/>
      </c>
      <c r="D89" s="18"/>
      <c r="E89" s="18" t="str">
        <f t="shared" si="2"/>
        <v/>
      </c>
      <c r="F89" s="26" t="str">
        <f>IF(A89="","",IF(D89="",0,D89*Productos!G89))</f>
        <v/>
      </c>
      <c r="G89" s="26" t="str">
        <f>IF(A89="","",IF(D89="",0,D89*Productos!F89))</f>
        <v/>
      </c>
      <c r="H89" s="26" t="str">
        <f t="shared" si="3"/>
        <v/>
      </c>
      <c r="I89" t="str">
        <f>IF(A89="","",Productos!J89)</f>
        <v/>
      </c>
      <c r="L89" s="3"/>
      <c r="M89" s="5"/>
      <c r="N89" s="5"/>
      <c r="O89" s="5"/>
    </row>
    <row r="90" spans="1:15" hidden="1" x14ac:dyDescent="0.2">
      <c r="A90" s="18" t="str">
        <f>IF(Productos!A90="","",Productos!A90)</f>
        <v/>
      </c>
      <c r="B90" s="18" t="str">
        <f>IF(Productos!B90="","",Productos!B90)</f>
        <v/>
      </c>
      <c r="C90" s="18" t="str">
        <f>IF(Productos!$A90="","",Productos!H90)</f>
        <v/>
      </c>
      <c r="D90" s="18"/>
      <c r="E90" s="18" t="str">
        <f t="shared" si="2"/>
        <v/>
      </c>
      <c r="F90" s="26" t="str">
        <f>IF(A90="","",IF(D90="",0,D90*Productos!G90))</f>
        <v/>
      </c>
      <c r="G90" s="26" t="str">
        <f>IF(A90="","",IF(D90="",0,D90*Productos!F90))</f>
        <v/>
      </c>
      <c r="H90" s="26" t="str">
        <f t="shared" si="3"/>
        <v/>
      </c>
      <c r="I90" t="str">
        <f>IF(A90="","",Productos!J90)</f>
        <v/>
      </c>
      <c r="L90" s="3"/>
      <c r="M90" s="5"/>
      <c r="N90" s="5"/>
      <c r="O90" s="5"/>
    </row>
    <row r="91" spans="1:15" hidden="1" x14ac:dyDescent="0.2">
      <c r="A91" s="18" t="str">
        <f>IF(Productos!A91="","",Productos!A91)</f>
        <v/>
      </c>
      <c r="B91" s="18" t="str">
        <f>IF(Productos!B91="","",Productos!B91)</f>
        <v/>
      </c>
      <c r="C91" s="18" t="str">
        <f>IF(Productos!$A91="","",Productos!H91)</f>
        <v/>
      </c>
      <c r="D91" s="18"/>
      <c r="E91" s="18" t="str">
        <f t="shared" si="2"/>
        <v/>
      </c>
      <c r="F91" s="26" t="str">
        <f>IF(A91="","",IF(D91="",0,D91*Productos!G91))</f>
        <v/>
      </c>
      <c r="G91" s="26" t="str">
        <f>IF(A91="","",IF(D91="",0,D91*Productos!F91))</f>
        <v/>
      </c>
      <c r="H91" s="26" t="str">
        <f t="shared" si="3"/>
        <v/>
      </c>
      <c r="I91" t="str">
        <f>IF(A91="","",Productos!J91)</f>
        <v/>
      </c>
      <c r="L91" s="3"/>
      <c r="M91" s="5"/>
      <c r="N91" s="5"/>
      <c r="O91" s="5"/>
    </row>
    <row r="92" spans="1:15" hidden="1" x14ac:dyDescent="0.2">
      <c r="A92" s="18" t="str">
        <f>IF(Productos!A92="","",Productos!A92)</f>
        <v/>
      </c>
      <c r="B92" s="18" t="str">
        <f>IF(Productos!B92="","",Productos!B92)</f>
        <v/>
      </c>
      <c r="C92" s="18" t="str">
        <f>IF(Productos!$A92="","",Productos!H92)</f>
        <v/>
      </c>
      <c r="D92" s="18"/>
      <c r="E92" s="18" t="str">
        <f t="shared" si="2"/>
        <v/>
      </c>
      <c r="F92" s="26" t="str">
        <f>IF(A92="","",IF(D92="",0,D92*Productos!G92))</f>
        <v/>
      </c>
      <c r="G92" s="26" t="str">
        <f>IF(A92="","",IF(D92="",0,D92*Productos!F92))</f>
        <v/>
      </c>
      <c r="H92" s="26" t="str">
        <f t="shared" si="3"/>
        <v/>
      </c>
      <c r="I92" t="str">
        <f>IF(A92="","",Productos!J92)</f>
        <v/>
      </c>
      <c r="L92" s="3"/>
      <c r="M92" s="5"/>
      <c r="N92" s="5"/>
      <c r="O92" s="5"/>
    </row>
    <row r="93" spans="1:15" hidden="1" x14ac:dyDescent="0.2">
      <c r="A93" s="18" t="str">
        <f>IF(Productos!A93="","",Productos!A93)</f>
        <v/>
      </c>
      <c r="B93" s="18" t="str">
        <f>IF(Productos!B93="","",Productos!B93)</f>
        <v/>
      </c>
      <c r="C93" s="18" t="str">
        <f>IF(Productos!$A93="","",Productos!H93)</f>
        <v/>
      </c>
      <c r="D93" s="18"/>
      <c r="E93" s="18" t="str">
        <f t="shared" si="2"/>
        <v/>
      </c>
      <c r="F93" s="26" t="str">
        <f>IF(A93="","",IF(D93="",0,D93*Productos!G93))</f>
        <v/>
      </c>
      <c r="G93" s="26" t="str">
        <f>IF(A93="","",IF(D93="",0,D93*Productos!F93))</f>
        <v/>
      </c>
      <c r="H93" s="26" t="str">
        <f t="shared" si="3"/>
        <v/>
      </c>
      <c r="I93" t="str">
        <f>IF(A93="","",Productos!J93)</f>
        <v/>
      </c>
      <c r="L93" s="3"/>
      <c r="M93" s="5"/>
      <c r="N93" s="5"/>
      <c r="O93" s="5"/>
    </row>
    <row r="94" spans="1:15" hidden="1" x14ac:dyDescent="0.2">
      <c r="A94" s="18" t="str">
        <f>IF(Productos!A94="","",Productos!A94)</f>
        <v/>
      </c>
      <c r="B94" s="18" t="str">
        <f>IF(Productos!B94="","",Productos!B94)</f>
        <v/>
      </c>
      <c r="C94" s="18" t="str">
        <f>IF(Productos!$A94="","",Productos!H94)</f>
        <v/>
      </c>
      <c r="D94" s="18"/>
      <c r="E94" s="18" t="str">
        <f t="shared" si="2"/>
        <v/>
      </c>
      <c r="F94" s="26" t="str">
        <f>IF(A94="","",IF(D94="",0,D94*Productos!G94))</f>
        <v/>
      </c>
      <c r="G94" s="26" t="str">
        <f>IF(A94="","",IF(D94="",0,D94*Productos!F94))</f>
        <v/>
      </c>
      <c r="H94" s="26" t="str">
        <f t="shared" si="3"/>
        <v/>
      </c>
      <c r="I94" t="str">
        <f>IF(A94="","",Productos!J94)</f>
        <v/>
      </c>
      <c r="L94" s="3"/>
      <c r="M94" s="5"/>
      <c r="N94" s="5"/>
      <c r="O94" s="5"/>
    </row>
    <row r="95" spans="1:15" hidden="1" x14ac:dyDescent="0.2">
      <c r="A95" s="18" t="str">
        <f>IF(Productos!A95="","",Productos!A95)</f>
        <v/>
      </c>
      <c r="B95" s="18" t="str">
        <f>IF(Productos!B95="","",Productos!B95)</f>
        <v/>
      </c>
      <c r="C95" s="18" t="str">
        <f>IF(Productos!$A95="","",Productos!H95)</f>
        <v/>
      </c>
      <c r="D95" s="18"/>
      <c r="E95" s="18" t="str">
        <f t="shared" si="2"/>
        <v/>
      </c>
      <c r="F95" s="26" t="str">
        <f>IF(A95="","",IF(D95="",0,D95*Productos!G95))</f>
        <v/>
      </c>
      <c r="G95" s="26" t="str">
        <f>IF(A95="","",IF(D95="",0,D95*Productos!F95))</f>
        <v/>
      </c>
      <c r="H95" s="26" t="str">
        <f t="shared" si="3"/>
        <v/>
      </c>
      <c r="I95" t="str">
        <f>IF(A95="","",Productos!J95)</f>
        <v/>
      </c>
      <c r="L95" s="3"/>
      <c r="M95" s="5"/>
      <c r="N95" s="5"/>
      <c r="O95" s="5"/>
    </row>
    <row r="96" spans="1:15" hidden="1" x14ac:dyDescent="0.2">
      <c r="A96" s="18" t="str">
        <f>IF(Productos!A96="","",Productos!A96)</f>
        <v/>
      </c>
      <c r="B96" s="18" t="str">
        <f>IF(Productos!B96="","",Productos!B96)</f>
        <v/>
      </c>
      <c r="C96" s="18" t="str">
        <f>IF(Productos!$A96="","",Productos!H96)</f>
        <v/>
      </c>
      <c r="D96" s="18"/>
      <c r="E96" s="18" t="str">
        <f t="shared" si="2"/>
        <v/>
      </c>
      <c r="F96" s="26" t="str">
        <f>IF(A96="","",IF(D96="",0,D96*Productos!G96))</f>
        <v/>
      </c>
      <c r="G96" s="26" t="str">
        <f>IF(A96="","",IF(D96="",0,D96*Productos!F96))</f>
        <v/>
      </c>
      <c r="H96" s="26" t="str">
        <f t="shared" si="3"/>
        <v/>
      </c>
      <c r="I96" t="str">
        <f>IF(A96="","",Productos!J96)</f>
        <v/>
      </c>
      <c r="L96" s="3"/>
      <c r="M96" s="5"/>
      <c r="N96" s="5"/>
      <c r="O96" s="5"/>
    </row>
    <row r="97" spans="1:15" hidden="1" x14ac:dyDescent="0.2">
      <c r="A97" s="18" t="str">
        <f>IF(Productos!A97="","",Productos!A97)</f>
        <v/>
      </c>
      <c r="B97" s="18" t="str">
        <f>IF(Productos!B97="","",Productos!B97)</f>
        <v/>
      </c>
      <c r="C97" s="18" t="str">
        <f>IF(Productos!$A97="","",Productos!H97)</f>
        <v/>
      </c>
      <c r="D97" s="18"/>
      <c r="E97" s="18" t="str">
        <f t="shared" si="2"/>
        <v/>
      </c>
      <c r="F97" s="26" t="str">
        <f>IF(A97="","",IF(D97="",0,D97*Productos!G97))</f>
        <v/>
      </c>
      <c r="G97" s="26" t="str">
        <f>IF(A97="","",IF(D97="",0,D97*Productos!F97))</f>
        <v/>
      </c>
      <c r="H97" s="26" t="str">
        <f t="shared" si="3"/>
        <v/>
      </c>
      <c r="I97" t="str">
        <f>IF(A97="","",Productos!J97)</f>
        <v/>
      </c>
      <c r="L97" s="3"/>
      <c r="M97" s="5"/>
      <c r="N97" s="5"/>
      <c r="O97" s="5"/>
    </row>
    <row r="98" spans="1:15" hidden="1" x14ac:dyDescent="0.2">
      <c r="A98" s="18" t="str">
        <f>IF(Productos!A98="","",Productos!A98)</f>
        <v/>
      </c>
      <c r="B98" s="18" t="str">
        <f>IF(Productos!B98="","",Productos!B98)</f>
        <v/>
      </c>
      <c r="C98" s="18" t="str">
        <f>IF(Productos!$A98="","",Productos!H98)</f>
        <v/>
      </c>
      <c r="D98" s="18"/>
      <c r="E98" s="18" t="str">
        <f t="shared" si="2"/>
        <v/>
      </c>
      <c r="F98" s="26" t="str">
        <f>IF(A98="","",IF(D98="",0,D98*Productos!G98))</f>
        <v/>
      </c>
      <c r="G98" s="26" t="str">
        <f>IF(A98="","",IF(D98="",0,D98*Productos!F98))</f>
        <v/>
      </c>
      <c r="H98" s="26" t="str">
        <f t="shared" si="3"/>
        <v/>
      </c>
      <c r="I98" t="str">
        <f>IF(A98="","",Productos!J98)</f>
        <v/>
      </c>
      <c r="L98" s="3"/>
      <c r="M98" s="5"/>
      <c r="N98" s="5"/>
      <c r="O98" s="5"/>
    </row>
    <row r="99" spans="1:15" hidden="1" x14ac:dyDescent="0.2">
      <c r="A99" s="18" t="str">
        <f>IF(Productos!A99="","",Productos!A99)</f>
        <v/>
      </c>
      <c r="B99" s="18" t="str">
        <f>IF(Productos!B99="","",Productos!B99)</f>
        <v/>
      </c>
      <c r="C99" s="18" t="str">
        <f>IF(Productos!$A99="","",Productos!H99)</f>
        <v/>
      </c>
      <c r="D99" s="18"/>
      <c r="E99" s="18" t="str">
        <f t="shared" si="2"/>
        <v/>
      </c>
      <c r="F99" s="26" t="str">
        <f>IF(A99="","",IF(D99="",0,D99*Productos!G99))</f>
        <v/>
      </c>
      <c r="G99" s="26" t="str">
        <f>IF(A99="","",IF(D99="",0,D99*Productos!F99))</f>
        <v/>
      </c>
      <c r="H99" s="26" t="str">
        <f t="shared" si="3"/>
        <v/>
      </c>
      <c r="I99" t="str">
        <f>IF(A99="","",Productos!J99)</f>
        <v/>
      </c>
      <c r="L99" s="3"/>
      <c r="M99" s="5"/>
      <c r="N99" s="5"/>
      <c r="O99" s="5"/>
    </row>
    <row r="100" spans="1:15" hidden="1" x14ac:dyDescent="0.2">
      <c r="A100" s="18" t="str">
        <f>IF(Productos!A100="","",Productos!A100)</f>
        <v/>
      </c>
      <c r="B100" s="18" t="str">
        <f>IF(Productos!B100="","",Productos!B100)</f>
        <v/>
      </c>
      <c r="C100" s="18" t="str">
        <f>IF(Productos!$A100="","",Productos!H100)</f>
        <v/>
      </c>
      <c r="D100" s="18"/>
      <c r="E100" s="18" t="str">
        <f t="shared" si="2"/>
        <v/>
      </c>
      <c r="F100" s="26" t="str">
        <f>IF(A100="","",IF(D100="",0,D100*Productos!G100))</f>
        <v/>
      </c>
      <c r="G100" s="26" t="str">
        <f>IF(A100="","",IF(D100="",0,D100*Productos!F100))</f>
        <v/>
      </c>
      <c r="H100" s="26" t="str">
        <f t="shared" si="3"/>
        <v/>
      </c>
      <c r="I100" t="str">
        <f>IF(A100="","",Productos!J100)</f>
        <v/>
      </c>
      <c r="L100" s="3"/>
      <c r="M100" s="5"/>
      <c r="N100" s="5"/>
      <c r="O100" s="5"/>
    </row>
    <row r="101" spans="1:15" hidden="1" x14ac:dyDescent="0.2">
      <c r="A101" s="18" t="str">
        <f>IF(Productos!A101="","",Productos!A101)</f>
        <v/>
      </c>
      <c r="B101" s="18" t="str">
        <f>IF(Productos!B101="","",Productos!B101)</f>
        <v/>
      </c>
      <c r="C101" s="18" t="str">
        <f>IF(Productos!$A101="","",Productos!H101)</f>
        <v/>
      </c>
      <c r="D101" s="18"/>
      <c r="E101" s="18" t="str">
        <f t="shared" si="2"/>
        <v/>
      </c>
      <c r="F101" s="26" t="str">
        <f>IF(A101="","",IF(D101="",0,D101*Productos!G101))</f>
        <v/>
      </c>
      <c r="G101" s="26" t="str">
        <f>IF(A101="","",IF(D101="",0,D101*Productos!F101))</f>
        <v/>
      </c>
      <c r="H101" s="26" t="str">
        <f t="shared" si="3"/>
        <v/>
      </c>
      <c r="I101" t="str">
        <f>IF(A101="","",Productos!J101)</f>
        <v/>
      </c>
      <c r="L101" s="3"/>
      <c r="M101" s="5"/>
      <c r="N101" s="5"/>
      <c r="O101" s="5"/>
    </row>
    <row r="102" spans="1:15" hidden="1" x14ac:dyDescent="0.2">
      <c r="A102" s="18" t="str">
        <f>IF(Productos!A102="","",Productos!A102)</f>
        <v/>
      </c>
      <c r="B102" s="18" t="str">
        <f>IF(Productos!B102="","",Productos!B102)</f>
        <v/>
      </c>
      <c r="C102" s="18" t="str">
        <f>IF(Productos!$A102="","",Productos!H102)</f>
        <v/>
      </c>
      <c r="D102" s="18"/>
      <c r="E102" s="18" t="str">
        <f t="shared" si="2"/>
        <v/>
      </c>
      <c r="F102" s="26" t="str">
        <f>IF(A102="","",IF(D102="",0,D102*Productos!G102))</f>
        <v/>
      </c>
      <c r="G102" s="26" t="str">
        <f>IF(A102="","",IF(D102="",0,D102*Productos!F102))</f>
        <v/>
      </c>
      <c r="H102" s="26" t="str">
        <f t="shared" si="3"/>
        <v/>
      </c>
      <c r="I102" t="str">
        <f>IF(A102="","",Productos!J102)</f>
        <v/>
      </c>
      <c r="L102" s="3"/>
      <c r="M102" s="5"/>
      <c r="N102" s="5"/>
      <c r="O102" s="5"/>
    </row>
    <row r="103" spans="1:15" hidden="1" x14ac:dyDescent="0.2">
      <c r="A103" s="18" t="str">
        <f>IF(Productos!A103="","",Productos!A103)</f>
        <v/>
      </c>
      <c r="B103" s="18" t="str">
        <f>IF(Productos!B103="","",Productos!B103)</f>
        <v/>
      </c>
      <c r="C103" s="18" t="str">
        <f>IF(Productos!$A103="","",Productos!H103)</f>
        <v/>
      </c>
      <c r="D103" s="18"/>
      <c r="E103" s="18" t="str">
        <f t="shared" si="2"/>
        <v/>
      </c>
      <c r="F103" s="26" t="str">
        <f>IF(A103="","",IF(D103="",0,D103*Productos!G103))</f>
        <v/>
      </c>
      <c r="G103" s="26" t="str">
        <f>IF(A103="","",IF(D103="",0,D103*Productos!F103))</f>
        <v/>
      </c>
      <c r="H103" s="26" t="str">
        <f t="shared" si="3"/>
        <v/>
      </c>
      <c r="I103" t="str">
        <f>IF(A103="","",Productos!J103)</f>
        <v/>
      </c>
      <c r="L103" s="3"/>
      <c r="M103" s="5"/>
      <c r="N103" s="5"/>
      <c r="O103" s="5"/>
    </row>
    <row r="104" spans="1:15" hidden="1" x14ac:dyDescent="0.2">
      <c r="A104" s="18" t="str">
        <f>IF(Productos!A104="","",Productos!A104)</f>
        <v/>
      </c>
      <c r="B104" s="18" t="str">
        <f>IF(Productos!B104="","",Productos!B104)</f>
        <v/>
      </c>
      <c r="C104" s="18" t="str">
        <f>IF(Productos!$A104="","",Productos!H104)</f>
        <v/>
      </c>
      <c r="D104" s="18"/>
      <c r="E104" s="18" t="str">
        <f t="shared" si="2"/>
        <v/>
      </c>
      <c r="F104" s="26" t="str">
        <f>IF(A104="","",IF(D104="",0,D104*Productos!G104))</f>
        <v/>
      </c>
      <c r="G104" s="26" t="str">
        <f>IF(A104="","",IF(D104="",0,D104*Productos!F104))</f>
        <v/>
      </c>
      <c r="H104" s="26" t="str">
        <f t="shared" si="3"/>
        <v/>
      </c>
      <c r="I104" t="str">
        <f>IF(A104="","",Productos!J104)</f>
        <v/>
      </c>
      <c r="L104" s="3"/>
      <c r="M104" s="5"/>
      <c r="N104" s="5"/>
      <c r="O104" s="5"/>
    </row>
    <row r="105" spans="1:15" hidden="1" x14ac:dyDescent="0.2">
      <c r="A105" s="18" t="str">
        <f>IF(Productos!A105="","",Productos!A105)</f>
        <v/>
      </c>
      <c r="B105" s="18" t="str">
        <f>IF(Productos!B105="","",Productos!B105)</f>
        <v/>
      </c>
      <c r="C105" s="18" t="str">
        <f>IF(Productos!$A105="","",Productos!H105)</f>
        <v/>
      </c>
      <c r="D105" s="18"/>
      <c r="E105" s="18" t="str">
        <f t="shared" si="2"/>
        <v/>
      </c>
      <c r="F105" s="26" t="str">
        <f>IF(A105="","",IF(D105="",0,D105*Productos!G105))</f>
        <v/>
      </c>
      <c r="G105" s="26" t="str">
        <f>IF(A105="","",IF(D105="",0,D105*Productos!F105))</f>
        <v/>
      </c>
      <c r="H105" s="26" t="str">
        <f t="shared" si="3"/>
        <v/>
      </c>
      <c r="I105" t="str">
        <f>IF(A105="","",Productos!J105)</f>
        <v/>
      </c>
      <c r="L105" s="3"/>
      <c r="M105" s="5"/>
      <c r="N105" s="5"/>
      <c r="O105" s="5"/>
    </row>
    <row r="106" spans="1:15" hidden="1" x14ac:dyDescent="0.2">
      <c r="A106" s="18" t="str">
        <f>IF(Productos!A106="","",Productos!A106)</f>
        <v/>
      </c>
      <c r="B106" s="18" t="str">
        <f>IF(Productos!B106="","",Productos!B106)</f>
        <v/>
      </c>
      <c r="C106" s="18" t="str">
        <f>IF(Productos!$A106="","",Productos!H106)</f>
        <v/>
      </c>
      <c r="D106" s="18"/>
      <c r="E106" s="18" t="str">
        <f t="shared" si="2"/>
        <v/>
      </c>
      <c r="F106" s="26" t="str">
        <f>IF(A106="","",IF(D106="",0,D106*Productos!G106))</f>
        <v/>
      </c>
      <c r="G106" s="26" t="str">
        <f>IF(A106="","",IF(D106="",0,D106*Productos!F106))</f>
        <v/>
      </c>
      <c r="H106" s="26" t="str">
        <f t="shared" si="3"/>
        <v/>
      </c>
      <c r="I106" t="str">
        <f>IF(A106="","",Productos!J106)</f>
        <v/>
      </c>
      <c r="L106" s="3"/>
      <c r="M106" s="5"/>
      <c r="N106" s="5"/>
      <c r="O106" s="5"/>
    </row>
    <row r="107" spans="1:15" hidden="1" x14ac:dyDescent="0.2">
      <c r="A107" s="18" t="str">
        <f>IF(Productos!A107="","",Productos!A107)</f>
        <v/>
      </c>
      <c r="B107" s="18" t="str">
        <f>IF(Productos!B107="","",Productos!B107)</f>
        <v/>
      </c>
      <c r="C107" s="18" t="str">
        <f>IF(Productos!$A107="","",Productos!H107)</f>
        <v/>
      </c>
      <c r="D107" s="18"/>
      <c r="E107" s="18" t="str">
        <f t="shared" si="2"/>
        <v/>
      </c>
      <c r="F107" s="26" t="str">
        <f>IF(A107="","",IF(D107="",0,D107*Productos!G107))</f>
        <v/>
      </c>
      <c r="G107" s="26" t="str">
        <f>IF(A107="","",IF(D107="",0,D107*Productos!F107))</f>
        <v/>
      </c>
      <c r="H107" s="26" t="str">
        <f t="shared" si="3"/>
        <v/>
      </c>
      <c r="I107" t="str">
        <f>IF(A107="","",Productos!J107)</f>
        <v/>
      </c>
      <c r="L107" s="3"/>
      <c r="M107" s="5"/>
      <c r="N107" s="5"/>
      <c r="O107" s="5"/>
    </row>
    <row r="108" spans="1:15" hidden="1" x14ac:dyDescent="0.2">
      <c r="A108" s="18" t="str">
        <f>IF(Productos!A108="","",Productos!A108)</f>
        <v/>
      </c>
      <c r="B108" s="18" t="str">
        <f>IF(Productos!B108="","",Productos!B108)</f>
        <v/>
      </c>
      <c r="C108" s="18" t="str">
        <f>IF(Productos!$A108="","",Productos!H108)</f>
        <v/>
      </c>
      <c r="D108" s="18"/>
      <c r="E108" s="18" t="str">
        <f t="shared" si="2"/>
        <v/>
      </c>
      <c r="F108" s="26" t="str">
        <f>IF(A108="","",IF(D108="",0,D108*Productos!G108))</f>
        <v/>
      </c>
      <c r="G108" s="26" t="str">
        <f>IF(A108="","",IF(D108="",0,D108*Productos!F108))</f>
        <v/>
      </c>
      <c r="H108" s="26" t="str">
        <f t="shared" si="3"/>
        <v/>
      </c>
      <c r="I108" t="str">
        <f>IF(A108="","",Productos!J108)</f>
        <v/>
      </c>
      <c r="L108" s="3"/>
      <c r="M108" s="5"/>
      <c r="N108" s="5"/>
      <c r="O108" s="5"/>
    </row>
    <row r="109" spans="1:15" hidden="1" x14ac:dyDescent="0.2">
      <c r="A109" s="18" t="str">
        <f>IF(Productos!A109="","",Productos!A109)</f>
        <v/>
      </c>
      <c r="B109" s="18" t="str">
        <f>IF(Productos!B109="","",Productos!B109)</f>
        <v/>
      </c>
      <c r="C109" s="18" t="str">
        <f>IF(Productos!$A109="","",Productos!H109)</f>
        <v/>
      </c>
      <c r="D109" s="18"/>
      <c r="E109" s="18" t="str">
        <f t="shared" si="2"/>
        <v/>
      </c>
      <c r="F109" s="26" t="str">
        <f>IF(A109="","",IF(D109="",0,D109*Productos!G109))</f>
        <v/>
      </c>
      <c r="G109" s="26" t="str">
        <f>IF(A109="","",IF(D109="",0,D109*Productos!F109))</f>
        <v/>
      </c>
      <c r="H109" s="26" t="str">
        <f t="shared" si="3"/>
        <v/>
      </c>
      <c r="I109" t="str">
        <f>IF(A109="","",Productos!J109)</f>
        <v/>
      </c>
      <c r="L109" s="3"/>
      <c r="M109" s="5"/>
      <c r="N109" s="5"/>
      <c r="O109" s="5"/>
    </row>
    <row r="110" spans="1:15" hidden="1" x14ac:dyDescent="0.2">
      <c r="A110" s="18" t="str">
        <f>IF(Productos!A110="","",Productos!A110)</f>
        <v/>
      </c>
      <c r="B110" s="18" t="str">
        <f>IF(Productos!B110="","",Productos!B110)</f>
        <v/>
      </c>
      <c r="C110" s="18" t="str">
        <f>IF(Productos!$A110="","",Productos!H110)</f>
        <v/>
      </c>
      <c r="D110" s="18"/>
      <c r="E110" s="18" t="str">
        <f t="shared" si="2"/>
        <v/>
      </c>
      <c r="F110" s="26" t="str">
        <f>IF(A110="","",IF(D110="",0,D110*Productos!G110))</f>
        <v/>
      </c>
      <c r="G110" s="26" t="str">
        <f>IF(A110="","",IF(D110="",0,D110*Productos!F110))</f>
        <v/>
      </c>
      <c r="H110" s="26" t="str">
        <f t="shared" si="3"/>
        <v/>
      </c>
      <c r="I110" t="str">
        <f>IF(A110="","",Productos!J110)</f>
        <v/>
      </c>
      <c r="L110" s="3"/>
      <c r="M110" s="5"/>
      <c r="N110" s="5"/>
      <c r="O110" s="5"/>
    </row>
    <row r="111" spans="1:15" hidden="1" x14ac:dyDescent="0.2">
      <c r="A111" s="18" t="str">
        <f>IF(Productos!A111="","",Productos!A111)</f>
        <v/>
      </c>
      <c r="B111" s="18" t="str">
        <f>IF(Productos!B111="","",Productos!B111)</f>
        <v/>
      </c>
      <c r="C111" s="18" t="str">
        <f>IF(Productos!$A111="","",Productos!H111)</f>
        <v/>
      </c>
      <c r="D111" s="18"/>
      <c r="E111" s="18" t="str">
        <f t="shared" si="2"/>
        <v/>
      </c>
      <c r="F111" s="26" t="str">
        <f>IF(A111="","",IF(D111="",0,D111*Productos!G111))</f>
        <v/>
      </c>
      <c r="G111" s="26" t="str">
        <f>IF(A111="","",IF(D111="",0,D111*Productos!F111))</f>
        <v/>
      </c>
      <c r="H111" s="26" t="str">
        <f t="shared" si="3"/>
        <v/>
      </c>
      <c r="I111" t="str">
        <f>IF(A111="","",Productos!J111)</f>
        <v/>
      </c>
      <c r="L111" s="3"/>
      <c r="M111" s="5"/>
      <c r="N111" s="5"/>
      <c r="O111" s="5"/>
    </row>
    <row r="112" spans="1:15" hidden="1" x14ac:dyDescent="0.2">
      <c r="A112" s="18" t="str">
        <f>IF(Productos!A112="","",Productos!A112)</f>
        <v/>
      </c>
      <c r="B112" s="18" t="str">
        <f>IF(Productos!B112="","",Productos!B112)</f>
        <v/>
      </c>
      <c r="C112" s="18" t="str">
        <f>IF(Productos!$A112="","",Productos!H112)</f>
        <v/>
      </c>
      <c r="D112" s="18"/>
      <c r="E112" s="18" t="str">
        <f t="shared" si="2"/>
        <v/>
      </c>
      <c r="F112" s="26" t="str">
        <f>IF(A112="","",IF(D112="",0,D112*Productos!G112))</f>
        <v/>
      </c>
      <c r="G112" s="26" t="str">
        <f>IF(A112="","",IF(D112="",0,D112*Productos!F112))</f>
        <v/>
      </c>
      <c r="H112" s="26" t="str">
        <f t="shared" si="3"/>
        <v/>
      </c>
      <c r="I112" t="str">
        <f>IF(A112="","",Productos!J112)</f>
        <v/>
      </c>
      <c r="L112" s="3"/>
      <c r="M112" s="5"/>
      <c r="N112" s="5"/>
      <c r="O112" s="5"/>
    </row>
    <row r="113" spans="1:15" hidden="1" x14ac:dyDescent="0.2">
      <c r="A113" s="18" t="str">
        <f>IF(Productos!A113="","",Productos!A113)</f>
        <v/>
      </c>
      <c r="B113" s="18" t="str">
        <f>IF(Productos!B113="","",Productos!B113)</f>
        <v/>
      </c>
      <c r="C113" s="18" t="str">
        <f>IF(Productos!$A113="","",Productos!H113)</f>
        <v/>
      </c>
      <c r="D113" s="18"/>
      <c r="E113" s="18" t="str">
        <f t="shared" si="2"/>
        <v/>
      </c>
      <c r="F113" s="26" t="str">
        <f>IF(A113="","",IF(D113="",0,D113*Productos!G113))</f>
        <v/>
      </c>
      <c r="G113" s="26" t="str">
        <f>IF(A113="","",IF(D113="",0,D113*Productos!F113))</f>
        <v/>
      </c>
      <c r="H113" s="26" t="str">
        <f t="shared" si="3"/>
        <v/>
      </c>
      <c r="I113" t="str">
        <f>IF(A113="","",Productos!J113)</f>
        <v/>
      </c>
      <c r="L113" s="3"/>
      <c r="M113" s="5"/>
      <c r="N113" s="5"/>
      <c r="O113" s="5"/>
    </row>
    <row r="114" spans="1:15" hidden="1" x14ac:dyDescent="0.2">
      <c r="A114" s="18" t="str">
        <f>IF(Productos!A114="","",Productos!A114)</f>
        <v/>
      </c>
      <c r="B114" s="18" t="str">
        <f>IF(Productos!B114="","",Productos!B114)</f>
        <v/>
      </c>
      <c r="C114" s="18" t="str">
        <f>IF(Productos!$A114="","",Productos!H114)</f>
        <v/>
      </c>
      <c r="D114" s="18"/>
      <c r="E114" s="18" t="str">
        <f t="shared" si="2"/>
        <v/>
      </c>
      <c r="F114" s="26" t="str">
        <f>IF(A114="","",IF(D114="",0,D114*Productos!G114))</f>
        <v/>
      </c>
      <c r="G114" s="26" t="str">
        <f>IF(A114="","",IF(D114="",0,D114*Productos!F114))</f>
        <v/>
      </c>
      <c r="H114" s="26" t="str">
        <f t="shared" si="3"/>
        <v/>
      </c>
      <c r="I114" t="str">
        <f>IF(A114="","",Productos!J114)</f>
        <v/>
      </c>
      <c r="L114" s="3"/>
      <c r="M114" s="5"/>
      <c r="N114" s="5"/>
      <c r="O114" s="5"/>
    </row>
    <row r="115" spans="1:15" hidden="1" x14ac:dyDescent="0.2">
      <c r="A115" s="18" t="str">
        <f>IF(Productos!A115="","",Productos!A115)</f>
        <v/>
      </c>
      <c r="B115" s="18" t="str">
        <f>IF(Productos!B115="","",Productos!B115)</f>
        <v/>
      </c>
      <c r="C115" s="18" t="str">
        <f>IF(Productos!$A115="","",Productos!H115)</f>
        <v/>
      </c>
      <c r="D115" s="18"/>
      <c r="E115" s="18" t="str">
        <f t="shared" si="2"/>
        <v/>
      </c>
      <c r="F115" s="26" t="str">
        <f>IF(A115="","",IF(D115="",0,D115*Productos!G115))</f>
        <v/>
      </c>
      <c r="G115" s="26" t="str">
        <f>IF(A115="","",IF(D115="",0,D115*Productos!F115))</f>
        <v/>
      </c>
      <c r="H115" s="26" t="str">
        <f t="shared" si="3"/>
        <v/>
      </c>
      <c r="I115" t="str">
        <f>IF(A115="","",Productos!J115)</f>
        <v/>
      </c>
      <c r="L115" s="3"/>
      <c r="M115" s="5"/>
      <c r="N115" s="5"/>
      <c r="O115" s="5"/>
    </row>
    <row r="116" spans="1:15" hidden="1" x14ac:dyDescent="0.2">
      <c r="A116" s="18" t="str">
        <f>IF(Productos!A116="","",Productos!A116)</f>
        <v/>
      </c>
      <c r="B116" s="18" t="str">
        <f>IF(Productos!B116="","",Productos!B116)</f>
        <v/>
      </c>
      <c r="C116" s="18" t="str">
        <f>IF(Productos!$A116="","",Productos!H116)</f>
        <v/>
      </c>
      <c r="D116" s="18"/>
      <c r="E116" s="18" t="str">
        <f t="shared" si="2"/>
        <v/>
      </c>
      <c r="F116" s="26" t="str">
        <f>IF(A116="","",IF(D116="",0,D116*Productos!G116))</f>
        <v/>
      </c>
      <c r="G116" s="26" t="str">
        <f>IF(A116="","",IF(D116="",0,D116*Productos!F116))</f>
        <v/>
      </c>
      <c r="H116" s="26" t="str">
        <f t="shared" si="3"/>
        <v/>
      </c>
      <c r="I116" t="str">
        <f>IF(A116="","",Productos!J116)</f>
        <v/>
      </c>
      <c r="L116" s="3"/>
      <c r="M116" s="5"/>
      <c r="N116" s="5"/>
      <c r="O116" s="5"/>
    </row>
    <row r="117" spans="1:15" hidden="1" x14ac:dyDescent="0.2">
      <c r="A117" s="18" t="str">
        <f>IF(Productos!A117="","",Productos!A117)</f>
        <v/>
      </c>
      <c r="B117" s="18" t="str">
        <f>IF(Productos!B117="","",Productos!B117)</f>
        <v/>
      </c>
      <c r="C117" s="18" t="str">
        <f>IF(Productos!$A117="","",Productos!H117)</f>
        <v/>
      </c>
      <c r="D117" s="18"/>
      <c r="E117" s="18" t="str">
        <f t="shared" si="2"/>
        <v/>
      </c>
      <c r="F117" s="26" t="str">
        <f>IF(A117="","",IF(D117="",0,D117*Productos!G117))</f>
        <v/>
      </c>
      <c r="G117" s="26" t="str">
        <f>IF(A117="","",IF(D117="",0,D117*Productos!F117))</f>
        <v/>
      </c>
      <c r="H117" s="26" t="str">
        <f t="shared" si="3"/>
        <v/>
      </c>
      <c r="I117" t="str">
        <f>IF(A117="","",Productos!J117)</f>
        <v/>
      </c>
      <c r="L117" s="3"/>
      <c r="M117" s="5"/>
      <c r="N117" s="5"/>
      <c r="O117" s="5"/>
    </row>
    <row r="118" spans="1:15" hidden="1" x14ac:dyDescent="0.2">
      <c r="A118" s="18" t="str">
        <f>IF(Productos!A118="","",Productos!A118)</f>
        <v/>
      </c>
      <c r="B118" s="18" t="str">
        <f>IF(Productos!B118="","",Productos!B118)</f>
        <v/>
      </c>
      <c r="C118" s="18" t="str">
        <f>IF(Productos!$A118="","",Productos!H118)</f>
        <v/>
      </c>
      <c r="D118" s="18"/>
      <c r="E118" s="18" t="str">
        <f t="shared" si="2"/>
        <v/>
      </c>
      <c r="F118" s="26" t="str">
        <f>IF(A118="","",IF(D118="",0,D118*Productos!G118))</f>
        <v/>
      </c>
      <c r="G118" s="26" t="str">
        <f>IF(A118="","",IF(D118="",0,D118*Productos!F118))</f>
        <v/>
      </c>
      <c r="H118" s="26" t="str">
        <f t="shared" si="3"/>
        <v/>
      </c>
      <c r="I118" t="str">
        <f>IF(A118="","",Productos!J118)</f>
        <v/>
      </c>
      <c r="L118" s="3"/>
      <c r="M118" s="5"/>
      <c r="N118" s="5"/>
      <c r="O118" s="5"/>
    </row>
    <row r="119" spans="1:15" hidden="1" x14ac:dyDescent="0.2">
      <c r="A119" s="18" t="str">
        <f>IF(Productos!A119="","",Productos!A119)</f>
        <v/>
      </c>
      <c r="B119" s="18" t="str">
        <f>IF(Productos!B119="","",Productos!B119)</f>
        <v/>
      </c>
      <c r="C119" s="18" t="str">
        <f>IF(Productos!$A119="","",Productos!H119)</f>
        <v/>
      </c>
      <c r="D119" s="18"/>
      <c r="E119" s="18" t="str">
        <f t="shared" si="2"/>
        <v/>
      </c>
      <c r="F119" s="26" t="str">
        <f>IF(A119="","",IF(D119="",0,D119*Productos!G119))</f>
        <v/>
      </c>
      <c r="G119" s="26" t="str">
        <f>IF(A119="","",IF(D119="",0,D119*Productos!F119))</f>
        <v/>
      </c>
      <c r="H119" s="26" t="str">
        <f t="shared" si="3"/>
        <v/>
      </c>
      <c r="I119" t="str">
        <f>IF(A119="","",Productos!J119)</f>
        <v/>
      </c>
      <c r="L119" s="3"/>
      <c r="M119" s="5"/>
      <c r="N119" s="5"/>
      <c r="O119" s="5"/>
    </row>
    <row r="120" spans="1:15" hidden="1" x14ac:dyDescent="0.2">
      <c r="A120" s="18" t="str">
        <f>IF(Productos!A120="","",Productos!A120)</f>
        <v/>
      </c>
      <c r="B120" s="18" t="str">
        <f>IF(Productos!B120="","",Productos!B120)</f>
        <v/>
      </c>
      <c r="C120" s="18" t="str">
        <f>IF(Productos!$A120="","",Productos!H120)</f>
        <v/>
      </c>
      <c r="D120" s="18"/>
      <c r="E120" s="18" t="str">
        <f t="shared" si="2"/>
        <v/>
      </c>
      <c r="F120" s="26" t="str">
        <f>IF(A120="","",IF(D120="",0,D120*Productos!G120))</f>
        <v/>
      </c>
      <c r="G120" s="26" t="str">
        <f>IF(A120="","",IF(D120="",0,D120*Productos!F120))</f>
        <v/>
      </c>
      <c r="H120" s="26" t="str">
        <f t="shared" si="3"/>
        <v/>
      </c>
      <c r="I120" t="str">
        <f>IF(A120="","",Productos!J120)</f>
        <v/>
      </c>
      <c r="L120" s="3"/>
      <c r="M120" s="5"/>
      <c r="N120" s="5"/>
      <c r="O120" s="5"/>
    </row>
    <row r="121" spans="1:15" hidden="1" x14ac:dyDescent="0.2">
      <c r="A121" s="18" t="str">
        <f>IF(Productos!A121="","",Productos!A121)</f>
        <v/>
      </c>
      <c r="B121" s="18" t="str">
        <f>IF(Productos!B121="","",Productos!B121)</f>
        <v/>
      </c>
      <c r="C121" s="18" t="str">
        <f>IF(Productos!$A121="","",Productos!H121)</f>
        <v/>
      </c>
      <c r="D121" s="18"/>
      <c r="E121" s="18" t="str">
        <f t="shared" si="2"/>
        <v/>
      </c>
      <c r="F121" s="26" t="str">
        <f>IF(A121="","",IF(D121="",0,D121*Productos!G121))</f>
        <v/>
      </c>
      <c r="G121" s="26" t="str">
        <f>IF(A121="","",IF(D121="",0,D121*Productos!F121))</f>
        <v/>
      </c>
      <c r="H121" s="26" t="str">
        <f t="shared" si="3"/>
        <v/>
      </c>
      <c r="I121" t="str">
        <f>IF(A121="","",Productos!J121)</f>
        <v/>
      </c>
      <c r="L121" s="3"/>
      <c r="M121" s="5"/>
      <c r="N121" s="5"/>
      <c r="O121" s="5"/>
    </row>
    <row r="122" spans="1:15" hidden="1" x14ac:dyDescent="0.2">
      <c r="A122" s="18" t="str">
        <f>IF(Productos!A122="","",Productos!A122)</f>
        <v/>
      </c>
      <c r="B122" s="18" t="str">
        <f>IF(Productos!B122="","",Productos!B122)</f>
        <v/>
      </c>
      <c r="C122" s="18" t="str">
        <f>IF(Productos!$A122="","",Productos!H122)</f>
        <v/>
      </c>
      <c r="D122" s="18"/>
      <c r="E122" s="18" t="str">
        <f t="shared" si="2"/>
        <v/>
      </c>
      <c r="F122" s="26" t="str">
        <f>IF(A122="","",IF(D122="",0,D122*Productos!G122))</f>
        <v/>
      </c>
      <c r="G122" s="26" t="str">
        <f>IF(A122="","",IF(D122="",0,D122*Productos!F122))</f>
        <v/>
      </c>
      <c r="H122" s="26" t="str">
        <f t="shared" si="3"/>
        <v/>
      </c>
      <c r="I122" t="str">
        <f>IF(A122="","",Productos!J122)</f>
        <v/>
      </c>
      <c r="L122" s="3"/>
      <c r="M122" s="5"/>
      <c r="N122" s="5"/>
      <c r="O122" s="5"/>
    </row>
    <row r="123" spans="1:15" hidden="1" x14ac:dyDescent="0.2">
      <c r="A123" s="18" t="str">
        <f>IF(Productos!A123="","",Productos!A123)</f>
        <v/>
      </c>
      <c r="B123" s="18" t="str">
        <f>IF(Productos!B123="","",Productos!B123)</f>
        <v/>
      </c>
      <c r="C123" s="18" t="str">
        <f>IF(Productos!$A123="","",Productos!H123)</f>
        <v/>
      </c>
      <c r="D123" s="18"/>
      <c r="E123" s="18" t="str">
        <f t="shared" si="2"/>
        <v/>
      </c>
      <c r="F123" s="26" t="str">
        <f>IF(A123="","",IF(D123="",0,D123*Productos!G123))</f>
        <v/>
      </c>
      <c r="G123" s="26" t="str">
        <f>IF(A123="","",IF(D123="",0,D123*Productos!F123))</f>
        <v/>
      </c>
      <c r="H123" s="26" t="str">
        <f t="shared" si="3"/>
        <v/>
      </c>
      <c r="I123" t="str">
        <f>IF(A123="","",Productos!J123)</f>
        <v/>
      </c>
      <c r="L123" s="3"/>
      <c r="M123" s="5"/>
      <c r="N123" s="5"/>
      <c r="O123" s="5"/>
    </row>
    <row r="124" spans="1:15" hidden="1" x14ac:dyDescent="0.2">
      <c r="A124" s="18" t="str">
        <f>IF(Productos!A124="","",Productos!A124)</f>
        <v/>
      </c>
      <c r="B124" s="18" t="str">
        <f>IF(Productos!B124="","",Productos!B124)</f>
        <v/>
      </c>
      <c r="C124" s="18" t="str">
        <f>IF(Productos!$A124="","",Productos!H124)</f>
        <v/>
      </c>
      <c r="D124" s="18"/>
      <c r="E124" s="18" t="str">
        <f t="shared" si="2"/>
        <v/>
      </c>
      <c r="F124" s="26" t="str">
        <f>IF(A124="","",IF(D124="",0,D124*Productos!G124))</f>
        <v/>
      </c>
      <c r="G124" s="26" t="str">
        <f>IF(A124="","",IF(D124="",0,D124*Productos!F124))</f>
        <v/>
      </c>
      <c r="H124" s="26" t="str">
        <f t="shared" si="3"/>
        <v/>
      </c>
      <c r="I124" t="str">
        <f>IF(A124="","",Productos!J124)</f>
        <v/>
      </c>
      <c r="L124" s="3"/>
      <c r="M124" s="5"/>
      <c r="N124" s="5"/>
      <c r="O124" s="5"/>
    </row>
    <row r="125" spans="1:15" hidden="1" x14ac:dyDescent="0.2">
      <c r="A125" s="18" t="str">
        <f>IF(Productos!A125="","",Productos!A125)</f>
        <v/>
      </c>
      <c r="B125" s="18" t="str">
        <f>IF(Productos!B125="","",Productos!B125)</f>
        <v/>
      </c>
      <c r="C125" s="18" t="str">
        <f>IF(Productos!$A125="","",Productos!H125)</f>
        <v/>
      </c>
      <c r="D125" s="18"/>
      <c r="E125" s="18" t="str">
        <f t="shared" si="2"/>
        <v/>
      </c>
      <c r="F125" s="26" t="str">
        <f>IF(A125="","",IF(D125="",0,D125*Productos!G125))</f>
        <v/>
      </c>
      <c r="G125" s="26" t="str">
        <f>IF(A125="","",IF(D125="",0,D125*Productos!F125))</f>
        <v/>
      </c>
      <c r="H125" s="26" t="str">
        <f t="shared" si="3"/>
        <v/>
      </c>
      <c r="I125" t="str">
        <f>IF(A125="","",Productos!J125)</f>
        <v/>
      </c>
      <c r="L125" s="3"/>
      <c r="M125" s="5"/>
      <c r="N125" s="5"/>
      <c r="O125" s="5"/>
    </row>
    <row r="126" spans="1:15" hidden="1" x14ac:dyDescent="0.2">
      <c r="A126" s="18" t="str">
        <f>IF(Productos!A126="","",Productos!A126)</f>
        <v/>
      </c>
      <c r="B126" s="18" t="str">
        <f>IF(Productos!B126="","",Productos!B126)</f>
        <v/>
      </c>
      <c r="C126" s="18" t="str">
        <f>IF(Productos!$A126="","",Productos!H126)</f>
        <v/>
      </c>
      <c r="D126" s="18"/>
      <c r="E126" s="18" t="str">
        <f t="shared" si="2"/>
        <v/>
      </c>
      <c r="F126" s="26" t="str">
        <f>IF(A126="","",IF(D126="",0,D126*Productos!G126))</f>
        <v/>
      </c>
      <c r="G126" s="26" t="str">
        <f>IF(A126="","",IF(D126="",0,D126*Productos!F126))</f>
        <v/>
      </c>
      <c r="H126" s="26" t="str">
        <f t="shared" si="3"/>
        <v/>
      </c>
      <c r="I126" t="str">
        <f>IF(A126="","",Productos!J126)</f>
        <v/>
      </c>
      <c r="L126" s="3"/>
      <c r="M126" s="5"/>
      <c r="N126" s="5"/>
      <c r="O126" s="5"/>
    </row>
    <row r="127" spans="1:15" hidden="1" x14ac:dyDescent="0.2">
      <c r="A127" s="18" t="str">
        <f>IF(Productos!A127="","",Productos!A127)</f>
        <v/>
      </c>
      <c r="B127" s="18" t="str">
        <f>IF(Productos!B127="","",Productos!B127)</f>
        <v/>
      </c>
      <c r="C127" s="18" t="str">
        <f>IF(Productos!$A127="","",Productos!H127)</f>
        <v/>
      </c>
      <c r="D127" s="18"/>
      <c r="E127" s="18" t="str">
        <f t="shared" si="2"/>
        <v/>
      </c>
      <c r="F127" s="26" t="str">
        <f>IF(A127="","",IF(D127="",0,D127*Productos!G127))</f>
        <v/>
      </c>
      <c r="G127" s="26" t="str">
        <f>IF(A127="","",IF(D127="",0,D127*Productos!F127))</f>
        <v/>
      </c>
      <c r="H127" s="26" t="str">
        <f t="shared" si="3"/>
        <v/>
      </c>
      <c r="I127" t="str">
        <f>IF(A127="","",Productos!J127)</f>
        <v/>
      </c>
      <c r="L127" s="3"/>
      <c r="M127" s="5"/>
      <c r="N127" s="5"/>
      <c r="O127" s="5"/>
    </row>
    <row r="128" spans="1:15" hidden="1" x14ac:dyDescent="0.2">
      <c r="A128" s="18" t="str">
        <f>IF(Productos!A128="","",Productos!A128)</f>
        <v/>
      </c>
      <c r="B128" s="18" t="str">
        <f>IF(Productos!B128="","",Productos!B128)</f>
        <v/>
      </c>
      <c r="C128" s="18" t="str">
        <f>IF(Productos!$A128="","",Productos!H128)</f>
        <v/>
      </c>
      <c r="D128" s="18"/>
      <c r="E128" s="18" t="str">
        <f t="shared" si="2"/>
        <v/>
      </c>
      <c r="F128" s="26" t="str">
        <f>IF(A128="","",IF(D128="",0,D128*Productos!G128))</f>
        <v/>
      </c>
      <c r="G128" s="26" t="str">
        <f>IF(A128="","",IF(D128="",0,D128*Productos!F128))</f>
        <v/>
      </c>
      <c r="H128" s="26" t="str">
        <f t="shared" si="3"/>
        <v/>
      </c>
      <c r="I128" t="str">
        <f>IF(A128="","",Productos!J128)</f>
        <v/>
      </c>
      <c r="L128" s="3"/>
      <c r="M128" s="5"/>
      <c r="N128" s="5"/>
      <c r="O128" s="5"/>
    </row>
    <row r="129" spans="1:15" hidden="1" x14ac:dyDescent="0.2">
      <c r="A129" s="18" t="str">
        <f>IF(Productos!A129="","",Productos!A129)</f>
        <v/>
      </c>
      <c r="B129" s="18" t="str">
        <f>IF(Productos!B129="","",Productos!B129)</f>
        <v/>
      </c>
      <c r="C129" s="18" t="str">
        <f>IF(Productos!$A129="","",Productos!H129)</f>
        <v/>
      </c>
      <c r="D129" s="18"/>
      <c r="E129" s="18" t="str">
        <f t="shared" si="2"/>
        <v/>
      </c>
      <c r="F129" s="26" t="str">
        <f>IF(A129="","",IF(D129="",0,D129*Productos!G129))</f>
        <v/>
      </c>
      <c r="G129" s="26" t="str">
        <f>IF(A129="","",IF(D129="",0,D129*Productos!F129))</f>
        <v/>
      </c>
      <c r="H129" s="26" t="str">
        <f t="shared" si="3"/>
        <v/>
      </c>
      <c r="I129" t="str">
        <f>IF(A129="","",Productos!J129)</f>
        <v/>
      </c>
      <c r="L129" s="3"/>
      <c r="M129" s="5"/>
      <c r="N129" s="5"/>
      <c r="O129" s="5"/>
    </row>
    <row r="130" spans="1:15" hidden="1" x14ac:dyDescent="0.2">
      <c r="A130" s="18" t="str">
        <f>IF(Productos!A130="","",Productos!A130)</f>
        <v/>
      </c>
      <c r="B130" s="18" t="str">
        <f>IF(Productos!B130="","",Productos!B130)</f>
        <v/>
      </c>
      <c r="C130" s="18" t="str">
        <f>IF(Productos!$A130="","",Productos!H130)</f>
        <v/>
      </c>
      <c r="D130" s="18"/>
      <c r="E130" s="18" t="str">
        <f t="shared" si="2"/>
        <v/>
      </c>
      <c r="F130" s="26" t="str">
        <f>IF(A130="","",IF(D130="",0,D130*Productos!G130))</f>
        <v/>
      </c>
      <c r="G130" s="26" t="str">
        <f>IF(A130="","",IF(D130="",0,D130*Productos!F130))</f>
        <v/>
      </c>
      <c r="H130" s="26" t="str">
        <f t="shared" si="3"/>
        <v/>
      </c>
      <c r="I130" t="str">
        <f>IF(A130="","",Productos!J130)</f>
        <v/>
      </c>
      <c r="L130" s="3"/>
      <c r="M130" s="5"/>
      <c r="N130" s="5"/>
      <c r="O130" s="5"/>
    </row>
    <row r="131" spans="1:15" hidden="1" x14ac:dyDescent="0.2">
      <c r="A131" s="18" t="str">
        <f>IF(Productos!A131="","",Productos!A131)</f>
        <v/>
      </c>
      <c r="B131" s="18" t="str">
        <f>IF(Productos!B131="","",Productos!B131)</f>
        <v/>
      </c>
      <c r="C131" s="18" t="str">
        <f>IF(Productos!$A131="","",Productos!H131)</f>
        <v/>
      </c>
      <c r="D131" s="18"/>
      <c r="E131" s="18" t="str">
        <f t="shared" ref="E131:E194" si="4">IF(C131="","",C131-IF(D131="",0,D131))</f>
        <v/>
      </c>
      <c r="F131" s="26" t="str">
        <f>IF(A131="","",IF(D131="",0,D131*Productos!G131))</f>
        <v/>
      </c>
      <c r="G131" s="26" t="str">
        <f>IF(A131="","",IF(D131="",0,D131*Productos!F131))</f>
        <v/>
      </c>
      <c r="H131" s="26" t="str">
        <f t="shared" ref="H131:H194" si="5">IF(A131="","",F131-G131)</f>
        <v/>
      </c>
      <c r="I131" t="str">
        <f>IF(A131="","",Productos!J131)</f>
        <v/>
      </c>
      <c r="L131" s="3"/>
      <c r="M131" s="5"/>
      <c r="N131" s="5"/>
      <c r="O131" s="5"/>
    </row>
    <row r="132" spans="1:15" hidden="1" x14ac:dyDescent="0.2">
      <c r="A132" s="18" t="str">
        <f>IF(Productos!A132="","",Productos!A132)</f>
        <v/>
      </c>
      <c r="B132" s="18" t="str">
        <f>IF(Productos!B132="","",Productos!B132)</f>
        <v/>
      </c>
      <c r="C132" s="18" t="str">
        <f>IF(Productos!$A132="","",Productos!H132)</f>
        <v/>
      </c>
      <c r="D132" s="18"/>
      <c r="E132" s="18" t="str">
        <f t="shared" si="4"/>
        <v/>
      </c>
      <c r="F132" s="26" t="str">
        <f>IF(A132="","",IF(D132="",0,D132*Productos!G132))</f>
        <v/>
      </c>
      <c r="G132" s="26" t="str">
        <f>IF(A132="","",IF(D132="",0,D132*Productos!F132))</f>
        <v/>
      </c>
      <c r="H132" s="26" t="str">
        <f t="shared" si="5"/>
        <v/>
      </c>
      <c r="I132" t="str">
        <f>IF(A132="","",Productos!J132)</f>
        <v/>
      </c>
      <c r="L132" s="3"/>
      <c r="M132" s="5"/>
      <c r="N132" s="5"/>
      <c r="O132" s="5"/>
    </row>
    <row r="133" spans="1:15" hidden="1" x14ac:dyDescent="0.2">
      <c r="A133" s="18" t="str">
        <f>IF(Productos!A133="","",Productos!A133)</f>
        <v/>
      </c>
      <c r="B133" s="18" t="str">
        <f>IF(Productos!B133="","",Productos!B133)</f>
        <v/>
      </c>
      <c r="C133" s="18" t="str">
        <f>IF(Productos!$A133="","",Productos!H133)</f>
        <v/>
      </c>
      <c r="D133" s="18"/>
      <c r="E133" s="18" t="str">
        <f t="shared" si="4"/>
        <v/>
      </c>
      <c r="F133" s="26" t="str">
        <f>IF(A133="","",IF(D133="",0,D133*Productos!G133))</f>
        <v/>
      </c>
      <c r="G133" s="26" t="str">
        <f>IF(A133="","",IF(D133="",0,D133*Productos!F133))</f>
        <v/>
      </c>
      <c r="H133" s="26" t="str">
        <f t="shared" si="5"/>
        <v/>
      </c>
      <c r="I133" t="str">
        <f>IF(A133="","",Productos!J133)</f>
        <v/>
      </c>
      <c r="L133" s="3"/>
      <c r="M133" s="5"/>
      <c r="N133" s="5"/>
      <c r="O133" s="5"/>
    </row>
    <row r="134" spans="1:15" hidden="1" x14ac:dyDescent="0.2">
      <c r="A134" s="18" t="str">
        <f>IF(Productos!A134="","",Productos!A134)</f>
        <v/>
      </c>
      <c r="B134" s="18" t="str">
        <f>IF(Productos!B134="","",Productos!B134)</f>
        <v/>
      </c>
      <c r="C134" s="18" t="str">
        <f>IF(Productos!$A134="","",Productos!H134)</f>
        <v/>
      </c>
      <c r="D134" s="18"/>
      <c r="E134" s="18" t="str">
        <f t="shared" si="4"/>
        <v/>
      </c>
      <c r="F134" s="26" t="str">
        <f>IF(A134="","",IF(D134="",0,D134*Productos!G134))</f>
        <v/>
      </c>
      <c r="G134" s="26" t="str">
        <f>IF(A134="","",IF(D134="",0,D134*Productos!F134))</f>
        <v/>
      </c>
      <c r="H134" s="26" t="str">
        <f t="shared" si="5"/>
        <v/>
      </c>
      <c r="I134" t="str">
        <f>IF(A134="","",Productos!J134)</f>
        <v/>
      </c>
      <c r="L134" s="3"/>
      <c r="M134" s="5"/>
      <c r="N134" s="5"/>
      <c r="O134" s="5"/>
    </row>
    <row r="135" spans="1:15" hidden="1" x14ac:dyDescent="0.2">
      <c r="A135" s="18" t="str">
        <f>IF(Productos!A135="","",Productos!A135)</f>
        <v/>
      </c>
      <c r="B135" s="18" t="str">
        <f>IF(Productos!B135="","",Productos!B135)</f>
        <v/>
      </c>
      <c r="C135" s="18" t="str">
        <f>IF(Productos!$A135="","",Productos!H135)</f>
        <v/>
      </c>
      <c r="D135" s="18"/>
      <c r="E135" s="18" t="str">
        <f t="shared" si="4"/>
        <v/>
      </c>
      <c r="F135" s="26" t="str">
        <f>IF(A135="","",IF(D135="",0,D135*Productos!G135))</f>
        <v/>
      </c>
      <c r="G135" s="26" t="str">
        <f>IF(A135="","",IF(D135="",0,D135*Productos!F135))</f>
        <v/>
      </c>
      <c r="H135" s="26" t="str">
        <f t="shared" si="5"/>
        <v/>
      </c>
      <c r="I135" t="str">
        <f>IF(A135="","",Productos!J135)</f>
        <v/>
      </c>
      <c r="L135" s="3"/>
      <c r="M135" s="5"/>
      <c r="N135" s="5"/>
      <c r="O135" s="5"/>
    </row>
    <row r="136" spans="1:15" hidden="1" x14ac:dyDescent="0.2">
      <c r="A136" s="18" t="str">
        <f>IF(Productos!A136="","",Productos!A136)</f>
        <v/>
      </c>
      <c r="B136" s="18" t="str">
        <f>IF(Productos!B136="","",Productos!B136)</f>
        <v/>
      </c>
      <c r="C136" s="18" t="str">
        <f>IF(Productos!$A136="","",Productos!H136)</f>
        <v/>
      </c>
      <c r="D136" s="18"/>
      <c r="E136" s="18" t="str">
        <f t="shared" si="4"/>
        <v/>
      </c>
      <c r="F136" s="26" t="str">
        <f>IF(A136="","",IF(D136="",0,D136*Productos!G136))</f>
        <v/>
      </c>
      <c r="G136" s="26" t="str">
        <f>IF(A136="","",IF(D136="",0,D136*Productos!F136))</f>
        <v/>
      </c>
      <c r="H136" s="26" t="str">
        <f t="shared" si="5"/>
        <v/>
      </c>
      <c r="I136" t="str">
        <f>IF(A136="","",Productos!J136)</f>
        <v/>
      </c>
      <c r="L136" s="3"/>
      <c r="M136" s="5"/>
      <c r="N136" s="5"/>
      <c r="O136" s="5"/>
    </row>
    <row r="137" spans="1:15" hidden="1" x14ac:dyDescent="0.2">
      <c r="A137" s="18" t="str">
        <f>IF(Productos!A137="","",Productos!A137)</f>
        <v/>
      </c>
      <c r="B137" s="18" t="str">
        <f>IF(Productos!B137="","",Productos!B137)</f>
        <v/>
      </c>
      <c r="C137" s="18" t="str">
        <f>IF(Productos!$A137="","",Productos!H137)</f>
        <v/>
      </c>
      <c r="D137" s="18"/>
      <c r="E137" s="18" t="str">
        <f t="shared" si="4"/>
        <v/>
      </c>
      <c r="F137" s="26" t="str">
        <f>IF(A137="","",IF(D137="",0,D137*Productos!G137))</f>
        <v/>
      </c>
      <c r="G137" s="26" t="str">
        <f>IF(A137="","",IF(D137="",0,D137*Productos!F137))</f>
        <v/>
      </c>
      <c r="H137" s="26" t="str">
        <f t="shared" si="5"/>
        <v/>
      </c>
      <c r="I137" t="str">
        <f>IF(A137="","",Productos!J137)</f>
        <v/>
      </c>
      <c r="L137" s="3"/>
      <c r="M137" s="5"/>
      <c r="N137" s="5"/>
      <c r="O137" s="5"/>
    </row>
    <row r="138" spans="1:15" hidden="1" x14ac:dyDescent="0.2">
      <c r="A138" s="18" t="str">
        <f>IF(Productos!A138="","",Productos!A138)</f>
        <v/>
      </c>
      <c r="B138" s="18" t="str">
        <f>IF(Productos!B138="","",Productos!B138)</f>
        <v/>
      </c>
      <c r="C138" s="18" t="str">
        <f>IF(Productos!$A138="","",Productos!H138)</f>
        <v/>
      </c>
      <c r="D138" s="18"/>
      <c r="E138" s="18" t="str">
        <f t="shared" si="4"/>
        <v/>
      </c>
      <c r="F138" s="26" t="str">
        <f>IF(A138="","",IF(D138="",0,D138*Productos!G138))</f>
        <v/>
      </c>
      <c r="G138" s="26" t="str">
        <f>IF(A138="","",IF(D138="",0,D138*Productos!F138))</f>
        <v/>
      </c>
      <c r="H138" s="26" t="str">
        <f t="shared" si="5"/>
        <v/>
      </c>
      <c r="I138" t="str">
        <f>IF(A138="","",Productos!J138)</f>
        <v/>
      </c>
      <c r="L138" s="3"/>
      <c r="M138" s="5"/>
      <c r="N138" s="5"/>
      <c r="O138" s="5"/>
    </row>
    <row r="139" spans="1:15" hidden="1" x14ac:dyDescent="0.2">
      <c r="A139" s="18" t="str">
        <f>IF(Productos!A139="","",Productos!A139)</f>
        <v/>
      </c>
      <c r="B139" s="18" t="str">
        <f>IF(Productos!B139="","",Productos!B139)</f>
        <v/>
      </c>
      <c r="C139" s="18" t="str">
        <f>IF(Productos!$A139="","",Productos!H139)</f>
        <v/>
      </c>
      <c r="D139" s="18"/>
      <c r="E139" s="18" t="str">
        <f t="shared" si="4"/>
        <v/>
      </c>
      <c r="F139" s="26" t="str">
        <f>IF(A139="","",IF(D139="",0,D139*Productos!G139))</f>
        <v/>
      </c>
      <c r="G139" s="26" t="str">
        <f>IF(A139="","",IF(D139="",0,D139*Productos!F139))</f>
        <v/>
      </c>
      <c r="H139" s="26" t="str">
        <f t="shared" si="5"/>
        <v/>
      </c>
      <c r="I139" t="str">
        <f>IF(A139="","",Productos!J139)</f>
        <v/>
      </c>
      <c r="L139" s="3"/>
      <c r="M139" s="5"/>
      <c r="N139" s="5"/>
      <c r="O139" s="5"/>
    </row>
    <row r="140" spans="1:15" hidden="1" x14ac:dyDescent="0.2">
      <c r="A140" s="18" t="str">
        <f>IF(Productos!A140="","",Productos!A140)</f>
        <v/>
      </c>
      <c r="B140" s="18" t="str">
        <f>IF(Productos!B140="","",Productos!B140)</f>
        <v/>
      </c>
      <c r="C140" s="18" t="str">
        <f>IF(Productos!$A140="","",Productos!H140)</f>
        <v/>
      </c>
      <c r="D140" s="18"/>
      <c r="E140" s="18" t="str">
        <f t="shared" si="4"/>
        <v/>
      </c>
      <c r="F140" s="26" t="str">
        <f>IF(A140="","",IF(D140="",0,D140*Productos!G140))</f>
        <v/>
      </c>
      <c r="G140" s="26" t="str">
        <f>IF(A140="","",IF(D140="",0,D140*Productos!F140))</f>
        <v/>
      </c>
      <c r="H140" s="26" t="str">
        <f t="shared" si="5"/>
        <v/>
      </c>
      <c r="I140" t="str">
        <f>IF(A140="","",Productos!J140)</f>
        <v/>
      </c>
      <c r="L140" s="3"/>
      <c r="M140" s="5"/>
      <c r="N140" s="5"/>
      <c r="O140" s="5"/>
    </row>
    <row r="141" spans="1:15" hidden="1" x14ac:dyDescent="0.2">
      <c r="A141" s="18" t="str">
        <f>IF(Productos!A141="","",Productos!A141)</f>
        <v/>
      </c>
      <c r="B141" s="18" t="str">
        <f>IF(Productos!B141="","",Productos!B141)</f>
        <v/>
      </c>
      <c r="C141" s="18" t="str">
        <f>IF(Productos!$A141="","",Productos!H141)</f>
        <v/>
      </c>
      <c r="D141" s="18"/>
      <c r="E141" s="18" t="str">
        <f t="shared" si="4"/>
        <v/>
      </c>
      <c r="F141" s="26" t="str">
        <f>IF(A141="","",IF(D141="",0,D141*Productos!G141))</f>
        <v/>
      </c>
      <c r="G141" s="26" t="str">
        <f>IF(A141="","",IF(D141="",0,D141*Productos!F141))</f>
        <v/>
      </c>
      <c r="H141" s="26" t="str">
        <f t="shared" si="5"/>
        <v/>
      </c>
      <c r="I141" t="str">
        <f>IF(A141="","",Productos!J141)</f>
        <v/>
      </c>
      <c r="L141" s="3"/>
      <c r="M141" s="5"/>
      <c r="N141" s="5"/>
      <c r="O141" s="5"/>
    </row>
    <row r="142" spans="1:15" hidden="1" x14ac:dyDescent="0.2">
      <c r="A142" s="18" t="str">
        <f>IF(Productos!A142="","",Productos!A142)</f>
        <v/>
      </c>
      <c r="B142" s="18" t="str">
        <f>IF(Productos!B142="","",Productos!B142)</f>
        <v/>
      </c>
      <c r="C142" s="18" t="str">
        <f>IF(Productos!$A142="","",Productos!H142)</f>
        <v/>
      </c>
      <c r="D142" s="18"/>
      <c r="E142" s="18" t="str">
        <f t="shared" si="4"/>
        <v/>
      </c>
      <c r="F142" s="26" t="str">
        <f>IF(A142="","",IF(D142="",0,D142*Productos!G142))</f>
        <v/>
      </c>
      <c r="G142" s="26" t="str">
        <f>IF(A142="","",IF(D142="",0,D142*Productos!F142))</f>
        <v/>
      </c>
      <c r="H142" s="26" t="str">
        <f t="shared" si="5"/>
        <v/>
      </c>
      <c r="I142" t="str">
        <f>IF(A142="","",Productos!J142)</f>
        <v/>
      </c>
      <c r="L142" s="3"/>
      <c r="M142" s="5"/>
      <c r="N142" s="5"/>
      <c r="O142" s="5"/>
    </row>
    <row r="143" spans="1:15" hidden="1" x14ac:dyDescent="0.2">
      <c r="A143" s="18" t="str">
        <f>IF(Productos!A143="","",Productos!A143)</f>
        <v/>
      </c>
      <c r="B143" s="18" t="str">
        <f>IF(Productos!B143="","",Productos!B143)</f>
        <v/>
      </c>
      <c r="C143" s="18" t="str">
        <f>IF(Productos!$A143="","",Productos!H143)</f>
        <v/>
      </c>
      <c r="D143" s="18"/>
      <c r="E143" s="18" t="str">
        <f t="shared" si="4"/>
        <v/>
      </c>
      <c r="F143" s="26" t="str">
        <f>IF(A143="","",IF(D143="",0,D143*Productos!G143))</f>
        <v/>
      </c>
      <c r="G143" s="26" t="str">
        <f>IF(A143="","",IF(D143="",0,D143*Productos!F143))</f>
        <v/>
      </c>
      <c r="H143" s="26" t="str">
        <f t="shared" si="5"/>
        <v/>
      </c>
      <c r="I143" t="str">
        <f>IF(A143="","",Productos!J143)</f>
        <v/>
      </c>
      <c r="L143" s="3"/>
      <c r="M143" s="5"/>
      <c r="N143" s="5"/>
      <c r="O143" s="5"/>
    </row>
    <row r="144" spans="1:15" hidden="1" x14ac:dyDescent="0.2">
      <c r="A144" s="18" t="str">
        <f>IF(Productos!A144="","",Productos!A144)</f>
        <v/>
      </c>
      <c r="B144" s="18" t="str">
        <f>IF(Productos!B144="","",Productos!B144)</f>
        <v/>
      </c>
      <c r="C144" s="18" t="str">
        <f>IF(Productos!$A144="","",Productos!H144)</f>
        <v/>
      </c>
      <c r="D144" s="18"/>
      <c r="E144" s="18" t="str">
        <f t="shared" si="4"/>
        <v/>
      </c>
      <c r="F144" s="26" t="str">
        <f>IF(A144="","",IF(D144="",0,D144*Productos!G144))</f>
        <v/>
      </c>
      <c r="G144" s="26" t="str">
        <f>IF(A144="","",IF(D144="",0,D144*Productos!F144))</f>
        <v/>
      </c>
      <c r="H144" s="26" t="str">
        <f t="shared" si="5"/>
        <v/>
      </c>
      <c r="I144" t="str">
        <f>IF(A144="","",Productos!J144)</f>
        <v/>
      </c>
      <c r="L144" s="3"/>
      <c r="M144" s="5"/>
      <c r="N144" s="5"/>
      <c r="O144" s="5"/>
    </row>
    <row r="145" spans="1:15" hidden="1" x14ac:dyDescent="0.2">
      <c r="A145" s="18" t="str">
        <f>IF(Productos!A145="","",Productos!A145)</f>
        <v/>
      </c>
      <c r="B145" s="18" t="str">
        <f>IF(Productos!B145="","",Productos!B145)</f>
        <v/>
      </c>
      <c r="C145" s="18" t="str">
        <f>IF(Productos!$A145="","",Productos!H145)</f>
        <v/>
      </c>
      <c r="D145" s="18"/>
      <c r="E145" s="18" t="str">
        <f t="shared" si="4"/>
        <v/>
      </c>
      <c r="F145" s="26" t="str">
        <f>IF(A145="","",IF(D145="",0,D145*Productos!G145))</f>
        <v/>
      </c>
      <c r="G145" s="26" t="str">
        <f>IF(A145="","",IF(D145="",0,D145*Productos!F145))</f>
        <v/>
      </c>
      <c r="H145" s="26" t="str">
        <f t="shared" si="5"/>
        <v/>
      </c>
      <c r="I145" t="str">
        <f>IF(A145="","",Productos!J145)</f>
        <v/>
      </c>
      <c r="L145" s="3"/>
      <c r="M145" s="5"/>
      <c r="N145" s="5"/>
      <c r="O145" s="5"/>
    </row>
    <row r="146" spans="1:15" hidden="1" x14ac:dyDescent="0.2">
      <c r="A146" s="18" t="str">
        <f>IF(Productos!A146="","",Productos!A146)</f>
        <v/>
      </c>
      <c r="B146" s="18" t="str">
        <f>IF(Productos!B146="","",Productos!B146)</f>
        <v/>
      </c>
      <c r="C146" s="18" t="str">
        <f>IF(Productos!$A146="","",Productos!H146)</f>
        <v/>
      </c>
      <c r="D146" s="18"/>
      <c r="E146" s="18" t="str">
        <f t="shared" si="4"/>
        <v/>
      </c>
      <c r="F146" s="26" t="str">
        <f>IF(A146="","",IF(D146="",0,D146*Productos!G146))</f>
        <v/>
      </c>
      <c r="G146" s="26" t="str">
        <f>IF(A146="","",IF(D146="",0,D146*Productos!F146))</f>
        <v/>
      </c>
      <c r="H146" s="26" t="str">
        <f t="shared" si="5"/>
        <v/>
      </c>
      <c r="I146" t="str">
        <f>IF(A146="","",Productos!J146)</f>
        <v/>
      </c>
      <c r="L146" s="3"/>
      <c r="M146" s="5"/>
      <c r="N146" s="5"/>
      <c r="O146" s="5"/>
    </row>
    <row r="147" spans="1:15" hidden="1" x14ac:dyDescent="0.2">
      <c r="A147" s="18" t="str">
        <f>IF(Productos!A147="","",Productos!A147)</f>
        <v/>
      </c>
      <c r="B147" s="18" t="str">
        <f>IF(Productos!B147="","",Productos!B147)</f>
        <v/>
      </c>
      <c r="C147" s="18" t="str">
        <f>IF(Productos!$A147="","",Productos!H147)</f>
        <v/>
      </c>
      <c r="D147" s="18"/>
      <c r="E147" s="18" t="str">
        <f t="shared" si="4"/>
        <v/>
      </c>
      <c r="F147" s="26" t="str">
        <f>IF(A147="","",IF(D147="",0,D147*Productos!G147))</f>
        <v/>
      </c>
      <c r="G147" s="26" t="str">
        <f>IF(A147="","",IF(D147="",0,D147*Productos!F147))</f>
        <v/>
      </c>
      <c r="H147" s="26" t="str">
        <f t="shared" si="5"/>
        <v/>
      </c>
      <c r="I147" t="str">
        <f>IF(A147="","",Productos!J147)</f>
        <v/>
      </c>
      <c r="L147" s="3"/>
      <c r="M147" s="5"/>
      <c r="N147" s="5"/>
      <c r="O147" s="5"/>
    </row>
    <row r="148" spans="1:15" hidden="1" x14ac:dyDescent="0.2">
      <c r="A148" s="18" t="str">
        <f>IF(Productos!A148="","",Productos!A148)</f>
        <v/>
      </c>
      <c r="B148" s="18" t="str">
        <f>IF(Productos!B148="","",Productos!B148)</f>
        <v/>
      </c>
      <c r="C148" s="18" t="str">
        <f>IF(Productos!$A148="","",Productos!H148)</f>
        <v/>
      </c>
      <c r="D148" s="18"/>
      <c r="E148" s="18" t="str">
        <f t="shared" si="4"/>
        <v/>
      </c>
      <c r="F148" s="26" t="str">
        <f>IF(A148="","",IF(D148="",0,D148*Productos!G148))</f>
        <v/>
      </c>
      <c r="G148" s="26" t="str">
        <f>IF(A148="","",IF(D148="",0,D148*Productos!F148))</f>
        <v/>
      </c>
      <c r="H148" s="26" t="str">
        <f t="shared" si="5"/>
        <v/>
      </c>
      <c r="I148" t="str">
        <f>IF(A148="","",Productos!J148)</f>
        <v/>
      </c>
      <c r="L148" s="3"/>
      <c r="M148" s="5"/>
      <c r="N148" s="5"/>
      <c r="O148" s="5"/>
    </row>
    <row r="149" spans="1:15" hidden="1" x14ac:dyDescent="0.2">
      <c r="A149" s="18" t="str">
        <f>IF(Productos!A149="","",Productos!A149)</f>
        <v/>
      </c>
      <c r="B149" s="18" t="str">
        <f>IF(Productos!B149="","",Productos!B149)</f>
        <v/>
      </c>
      <c r="C149" s="18" t="str">
        <f>IF(Productos!$A149="","",Productos!H149)</f>
        <v/>
      </c>
      <c r="D149" s="18"/>
      <c r="E149" s="18" t="str">
        <f t="shared" si="4"/>
        <v/>
      </c>
      <c r="F149" s="26" t="str">
        <f>IF(A149="","",IF(D149="",0,D149*Productos!G149))</f>
        <v/>
      </c>
      <c r="G149" s="26" t="str">
        <f>IF(A149="","",IF(D149="",0,D149*Productos!F149))</f>
        <v/>
      </c>
      <c r="H149" s="26" t="str">
        <f t="shared" si="5"/>
        <v/>
      </c>
      <c r="I149" t="str">
        <f>IF(A149="","",Productos!J149)</f>
        <v/>
      </c>
      <c r="L149" s="3"/>
      <c r="M149" s="5"/>
      <c r="N149" s="5"/>
      <c r="O149" s="5"/>
    </row>
    <row r="150" spans="1:15" hidden="1" x14ac:dyDescent="0.2">
      <c r="A150" s="18" t="str">
        <f>IF(Productos!A150="","",Productos!A150)</f>
        <v/>
      </c>
      <c r="B150" s="18" t="str">
        <f>IF(Productos!B150="","",Productos!B150)</f>
        <v/>
      </c>
      <c r="C150" s="18" t="str">
        <f>IF(Productos!$A150="","",Productos!H150)</f>
        <v/>
      </c>
      <c r="D150" s="18"/>
      <c r="E150" s="18" t="str">
        <f t="shared" si="4"/>
        <v/>
      </c>
      <c r="F150" s="26" t="str">
        <f>IF(A150="","",IF(D150="",0,D150*Productos!G150))</f>
        <v/>
      </c>
      <c r="G150" s="26" t="str">
        <f>IF(A150="","",IF(D150="",0,D150*Productos!F150))</f>
        <v/>
      </c>
      <c r="H150" s="26" t="str">
        <f t="shared" si="5"/>
        <v/>
      </c>
      <c r="I150" t="str">
        <f>IF(A150="","",Productos!J150)</f>
        <v/>
      </c>
      <c r="L150" s="3"/>
      <c r="M150" s="5"/>
      <c r="N150" s="5"/>
      <c r="O150" s="5"/>
    </row>
    <row r="151" spans="1:15" hidden="1" x14ac:dyDescent="0.2">
      <c r="A151" s="18" t="str">
        <f>IF(Productos!A151="","",Productos!A151)</f>
        <v/>
      </c>
      <c r="B151" s="18" t="str">
        <f>IF(Productos!B151="","",Productos!B151)</f>
        <v/>
      </c>
      <c r="C151" s="18" t="str">
        <f>IF(Productos!$A151="","",Productos!H151)</f>
        <v/>
      </c>
      <c r="D151" s="18"/>
      <c r="E151" s="18" t="str">
        <f t="shared" si="4"/>
        <v/>
      </c>
      <c r="F151" s="26" t="str">
        <f>IF(A151="","",IF(D151="",0,D151*Productos!G151))</f>
        <v/>
      </c>
      <c r="G151" s="26" t="str">
        <f>IF(A151="","",IF(D151="",0,D151*Productos!F151))</f>
        <v/>
      </c>
      <c r="H151" s="26" t="str">
        <f t="shared" si="5"/>
        <v/>
      </c>
      <c r="I151" t="str">
        <f>IF(A151="","",Productos!J151)</f>
        <v/>
      </c>
      <c r="L151" s="3"/>
      <c r="M151" s="5"/>
      <c r="N151" s="5"/>
      <c r="O151" s="5"/>
    </row>
    <row r="152" spans="1:15" hidden="1" x14ac:dyDescent="0.2">
      <c r="A152" s="18" t="str">
        <f>IF(Productos!A152="","",Productos!A152)</f>
        <v/>
      </c>
      <c r="B152" s="18" t="str">
        <f>IF(Productos!B152="","",Productos!B152)</f>
        <v/>
      </c>
      <c r="C152" s="18" t="str">
        <f>IF(Productos!$A152="","",Productos!H152)</f>
        <v/>
      </c>
      <c r="D152" s="18"/>
      <c r="E152" s="18" t="str">
        <f t="shared" si="4"/>
        <v/>
      </c>
      <c r="F152" s="26" t="str">
        <f>IF(A152="","",IF(D152="",0,D152*Productos!G152))</f>
        <v/>
      </c>
      <c r="G152" s="26" t="str">
        <f>IF(A152="","",IF(D152="",0,D152*Productos!F152))</f>
        <v/>
      </c>
      <c r="H152" s="26" t="str">
        <f t="shared" si="5"/>
        <v/>
      </c>
      <c r="I152" t="str">
        <f>IF(A152="","",Productos!J152)</f>
        <v/>
      </c>
      <c r="L152" s="3"/>
      <c r="M152" s="5"/>
      <c r="N152" s="5"/>
      <c r="O152" s="5"/>
    </row>
    <row r="153" spans="1:15" hidden="1" x14ac:dyDescent="0.2">
      <c r="A153" s="18" t="str">
        <f>IF(Productos!A153="","",Productos!A153)</f>
        <v/>
      </c>
      <c r="B153" s="18" t="str">
        <f>IF(Productos!B153="","",Productos!B153)</f>
        <v/>
      </c>
      <c r="C153" s="18" t="str">
        <f>IF(Productos!$A153="","",Productos!H153)</f>
        <v/>
      </c>
      <c r="D153" s="18"/>
      <c r="E153" s="18" t="str">
        <f t="shared" si="4"/>
        <v/>
      </c>
      <c r="F153" s="26" t="str">
        <f>IF(A153="","",IF(D153="",0,D153*Productos!G153))</f>
        <v/>
      </c>
      <c r="G153" s="26" t="str">
        <f>IF(A153="","",IF(D153="",0,D153*Productos!F153))</f>
        <v/>
      </c>
      <c r="H153" s="26" t="str">
        <f t="shared" si="5"/>
        <v/>
      </c>
      <c r="I153" t="str">
        <f>IF(A153="","",Productos!J153)</f>
        <v/>
      </c>
      <c r="L153" s="3"/>
      <c r="M153" s="5"/>
      <c r="N153" s="5"/>
      <c r="O153" s="5"/>
    </row>
    <row r="154" spans="1:15" hidden="1" x14ac:dyDescent="0.2">
      <c r="A154" s="18" t="str">
        <f>IF(Productos!A154="","",Productos!A154)</f>
        <v/>
      </c>
      <c r="B154" s="18" t="str">
        <f>IF(Productos!B154="","",Productos!B154)</f>
        <v/>
      </c>
      <c r="C154" s="18" t="str">
        <f>IF(Productos!$A154="","",Productos!H154)</f>
        <v/>
      </c>
      <c r="D154" s="18"/>
      <c r="E154" s="18" t="str">
        <f t="shared" si="4"/>
        <v/>
      </c>
      <c r="F154" s="26" t="str">
        <f>IF(A154="","",IF(D154="",0,D154*Productos!G154))</f>
        <v/>
      </c>
      <c r="G154" s="26" t="str">
        <f>IF(A154="","",IF(D154="",0,D154*Productos!F154))</f>
        <v/>
      </c>
      <c r="H154" s="26" t="str">
        <f t="shared" si="5"/>
        <v/>
      </c>
      <c r="I154" t="str">
        <f>IF(A154="","",Productos!J154)</f>
        <v/>
      </c>
      <c r="L154" s="3"/>
      <c r="M154" s="5"/>
      <c r="N154" s="5"/>
      <c r="O154" s="5"/>
    </row>
    <row r="155" spans="1:15" hidden="1" x14ac:dyDescent="0.2">
      <c r="A155" s="18" t="str">
        <f>IF(Productos!A155="","",Productos!A155)</f>
        <v/>
      </c>
      <c r="B155" s="18" t="str">
        <f>IF(Productos!B155="","",Productos!B155)</f>
        <v/>
      </c>
      <c r="C155" s="18" t="str">
        <f>IF(Productos!$A155="","",Productos!H155)</f>
        <v/>
      </c>
      <c r="D155" s="18"/>
      <c r="E155" s="18" t="str">
        <f t="shared" si="4"/>
        <v/>
      </c>
      <c r="F155" s="26" t="str">
        <f>IF(A155="","",IF(D155="",0,D155*Productos!G155))</f>
        <v/>
      </c>
      <c r="G155" s="26" t="str">
        <f>IF(A155="","",IF(D155="",0,D155*Productos!F155))</f>
        <v/>
      </c>
      <c r="H155" s="26" t="str">
        <f t="shared" si="5"/>
        <v/>
      </c>
      <c r="I155" t="str">
        <f>IF(A155="","",Productos!J155)</f>
        <v/>
      </c>
      <c r="L155" s="3"/>
      <c r="M155" s="5"/>
      <c r="N155" s="5"/>
      <c r="O155" s="5"/>
    </row>
    <row r="156" spans="1:15" hidden="1" x14ac:dyDescent="0.2">
      <c r="A156" s="18" t="str">
        <f>IF(Productos!A156="","",Productos!A156)</f>
        <v/>
      </c>
      <c r="B156" s="18" t="str">
        <f>IF(Productos!B156="","",Productos!B156)</f>
        <v/>
      </c>
      <c r="C156" s="18" t="str">
        <f>IF(Productos!$A156="","",Productos!H156)</f>
        <v/>
      </c>
      <c r="D156" s="18"/>
      <c r="E156" s="18" t="str">
        <f t="shared" si="4"/>
        <v/>
      </c>
      <c r="F156" s="26" t="str">
        <f>IF(A156="","",IF(D156="",0,D156*Productos!G156))</f>
        <v/>
      </c>
      <c r="G156" s="26" t="str">
        <f>IF(A156="","",IF(D156="",0,D156*Productos!F156))</f>
        <v/>
      </c>
      <c r="H156" s="26" t="str">
        <f t="shared" si="5"/>
        <v/>
      </c>
      <c r="I156" t="str">
        <f>IF(A156="","",Productos!J156)</f>
        <v/>
      </c>
      <c r="L156" s="3"/>
      <c r="M156" s="5"/>
      <c r="N156" s="5"/>
      <c r="O156" s="5"/>
    </row>
    <row r="157" spans="1:15" hidden="1" x14ac:dyDescent="0.2">
      <c r="A157" s="18" t="str">
        <f>IF(Productos!A157="","",Productos!A157)</f>
        <v/>
      </c>
      <c r="B157" s="18" t="str">
        <f>IF(Productos!B157="","",Productos!B157)</f>
        <v/>
      </c>
      <c r="C157" s="18" t="str">
        <f>IF(Productos!$A157="","",Productos!H157)</f>
        <v/>
      </c>
      <c r="D157" s="18"/>
      <c r="E157" s="18" t="str">
        <f t="shared" si="4"/>
        <v/>
      </c>
      <c r="F157" s="26" t="str">
        <f>IF(A157="","",IF(D157="",0,D157*Productos!G157))</f>
        <v/>
      </c>
      <c r="G157" s="26" t="str">
        <f>IF(A157="","",IF(D157="",0,D157*Productos!F157))</f>
        <v/>
      </c>
      <c r="H157" s="26" t="str">
        <f t="shared" si="5"/>
        <v/>
      </c>
      <c r="I157" t="str">
        <f>IF(A157="","",Productos!J157)</f>
        <v/>
      </c>
      <c r="L157" s="3"/>
      <c r="M157" s="5"/>
      <c r="N157" s="5"/>
      <c r="O157" s="5"/>
    </row>
    <row r="158" spans="1:15" hidden="1" x14ac:dyDescent="0.2">
      <c r="A158" s="18" t="str">
        <f>IF(Productos!A158="","",Productos!A158)</f>
        <v/>
      </c>
      <c r="B158" s="18" t="str">
        <f>IF(Productos!B158="","",Productos!B158)</f>
        <v/>
      </c>
      <c r="C158" s="18" t="str">
        <f>IF(Productos!$A158="","",Productos!H158)</f>
        <v/>
      </c>
      <c r="D158" s="18"/>
      <c r="E158" s="18" t="str">
        <f t="shared" si="4"/>
        <v/>
      </c>
      <c r="F158" s="26" t="str">
        <f>IF(A158="","",IF(D158="",0,D158*Productos!G158))</f>
        <v/>
      </c>
      <c r="G158" s="26" t="str">
        <f>IF(A158="","",IF(D158="",0,D158*Productos!F158))</f>
        <v/>
      </c>
      <c r="H158" s="26" t="str">
        <f t="shared" si="5"/>
        <v/>
      </c>
      <c r="I158" t="str">
        <f>IF(A158="","",Productos!J158)</f>
        <v/>
      </c>
      <c r="L158" s="3"/>
      <c r="M158" s="5"/>
      <c r="N158" s="5"/>
      <c r="O158" s="5"/>
    </row>
    <row r="159" spans="1:15" hidden="1" x14ac:dyDescent="0.2">
      <c r="A159" s="18" t="str">
        <f>IF(Productos!A159="","",Productos!A159)</f>
        <v/>
      </c>
      <c r="B159" s="18" t="str">
        <f>IF(Productos!B159="","",Productos!B159)</f>
        <v/>
      </c>
      <c r="C159" s="18" t="str">
        <f>IF(Productos!$A159="","",Productos!H159)</f>
        <v/>
      </c>
      <c r="D159" s="18"/>
      <c r="E159" s="18" t="str">
        <f t="shared" si="4"/>
        <v/>
      </c>
      <c r="F159" s="26" t="str">
        <f>IF(A159="","",IF(D159="",0,D159*Productos!G159))</f>
        <v/>
      </c>
      <c r="G159" s="26" t="str">
        <f>IF(A159="","",IF(D159="",0,D159*Productos!F159))</f>
        <v/>
      </c>
      <c r="H159" s="26" t="str">
        <f t="shared" si="5"/>
        <v/>
      </c>
      <c r="I159" t="str">
        <f>IF(A159="","",Productos!J159)</f>
        <v/>
      </c>
      <c r="L159" s="3"/>
      <c r="M159" s="5"/>
      <c r="N159" s="5"/>
      <c r="O159" s="5"/>
    </row>
    <row r="160" spans="1:15" hidden="1" x14ac:dyDescent="0.2">
      <c r="A160" s="18" t="str">
        <f>IF(Productos!A160="","",Productos!A160)</f>
        <v/>
      </c>
      <c r="B160" s="18" t="str">
        <f>IF(Productos!B160="","",Productos!B160)</f>
        <v/>
      </c>
      <c r="C160" s="18" t="str">
        <f>IF(Productos!$A160="","",Productos!H160)</f>
        <v/>
      </c>
      <c r="D160" s="18"/>
      <c r="E160" s="18" t="str">
        <f t="shared" si="4"/>
        <v/>
      </c>
      <c r="F160" s="26" t="str">
        <f>IF(A160="","",IF(D160="",0,D160*Productos!G160))</f>
        <v/>
      </c>
      <c r="G160" s="26" t="str">
        <f>IF(A160="","",IF(D160="",0,D160*Productos!F160))</f>
        <v/>
      </c>
      <c r="H160" s="26" t="str">
        <f t="shared" si="5"/>
        <v/>
      </c>
      <c r="I160" t="str">
        <f>IF(A160="","",Productos!J160)</f>
        <v/>
      </c>
      <c r="L160" s="3"/>
      <c r="M160" s="5"/>
      <c r="N160" s="5"/>
      <c r="O160" s="5"/>
    </row>
    <row r="161" spans="1:15" hidden="1" x14ac:dyDescent="0.2">
      <c r="A161" s="18" t="str">
        <f>IF(Productos!A161="","",Productos!A161)</f>
        <v/>
      </c>
      <c r="B161" s="18" t="str">
        <f>IF(Productos!B161="","",Productos!B161)</f>
        <v/>
      </c>
      <c r="C161" s="18" t="str">
        <f>IF(Productos!$A161="","",Productos!H161)</f>
        <v/>
      </c>
      <c r="D161" s="18"/>
      <c r="E161" s="18" t="str">
        <f t="shared" si="4"/>
        <v/>
      </c>
      <c r="F161" s="26" t="str">
        <f>IF(A161="","",IF(D161="",0,D161*Productos!G161))</f>
        <v/>
      </c>
      <c r="G161" s="26" t="str">
        <f>IF(A161="","",IF(D161="",0,D161*Productos!F161))</f>
        <v/>
      </c>
      <c r="H161" s="26" t="str">
        <f t="shared" si="5"/>
        <v/>
      </c>
      <c r="I161" t="str">
        <f>IF(A161="","",Productos!J161)</f>
        <v/>
      </c>
      <c r="L161" s="3"/>
      <c r="M161" s="5"/>
      <c r="N161" s="5"/>
      <c r="O161" s="5"/>
    </row>
    <row r="162" spans="1:15" hidden="1" x14ac:dyDescent="0.2">
      <c r="A162" s="18" t="str">
        <f>IF(Productos!A162="","",Productos!A162)</f>
        <v/>
      </c>
      <c r="B162" s="18" t="str">
        <f>IF(Productos!B162="","",Productos!B162)</f>
        <v/>
      </c>
      <c r="C162" s="18" t="str">
        <f>IF(Productos!$A162="","",Productos!H162)</f>
        <v/>
      </c>
      <c r="D162" s="18"/>
      <c r="E162" s="18" t="str">
        <f t="shared" si="4"/>
        <v/>
      </c>
      <c r="F162" s="26" t="str">
        <f>IF(A162="","",IF(D162="",0,D162*Productos!G162))</f>
        <v/>
      </c>
      <c r="G162" s="26" t="str">
        <f>IF(A162="","",IF(D162="",0,D162*Productos!F162))</f>
        <v/>
      </c>
      <c r="H162" s="26" t="str">
        <f t="shared" si="5"/>
        <v/>
      </c>
      <c r="I162" t="str">
        <f>IF(A162="","",Productos!J162)</f>
        <v/>
      </c>
      <c r="L162" s="3"/>
      <c r="M162" s="5"/>
      <c r="N162" s="5"/>
      <c r="O162" s="5"/>
    </row>
    <row r="163" spans="1:15" hidden="1" x14ac:dyDescent="0.2">
      <c r="A163" s="18" t="str">
        <f>IF(Productos!A163="","",Productos!A163)</f>
        <v/>
      </c>
      <c r="B163" s="18" t="str">
        <f>IF(Productos!B163="","",Productos!B163)</f>
        <v/>
      </c>
      <c r="C163" s="18" t="str">
        <f>IF(Productos!$A163="","",Productos!H163)</f>
        <v/>
      </c>
      <c r="D163" s="18"/>
      <c r="E163" s="18" t="str">
        <f t="shared" si="4"/>
        <v/>
      </c>
      <c r="F163" s="26" t="str">
        <f>IF(A163="","",IF(D163="",0,D163*Productos!G163))</f>
        <v/>
      </c>
      <c r="G163" s="26" t="str">
        <f>IF(A163="","",IF(D163="",0,D163*Productos!F163))</f>
        <v/>
      </c>
      <c r="H163" s="26" t="str">
        <f t="shared" si="5"/>
        <v/>
      </c>
      <c r="I163" t="str">
        <f>IF(A163="","",Productos!J163)</f>
        <v/>
      </c>
      <c r="L163" s="3"/>
      <c r="M163" s="5"/>
      <c r="N163" s="5"/>
      <c r="O163" s="5"/>
    </row>
    <row r="164" spans="1:15" hidden="1" x14ac:dyDescent="0.2">
      <c r="A164" s="18" t="str">
        <f>IF(Productos!A164="","",Productos!A164)</f>
        <v/>
      </c>
      <c r="B164" s="18" t="str">
        <f>IF(Productos!B164="","",Productos!B164)</f>
        <v/>
      </c>
      <c r="C164" s="18" t="str">
        <f>IF(Productos!$A164="","",Productos!H164)</f>
        <v/>
      </c>
      <c r="D164" s="18"/>
      <c r="E164" s="18" t="str">
        <f t="shared" si="4"/>
        <v/>
      </c>
      <c r="F164" s="26" t="str">
        <f>IF(A164="","",IF(D164="",0,D164*Productos!G164))</f>
        <v/>
      </c>
      <c r="G164" s="26" t="str">
        <f>IF(A164="","",IF(D164="",0,D164*Productos!F164))</f>
        <v/>
      </c>
      <c r="H164" s="26" t="str">
        <f t="shared" si="5"/>
        <v/>
      </c>
      <c r="I164" t="str">
        <f>IF(A164="","",Productos!J164)</f>
        <v/>
      </c>
      <c r="L164" s="3"/>
      <c r="M164" s="5"/>
      <c r="N164" s="5"/>
      <c r="O164" s="5"/>
    </row>
    <row r="165" spans="1:15" hidden="1" x14ac:dyDescent="0.2">
      <c r="A165" s="18" t="str">
        <f>IF(Productos!A165="","",Productos!A165)</f>
        <v/>
      </c>
      <c r="B165" s="18" t="str">
        <f>IF(Productos!B165="","",Productos!B165)</f>
        <v/>
      </c>
      <c r="C165" s="18" t="str">
        <f>IF(Productos!$A165="","",Productos!H165)</f>
        <v/>
      </c>
      <c r="D165" s="18"/>
      <c r="E165" s="18" t="str">
        <f t="shared" si="4"/>
        <v/>
      </c>
      <c r="F165" s="26" t="str">
        <f>IF(A165="","",IF(D165="",0,D165*Productos!G165))</f>
        <v/>
      </c>
      <c r="G165" s="26" t="str">
        <f>IF(A165="","",IF(D165="",0,D165*Productos!F165))</f>
        <v/>
      </c>
      <c r="H165" s="26" t="str">
        <f t="shared" si="5"/>
        <v/>
      </c>
      <c r="I165" t="str">
        <f>IF(A165="","",Productos!J165)</f>
        <v/>
      </c>
      <c r="L165" s="3"/>
      <c r="M165" s="5"/>
      <c r="N165" s="5"/>
      <c r="O165" s="5"/>
    </row>
    <row r="166" spans="1:15" hidden="1" x14ac:dyDescent="0.2">
      <c r="A166" s="18" t="str">
        <f>IF(Productos!A166="","",Productos!A166)</f>
        <v/>
      </c>
      <c r="B166" s="18" t="str">
        <f>IF(Productos!B166="","",Productos!B166)</f>
        <v/>
      </c>
      <c r="C166" s="18" t="str">
        <f>IF(Productos!$A166="","",Productos!H166)</f>
        <v/>
      </c>
      <c r="D166" s="18"/>
      <c r="E166" s="18" t="str">
        <f t="shared" si="4"/>
        <v/>
      </c>
      <c r="F166" s="26" t="str">
        <f>IF(A166="","",IF(D166="",0,D166*Productos!G166))</f>
        <v/>
      </c>
      <c r="G166" s="26" t="str">
        <f>IF(A166="","",IF(D166="",0,D166*Productos!F166))</f>
        <v/>
      </c>
      <c r="H166" s="26" t="str">
        <f t="shared" si="5"/>
        <v/>
      </c>
      <c r="I166" t="str">
        <f>IF(A166="","",Productos!J166)</f>
        <v/>
      </c>
      <c r="L166" s="3"/>
      <c r="M166" s="5"/>
      <c r="N166" s="5"/>
      <c r="O166" s="5"/>
    </row>
    <row r="167" spans="1:15" hidden="1" x14ac:dyDescent="0.2">
      <c r="A167" s="18" t="str">
        <f>IF(Productos!A167="","",Productos!A167)</f>
        <v/>
      </c>
      <c r="B167" s="18" t="str">
        <f>IF(Productos!B167="","",Productos!B167)</f>
        <v/>
      </c>
      <c r="C167" s="18" t="str">
        <f>IF(Productos!$A167="","",Productos!H167)</f>
        <v/>
      </c>
      <c r="D167" s="18"/>
      <c r="E167" s="18" t="str">
        <f t="shared" si="4"/>
        <v/>
      </c>
      <c r="F167" s="26" t="str">
        <f>IF(A167="","",IF(D167="",0,D167*Productos!G167))</f>
        <v/>
      </c>
      <c r="G167" s="26" t="str">
        <f>IF(A167="","",IF(D167="",0,D167*Productos!F167))</f>
        <v/>
      </c>
      <c r="H167" s="26" t="str">
        <f t="shared" si="5"/>
        <v/>
      </c>
      <c r="I167" t="str">
        <f>IF(A167="","",Productos!J167)</f>
        <v/>
      </c>
      <c r="L167" s="3"/>
      <c r="M167" s="5"/>
      <c r="N167" s="5"/>
      <c r="O167" s="5"/>
    </row>
    <row r="168" spans="1:15" hidden="1" x14ac:dyDescent="0.2">
      <c r="A168" s="18" t="str">
        <f>IF(Productos!A168="","",Productos!A168)</f>
        <v/>
      </c>
      <c r="B168" s="18" t="str">
        <f>IF(Productos!B168="","",Productos!B168)</f>
        <v/>
      </c>
      <c r="C168" s="18" t="str">
        <f>IF(Productos!$A168="","",Productos!H168)</f>
        <v/>
      </c>
      <c r="D168" s="18"/>
      <c r="E168" s="18" t="str">
        <f t="shared" si="4"/>
        <v/>
      </c>
      <c r="F168" s="26" t="str">
        <f>IF(A168="","",IF(D168="",0,D168*Productos!G168))</f>
        <v/>
      </c>
      <c r="G168" s="26" t="str">
        <f>IF(A168="","",IF(D168="",0,D168*Productos!F168))</f>
        <v/>
      </c>
      <c r="H168" s="26" t="str">
        <f t="shared" si="5"/>
        <v/>
      </c>
      <c r="I168" t="str">
        <f>IF(A168="","",Productos!J168)</f>
        <v/>
      </c>
      <c r="L168" s="3"/>
      <c r="M168" s="5"/>
      <c r="N168" s="5"/>
      <c r="O168" s="5"/>
    </row>
    <row r="169" spans="1:15" hidden="1" x14ac:dyDescent="0.2">
      <c r="A169" s="18" t="str">
        <f>IF(Productos!A169="","",Productos!A169)</f>
        <v/>
      </c>
      <c r="B169" s="18" t="str">
        <f>IF(Productos!B169="","",Productos!B169)</f>
        <v/>
      </c>
      <c r="C169" s="18" t="str">
        <f>IF(Productos!$A169="","",Productos!H169)</f>
        <v/>
      </c>
      <c r="D169" s="18"/>
      <c r="E169" s="18" t="str">
        <f t="shared" si="4"/>
        <v/>
      </c>
      <c r="F169" s="26" t="str">
        <f>IF(A169="","",IF(D169="",0,D169*Productos!G169))</f>
        <v/>
      </c>
      <c r="G169" s="26" t="str">
        <f>IF(A169="","",IF(D169="",0,D169*Productos!F169))</f>
        <v/>
      </c>
      <c r="H169" s="26" t="str">
        <f t="shared" si="5"/>
        <v/>
      </c>
      <c r="I169" t="str">
        <f>IF(A169="","",Productos!J169)</f>
        <v/>
      </c>
      <c r="L169" s="3"/>
      <c r="M169" s="5"/>
      <c r="N169" s="5"/>
      <c r="O169" s="5"/>
    </row>
    <row r="170" spans="1:15" hidden="1" x14ac:dyDescent="0.2">
      <c r="A170" s="18" t="str">
        <f>IF(Productos!A170="","",Productos!A170)</f>
        <v/>
      </c>
      <c r="B170" s="18" t="str">
        <f>IF(Productos!B170="","",Productos!B170)</f>
        <v/>
      </c>
      <c r="C170" s="18" t="str">
        <f>IF(Productos!$A170="","",Productos!H170)</f>
        <v/>
      </c>
      <c r="D170" s="18"/>
      <c r="E170" s="18" t="str">
        <f t="shared" si="4"/>
        <v/>
      </c>
      <c r="F170" s="26" t="str">
        <f>IF(A170="","",IF(D170="",0,D170*Productos!G170))</f>
        <v/>
      </c>
      <c r="G170" s="26" t="str">
        <f>IF(A170="","",IF(D170="",0,D170*Productos!F170))</f>
        <v/>
      </c>
      <c r="H170" s="26" t="str">
        <f t="shared" si="5"/>
        <v/>
      </c>
      <c r="I170" t="str">
        <f>IF(A170="","",Productos!J170)</f>
        <v/>
      </c>
      <c r="L170" s="3"/>
      <c r="M170" s="5"/>
      <c r="N170" s="5"/>
      <c r="O170" s="5"/>
    </row>
    <row r="171" spans="1:15" hidden="1" x14ac:dyDescent="0.2">
      <c r="A171" s="18" t="str">
        <f>IF(Productos!A171="","",Productos!A171)</f>
        <v/>
      </c>
      <c r="B171" s="18" t="str">
        <f>IF(Productos!B171="","",Productos!B171)</f>
        <v/>
      </c>
      <c r="C171" s="18" t="str">
        <f>IF(Productos!$A171="","",Productos!H171)</f>
        <v/>
      </c>
      <c r="D171" s="18"/>
      <c r="E171" s="18" t="str">
        <f t="shared" si="4"/>
        <v/>
      </c>
      <c r="F171" s="26" t="str">
        <f>IF(A171="","",IF(D171="",0,D171*Productos!G171))</f>
        <v/>
      </c>
      <c r="G171" s="26" t="str">
        <f>IF(A171="","",IF(D171="",0,D171*Productos!F171))</f>
        <v/>
      </c>
      <c r="H171" s="26" t="str">
        <f t="shared" si="5"/>
        <v/>
      </c>
      <c r="I171" t="str">
        <f>IF(A171="","",Productos!J171)</f>
        <v/>
      </c>
      <c r="L171" s="3"/>
      <c r="M171" s="5"/>
      <c r="N171" s="5"/>
      <c r="O171" s="5"/>
    </row>
    <row r="172" spans="1:15" hidden="1" x14ac:dyDescent="0.2">
      <c r="A172" s="18" t="str">
        <f>IF(Productos!A172="","",Productos!A172)</f>
        <v/>
      </c>
      <c r="B172" s="18" t="str">
        <f>IF(Productos!B172="","",Productos!B172)</f>
        <v/>
      </c>
      <c r="C172" s="18" t="str">
        <f>IF(Productos!$A172="","",Productos!H172)</f>
        <v/>
      </c>
      <c r="D172" s="18"/>
      <c r="E172" s="18" t="str">
        <f t="shared" si="4"/>
        <v/>
      </c>
      <c r="F172" s="26" t="str">
        <f>IF(A172="","",IF(D172="",0,D172*Productos!G172))</f>
        <v/>
      </c>
      <c r="G172" s="26" t="str">
        <f>IF(A172="","",IF(D172="",0,D172*Productos!F172))</f>
        <v/>
      </c>
      <c r="H172" s="26" t="str">
        <f t="shared" si="5"/>
        <v/>
      </c>
      <c r="I172" t="str">
        <f>IF(A172="","",Productos!J172)</f>
        <v/>
      </c>
      <c r="L172" s="3"/>
      <c r="M172" s="5"/>
      <c r="N172" s="5"/>
      <c r="O172" s="5"/>
    </row>
    <row r="173" spans="1:15" hidden="1" x14ac:dyDescent="0.2">
      <c r="A173" s="18" t="str">
        <f>IF(Productos!A173="","",Productos!A173)</f>
        <v/>
      </c>
      <c r="B173" s="18" t="str">
        <f>IF(Productos!B173="","",Productos!B173)</f>
        <v/>
      </c>
      <c r="C173" s="18" t="str">
        <f>IF(Productos!$A173="","",Productos!H173)</f>
        <v/>
      </c>
      <c r="D173" s="18"/>
      <c r="E173" s="18" t="str">
        <f t="shared" si="4"/>
        <v/>
      </c>
      <c r="F173" s="26" t="str">
        <f>IF(A173="","",IF(D173="",0,D173*Productos!G173))</f>
        <v/>
      </c>
      <c r="G173" s="26" t="str">
        <f>IF(A173="","",IF(D173="",0,D173*Productos!F173))</f>
        <v/>
      </c>
      <c r="H173" s="26" t="str">
        <f t="shared" si="5"/>
        <v/>
      </c>
      <c r="I173" t="str">
        <f>IF(A173="","",Productos!J173)</f>
        <v/>
      </c>
      <c r="L173" s="3"/>
      <c r="M173" s="5"/>
      <c r="N173" s="5"/>
      <c r="O173" s="5"/>
    </row>
    <row r="174" spans="1:15" hidden="1" x14ac:dyDescent="0.2">
      <c r="A174" s="18" t="str">
        <f>IF(Productos!A174="","",Productos!A174)</f>
        <v/>
      </c>
      <c r="B174" s="18" t="str">
        <f>IF(Productos!B174="","",Productos!B174)</f>
        <v/>
      </c>
      <c r="C174" s="18" t="str">
        <f>IF(Productos!$A174="","",Productos!H174)</f>
        <v/>
      </c>
      <c r="D174" s="18"/>
      <c r="E174" s="18" t="str">
        <f t="shared" si="4"/>
        <v/>
      </c>
      <c r="F174" s="26" t="str">
        <f>IF(A174="","",IF(D174="",0,D174*Productos!G174))</f>
        <v/>
      </c>
      <c r="G174" s="26" t="str">
        <f>IF(A174="","",IF(D174="",0,D174*Productos!F174))</f>
        <v/>
      </c>
      <c r="H174" s="26" t="str">
        <f t="shared" si="5"/>
        <v/>
      </c>
      <c r="I174" t="str">
        <f>IF(A174="","",Productos!J174)</f>
        <v/>
      </c>
      <c r="L174" s="3"/>
      <c r="M174" s="5"/>
      <c r="N174" s="5"/>
      <c r="O174" s="5"/>
    </row>
    <row r="175" spans="1:15" hidden="1" x14ac:dyDescent="0.2">
      <c r="A175" s="18" t="str">
        <f>IF(Productos!A175="","",Productos!A175)</f>
        <v/>
      </c>
      <c r="B175" s="18" t="str">
        <f>IF(Productos!B175="","",Productos!B175)</f>
        <v/>
      </c>
      <c r="C175" s="18" t="str">
        <f>IF(Productos!$A175="","",Productos!H175)</f>
        <v/>
      </c>
      <c r="D175" s="18"/>
      <c r="E175" s="18" t="str">
        <f t="shared" si="4"/>
        <v/>
      </c>
      <c r="F175" s="26" t="str">
        <f>IF(A175="","",IF(D175="",0,D175*Productos!G175))</f>
        <v/>
      </c>
      <c r="G175" s="26" t="str">
        <f>IF(A175="","",IF(D175="",0,D175*Productos!F175))</f>
        <v/>
      </c>
      <c r="H175" s="26" t="str">
        <f t="shared" si="5"/>
        <v/>
      </c>
      <c r="I175" t="str">
        <f>IF(A175="","",Productos!J175)</f>
        <v/>
      </c>
      <c r="L175" s="3"/>
      <c r="M175" s="5"/>
      <c r="N175" s="5"/>
      <c r="O175" s="5"/>
    </row>
    <row r="176" spans="1:15" hidden="1" x14ac:dyDescent="0.2">
      <c r="A176" s="18" t="str">
        <f>IF(Productos!A176="","",Productos!A176)</f>
        <v/>
      </c>
      <c r="B176" s="18" t="str">
        <f>IF(Productos!B176="","",Productos!B176)</f>
        <v/>
      </c>
      <c r="C176" s="18" t="str">
        <f>IF(Productos!$A176="","",Productos!H176)</f>
        <v/>
      </c>
      <c r="D176" s="18"/>
      <c r="E176" s="18" t="str">
        <f t="shared" si="4"/>
        <v/>
      </c>
      <c r="F176" s="26" t="str">
        <f>IF(A176="","",IF(D176="",0,D176*Productos!G176))</f>
        <v/>
      </c>
      <c r="G176" s="26" t="str">
        <f>IF(A176="","",IF(D176="",0,D176*Productos!F176))</f>
        <v/>
      </c>
      <c r="H176" s="26" t="str">
        <f t="shared" si="5"/>
        <v/>
      </c>
      <c r="I176" t="str">
        <f>IF(A176="","",Productos!J176)</f>
        <v/>
      </c>
      <c r="L176" s="3"/>
      <c r="M176" s="5"/>
      <c r="N176" s="5"/>
      <c r="O176" s="5"/>
    </row>
    <row r="177" spans="1:15" hidden="1" x14ac:dyDescent="0.2">
      <c r="A177" s="18" t="str">
        <f>IF(Productos!A177="","",Productos!A177)</f>
        <v/>
      </c>
      <c r="B177" s="18" t="str">
        <f>IF(Productos!B177="","",Productos!B177)</f>
        <v/>
      </c>
      <c r="C177" s="18" t="str">
        <f>IF(Productos!$A177="","",Productos!H177)</f>
        <v/>
      </c>
      <c r="D177" s="18"/>
      <c r="E177" s="18" t="str">
        <f t="shared" si="4"/>
        <v/>
      </c>
      <c r="F177" s="26" t="str">
        <f>IF(A177="","",IF(D177="",0,D177*Productos!G177))</f>
        <v/>
      </c>
      <c r="G177" s="26" t="str">
        <f>IF(A177="","",IF(D177="",0,D177*Productos!F177))</f>
        <v/>
      </c>
      <c r="H177" s="26" t="str">
        <f t="shared" si="5"/>
        <v/>
      </c>
      <c r="I177" t="str">
        <f>IF(A177="","",Productos!J177)</f>
        <v/>
      </c>
      <c r="L177" s="3"/>
      <c r="M177" s="5"/>
      <c r="N177" s="5"/>
      <c r="O177" s="5"/>
    </row>
    <row r="178" spans="1:15" hidden="1" x14ac:dyDescent="0.2">
      <c r="A178" s="18" t="str">
        <f>IF(Productos!A178="","",Productos!A178)</f>
        <v/>
      </c>
      <c r="B178" s="18" t="str">
        <f>IF(Productos!B178="","",Productos!B178)</f>
        <v/>
      </c>
      <c r="C178" s="18" t="str">
        <f>IF(Productos!$A178="","",Productos!H178)</f>
        <v/>
      </c>
      <c r="D178" s="18"/>
      <c r="E178" s="18" t="str">
        <f t="shared" si="4"/>
        <v/>
      </c>
      <c r="F178" s="26" t="str">
        <f>IF(A178="","",IF(D178="",0,D178*Productos!G178))</f>
        <v/>
      </c>
      <c r="G178" s="26" t="str">
        <f>IF(A178="","",IF(D178="",0,D178*Productos!F178))</f>
        <v/>
      </c>
      <c r="H178" s="26" t="str">
        <f t="shared" si="5"/>
        <v/>
      </c>
      <c r="I178" t="str">
        <f>IF(A178="","",Productos!J178)</f>
        <v/>
      </c>
      <c r="L178" s="3"/>
      <c r="M178" s="5"/>
      <c r="N178" s="5"/>
      <c r="O178" s="5"/>
    </row>
    <row r="179" spans="1:15" hidden="1" x14ac:dyDescent="0.2">
      <c r="A179" s="18" t="str">
        <f>IF(Productos!A179="","",Productos!A179)</f>
        <v/>
      </c>
      <c r="B179" s="18" t="str">
        <f>IF(Productos!B179="","",Productos!B179)</f>
        <v/>
      </c>
      <c r="C179" s="18" t="str">
        <f>IF(Productos!$A179="","",Productos!H179)</f>
        <v/>
      </c>
      <c r="D179" s="18"/>
      <c r="E179" s="18" t="str">
        <f t="shared" si="4"/>
        <v/>
      </c>
      <c r="F179" s="26" t="str">
        <f>IF(A179="","",IF(D179="",0,D179*Productos!G179))</f>
        <v/>
      </c>
      <c r="G179" s="26" t="str">
        <f>IF(A179="","",IF(D179="",0,D179*Productos!F179))</f>
        <v/>
      </c>
      <c r="H179" s="26" t="str">
        <f t="shared" si="5"/>
        <v/>
      </c>
      <c r="I179" t="str">
        <f>IF(A179="","",Productos!J179)</f>
        <v/>
      </c>
      <c r="L179" s="3"/>
      <c r="M179" s="5"/>
      <c r="N179" s="5"/>
      <c r="O179" s="5"/>
    </row>
    <row r="180" spans="1:15" hidden="1" x14ac:dyDescent="0.2">
      <c r="A180" s="18" t="str">
        <f>IF(Productos!A180="","",Productos!A180)</f>
        <v/>
      </c>
      <c r="B180" s="18" t="str">
        <f>IF(Productos!B180="","",Productos!B180)</f>
        <v/>
      </c>
      <c r="C180" s="18" t="str">
        <f>IF(Productos!$A180="","",Productos!H180)</f>
        <v/>
      </c>
      <c r="D180" s="18"/>
      <c r="E180" s="18" t="str">
        <f t="shared" si="4"/>
        <v/>
      </c>
      <c r="F180" s="26" t="str">
        <f>IF(A180="","",IF(D180="",0,D180*Productos!G180))</f>
        <v/>
      </c>
      <c r="G180" s="26" t="str">
        <f>IF(A180="","",IF(D180="",0,D180*Productos!F180))</f>
        <v/>
      </c>
      <c r="H180" s="26" t="str">
        <f t="shared" si="5"/>
        <v/>
      </c>
      <c r="I180" t="str">
        <f>IF(A180="","",Productos!J180)</f>
        <v/>
      </c>
      <c r="L180" s="3"/>
      <c r="M180" s="5"/>
      <c r="N180" s="5"/>
      <c r="O180" s="5"/>
    </row>
    <row r="181" spans="1:15" hidden="1" x14ac:dyDescent="0.2">
      <c r="A181" s="18" t="str">
        <f>IF(Productos!A181="","",Productos!A181)</f>
        <v/>
      </c>
      <c r="B181" s="18" t="str">
        <f>IF(Productos!B181="","",Productos!B181)</f>
        <v/>
      </c>
      <c r="C181" s="18" t="str">
        <f>IF(Productos!$A181="","",Productos!H181)</f>
        <v/>
      </c>
      <c r="D181" s="18"/>
      <c r="E181" s="18" t="str">
        <f t="shared" si="4"/>
        <v/>
      </c>
      <c r="F181" s="26" t="str">
        <f>IF(A181="","",IF(D181="",0,D181*Productos!G181))</f>
        <v/>
      </c>
      <c r="G181" s="26" t="str">
        <f>IF(A181="","",IF(D181="",0,D181*Productos!F181))</f>
        <v/>
      </c>
      <c r="H181" s="26" t="str">
        <f t="shared" si="5"/>
        <v/>
      </c>
      <c r="I181" t="str">
        <f>IF(A181="","",Productos!J181)</f>
        <v/>
      </c>
      <c r="L181" s="3"/>
      <c r="M181" s="5"/>
      <c r="N181" s="5"/>
      <c r="O181" s="5"/>
    </row>
    <row r="182" spans="1:15" hidden="1" x14ac:dyDescent="0.2">
      <c r="A182" s="18" t="str">
        <f>IF(Productos!A182="","",Productos!A182)</f>
        <v/>
      </c>
      <c r="B182" s="18" t="str">
        <f>IF(Productos!B182="","",Productos!B182)</f>
        <v/>
      </c>
      <c r="C182" s="18" t="str">
        <f>IF(Productos!$A182="","",Productos!H182)</f>
        <v/>
      </c>
      <c r="D182" s="18"/>
      <c r="E182" s="18" t="str">
        <f t="shared" si="4"/>
        <v/>
      </c>
      <c r="F182" s="26" t="str">
        <f>IF(A182="","",IF(D182="",0,D182*Productos!G182))</f>
        <v/>
      </c>
      <c r="G182" s="26" t="str">
        <f>IF(A182="","",IF(D182="",0,D182*Productos!F182))</f>
        <v/>
      </c>
      <c r="H182" s="26" t="str">
        <f t="shared" si="5"/>
        <v/>
      </c>
      <c r="I182" t="str">
        <f>IF(A182="","",Productos!J182)</f>
        <v/>
      </c>
      <c r="L182" s="3"/>
      <c r="M182" s="5"/>
      <c r="N182" s="5"/>
      <c r="O182" s="5"/>
    </row>
    <row r="183" spans="1:15" hidden="1" x14ac:dyDescent="0.2">
      <c r="A183" s="18" t="str">
        <f>IF(Productos!A183="","",Productos!A183)</f>
        <v/>
      </c>
      <c r="B183" s="18" t="str">
        <f>IF(Productos!B183="","",Productos!B183)</f>
        <v/>
      </c>
      <c r="C183" s="18" t="str">
        <f>IF(Productos!$A183="","",Productos!H183)</f>
        <v/>
      </c>
      <c r="D183" s="18"/>
      <c r="E183" s="18" t="str">
        <f t="shared" si="4"/>
        <v/>
      </c>
      <c r="F183" s="26" t="str">
        <f>IF(A183="","",IF(D183="",0,D183*Productos!G183))</f>
        <v/>
      </c>
      <c r="G183" s="26" t="str">
        <f>IF(A183="","",IF(D183="",0,D183*Productos!F183))</f>
        <v/>
      </c>
      <c r="H183" s="26" t="str">
        <f t="shared" si="5"/>
        <v/>
      </c>
      <c r="I183" t="str">
        <f>IF(A183="","",Productos!J183)</f>
        <v/>
      </c>
      <c r="L183" s="3"/>
      <c r="M183" s="5"/>
      <c r="N183" s="5"/>
      <c r="O183" s="5"/>
    </row>
    <row r="184" spans="1:15" hidden="1" x14ac:dyDescent="0.2">
      <c r="A184" s="18" t="str">
        <f>IF(Productos!A184="","",Productos!A184)</f>
        <v/>
      </c>
      <c r="B184" s="18" t="str">
        <f>IF(Productos!B184="","",Productos!B184)</f>
        <v/>
      </c>
      <c r="C184" s="18" t="str">
        <f>IF(Productos!$A184="","",Productos!H184)</f>
        <v/>
      </c>
      <c r="D184" s="18"/>
      <c r="E184" s="18" t="str">
        <f t="shared" si="4"/>
        <v/>
      </c>
      <c r="F184" s="26" t="str">
        <f>IF(A184="","",IF(D184="",0,D184*Productos!G184))</f>
        <v/>
      </c>
      <c r="G184" s="26" t="str">
        <f>IF(A184="","",IF(D184="",0,D184*Productos!F184))</f>
        <v/>
      </c>
      <c r="H184" s="26" t="str">
        <f t="shared" si="5"/>
        <v/>
      </c>
      <c r="I184" t="str">
        <f>IF(A184="","",Productos!J184)</f>
        <v/>
      </c>
      <c r="L184" s="3"/>
      <c r="M184" s="5"/>
      <c r="N184" s="5"/>
      <c r="O184" s="5"/>
    </row>
    <row r="185" spans="1:15" hidden="1" x14ac:dyDescent="0.2">
      <c r="A185" s="18" t="str">
        <f>IF(Productos!A185="","",Productos!A185)</f>
        <v/>
      </c>
      <c r="B185" s="18" t="str">
        <f>IF(Productos!B185="","",Productos!B185)</f>
        <v/>
      </c>
      <c r="C185" s="18" t="str">
        <f>IF(Productos!$A185="","",Productos!H185)</f>
        <v/>
      </c>
      <c r="D185" s="18"/>
      <c r="E185" s="18" t="str">
        <f t="shared" si="4"/>
        <v/>
      </c>
      <c r="F185" s="26" t="str">
        <f>IF(A185="","",IF(D185="",0,D185*Productos!G185))</f>
        <v/>
      </c>
      <c r="G185" s="26" t="str">
        <f>IF(A185="","",IF(D185="",0,D185*Productos!F185))</f>
        <v/>
      </c>
      <c r="H185" s="26" t="str">
        <f t="shared" si="5"/>
        <v/>
      </c>
      <c r="I185" t="str">
        <f>IF(A185="","",Productos!J185)</f>
        <v/>
      </c>
      <c r="L185" s="3"/>
      <c r="M185" s="5"/>
      <c r="N185" s="5"/>
      <c r="O185" s="5"/>
    </row>
    <row r="186" spans="1:15" hidden="1" x14ac:dyDescent="0.2">
      <c r="A186" s="18" t="str">
        <f>IF(Productos!A186="","",Productos!A186)</f>
        <v/>
      </c>
      <c r="B186" s="18" t="str">
        <f>IF(Productos!B186="","",Productos!B186)</f>
        <v/>
      </c>
      <c r="C186" s="18" t="str">
        <f>IF(Productos!$A186="","",Productos!H186)</f>
        <v/>
      </c>
      <c r="D186" s="18"/>
      <c r="E186" s="18" t="str">
        <f t="shared" si="4"/>
        <v/>
      </c>
      <c r="F186" s="26" t="str">
        <f>IF(A186="","",IF(D186="",0,D186*Productos!G186))</f>
        <v/>
      </c>
      <c r="G186" s="26" t="str">
        <f>IF(A186="","",IF(D186="",0,D186*Productos!F186))</f>
        <v/>
      </c>
      <c r="H186" s="26" t="str">
        <f t="shared" si="5"/>
        <v/>
      </c>
      <c r="I186" t="str">
        <f>IF(A186="","",Productos!J186)</f>
        <v/>
      </c>
      <c r="L186" s="3"/>
      <c r="M186" s="5"/>
      <c r="N186" s="5"/>
      <c r="O186" s="5"/>
    </row>
    <row r="187" spans="1:15" hidden="1" x14ac:dyDescent="0.2">
      <c r="A187" s="18" t="str">
        <f>IF(Productos!A187="","",Productos!A187)</f>
        <v/>
      </c>
      <c r="B187" s="18" t="str">
        <f>IF(Productos!B187="","",Productos!B187)</f>
        <v/>
      </c>
      <c r="C187" s="18" t="str">
        <f>IF(Productos!$A187="","",Productos!H187)</f>
        <v/>
      </c>
      <c r="D187" s="18"/>
      <c r="E187" s="18" t="str">
        <f t="shared" si="4"/>
        <v/>
      </c>
      <c r="F187" s="26" t="str">
        <f>IF(A187="","",IF(D187="",0,D187*Productos!G187))</f>
        <v/>
      </c>
      <c r="G187" s="26" t="str">
        <f>IF(A187="","",IF(D187="",0,D187*Productos!F187))</f>
        <v/>
      </c>
      <c r="H187" s="26" t="str">
        <f t="shared" si="5"/>
        <v/>
      </c>
      <c r="I187" t="str">
        <f>IF(A187="","",Productos!J187)</f>
        <v/>
      </c>
      <c r="L187" s="3"/>
      <c r="M187" s="5"/>
      <c r="N187" s="5"/>
      <c r="O187" s="5"/>
    </row>
    <row r="188" spans="1:15" hidden="1" x14ac:dyDescent="0.2">
      <c r="A188" s="18" t="str">
        <f>IF(Productos!A188="","",Productos!A188)</f>
        <v/>
      </c>
      <c r="B188" s="18" t="str">
        <f>IF(Productos!B188="","",Productos!B188)</f>
        <v/>
      </c>
      <c r="C188" s="18" t="str">
        <f>IF(Productos!$A188="","",Productos!H188)</f>
        <v/>
      </c>
      <c r="D188" s="18"/>
      <c r="E188" s="18" t="str">
        <f t="shared" si="4"/>
        <v/>
      </c>
      <c r="F188" s="26" t="str">
        <f>IF(A188="","",IF(D188="",0,D188*Productos!G188))</f>
        <v/>
      </c>
      <c r="G188" s="26" t="str">
        <f>IF(A188="","",IF(D188="",0,D188*Productos!F188))</f>
        <v/>
      </c>
      <c r="H188" s="26" t="str">
        <f t="shared" si="5"/>
        <v/>
      </c>
      <c r="I188" t="str">
        <f>IF(A188="","",Productos!J188)</f>
        <v/>
      </c>
      <c r="L188" s="3"/>
      <c r="M188" s="5"/>
      <c r="N188" s="5"/>
      <c r="O188" s="5"/>
    </row>
    <row r="189" spans="1:15" hidden="1" x14ac:dyDescent="0.2">
      <c r="A189" s="18" t="str">
        <f>IF(Productos!A189="","",Productos!A189)</f>
        <v/>
      </c>
      <c r="B189" s="18" t="str">
        <f>IF(Productos!B189="","",Productos!B189)</f>
        <v/>
      </c>
      <c r="C189" s="18" t="str">
        <f>IF(Productos!$A189="","",Productos!H189)</f>
        <v/>
      </c>
      <c r="D189" s="18"/>
      <c r="E189" s="18" t="str">
        <f t="shared" si="4"/>
        <v/>
      </c>
      <c r="F189" s="26" t="str">
        <f>IF(A189="","",IF(D189="",0,D189*Productos!G189))</f>
        <v/>
      </c>
      <c r="G189" s="26" t="str">
        <f>IF(A189="","",IF(D189="",0,D189*Productos!F189))</f>
        <v/>
      </c>
      <c r="H189" s="26" t="str">
        <f t="shared" si="5"/>
        <v/>
      </c>
      <c r="I189" t="str">
        <f>IF(A189="","",Productos!J189)</f>
        <v/>
      </c>
      <c r="L189" s="3"/>
      <c r="M189" s="5"/>
      <c r="N189" s="5"/>
      <c r="O189" s="5"/>
    </row>
    <row r="190" spans="1:15" hidden="1" x14ac:dyDescent="0.2">
      <c r="A190" s="18" t="str">
        <f>IF(Productos!A190="","",Productos!A190)</f>
        <v/>
      </c>
      <c r="B190" s="18" t="str">
        <f>IF(Productos!B190="","",Productos!B190)</f>
        <v/>
      </c>
      <c r="C190" s="18" t="str">
        <f>IF(Productos!$A190="","",Productos!H190)</f>
        <v/>
      </c>
      <c r="D190" s="18"/>
      <c r="E190" s="18" t="str">
        <f t="shared" si="4"/>
        <v/>
      </c>
      <c r="F190" s="26" t="str">
        <f>IF(A190="","",IF(D190="",0,D190*Productos!G190))</f>
        <v/>
      </c>
      <c r="G190" s="26" t="str">
        <f>IF(A190="","",IF(D190="",0,D190*Productos!F190))</f>
        <v/>
      </c>
      <c r="H190" s="26" t="str">
        <f t="shared" si="5"/>
        <v/>
      </c>
      <c r="I190" t="str">
        <f>IF(A190="","",Productos!J190)</f>
        <v/>
      </c>
      <c r="L190" s="3"/>
      <c r="M190" s="5"/>
      <c r="N190" s="5"/>
      <c r="O190" s="5"/>
    </row>
    <row r="191" spans="1:15" hidden="1" x14ac:dyDescent="0.2">
      <c r="A191" s="18" t="str">
        <f>IF(Productos!A191="","",Productos!A191)</f>
        <v/>
      </c>
      <c r="B191" s="18" t="str">
        <f>IF(Productos!B191="","",Productos!B191)</f>
        <v/>
      </c>
      <c r="C191" s="18" t="str">
        <f>IF(Productos!$A191="","",Productos!H191)</f>
        <v/>
      </c>
      <c r="D191" s="18"/>
      <c r="E191" s="18" t="str">
        <f t="shared" si="4"/>
        <v/>
      </c>
      <c r="F191" s="26" t="str">
        <f>IF(A191="","",IF(D191="",0,D191*Productos!G191))</f>
        <v/>
      </c>
      <c r="G191" s="26" t="str">
        <f>IF(A191="","",IF(D191="",0,D191*Productos!F191))</f>
        <v/>
      </c>
      <c r="H191" s="26" t="str">
        <f t="shared" si="5"/>
        <v/>
      </c>
      <c r="I191" t="str">
        <f>IF(A191="","",Productos!J191)</f>
        <v/>
      </c>
      <c r="L191" s="3"/>
      <c r="M191" s="5"/>
      <c r="N191" s="5"/>
      <c r="O191" s="5"/>
    </row>
    <row r="192" spans="1:15" hidden="1" x14ac:dyDescent="0.2">
      <c r="A192" s="18" t="str">
        <f>IF(Productos!A192="","",Productos!A192)</f>
        <v/>
      </c>
      <c r="B192" s="18" t="str">
        <f>IF(Productos!B192="","",Productos!B192)</f>
        <v/>
      </c>
      <c r="C192" s="18" t="str">
        <f>IF(Productos!$A192="","",Productos!H192)</f>
        <v/>
      </c>
      <c r="D192" s="18"/>
      <c r="E192" s="18" t="str">
        <f t="shared" si="4"/>
        <v/>
      </c>
      <c r="F192" s="26" t="str">
        <f>IF(A192="","",IF(D192="",0,D192*Productos!G192))</f>
        <v/>
      </c>
      <c r="G192" s="26" t="str">
        <f>IF(A192="","",IF(D192="",0,D192*Productos!F192))</f>
        <v/>
      </c>
      <c r="H192" s="26" t="str">
        <f t="shared" si="5"/>
        <v/>
      </c>
      <c r="I192" t="str">
        <f>IF(A192="","",Productos!J192)</f>
        <v/>
      </c>
      <c r="L192" s="3"/>
      <c r="M192" s="5"/>
      <c r="N192" s="5"/>
      <c r="O192" s="5"/>
    </row>
    <row r="193" spans="1:15" hidden="1" x14ac:dyDescent="0.2">
      <c r="A193" s="18" t="str">
        <f>IF(Productos!A193="","",Productos!A193)</f>
        <v/>
      </c>
      <c r="B193" s="18" t="str">
        <f>IF(Productos!B193="","",Productos!B193)</f>
        <v/>
      </c>
      <c r="C193" s="18" t="str">
        <f>IF(Productos!$A193="","",Productos!H193)</f>
        <v/>
      </c>
      <c r="D193" s="18"/>
      <c r="E193" s="18" t="str">
        <f t="shared" si="4"/>
        <v/>
      </c>
      <c r="F193" s="26" t="str">
        <f>IF(A193="","",IF(D193="",0,D193*Productos!G193))</f>
        <v/>
      </c>
      <c r="G193" s="26" t="str">
        <f>IF(A193="","",IF(D193="",0,D193*Productos!F193))</f>
        <v/>
      </c>
      <c r="H193" s="26" t="str">
        <f t="shared" si="5"/>
        <v/>
      </c>
      <c r="I193" t="str">
        <f>IF(A193="","",Productos!J193)</f>
        <v/>
      </c>
      <c r="L193" s="3"/>
      <c r="M193" s="5"/>
      <c r="N193" s="5"/>
      <c r="O193" s="5"/>
    </row>
    <row r="194" spans="1:15" hidden="1" x14ac:dyDescent="0.2">
      <c r="A194" s="18" t="str">
        <f>IF(Productos!A194="","",Productos!A194)</f>
        <v/>
      </c>
      <c r="B194" s="18" t="str">
        <f>IF(Productos!B194="","",Productos!B194)</f>
        <v/>
      </c>
      <c r="C194" s="18" t="str">
        <f>IF(Productos!$A194="","",Productos!H194)</f>
        <v/>
      </c>
      <c r="D194" s="18"/>
      <c r="E194" s="18" t="str">
        <f t="shared" si="4"/>
        <v/>
      </c>
      <c r="F194" s="26" t="str">
        <f>IF(A194="","",IF(D194="",0,D194*Productos!G194))</f>
        <v/>
      </c>
      <c r="G194" s="26" t="str">
        <f>IF(A194="","",IF(D194="",0,D194*Productos!F194))</f>
        <v/>
      </c>
      <c r="H194" s="26" t="str">
        <f t="shared" si="5"/>
        <v/>
      </c>
      <c r="I194" t="str">
        <f>IF(A194="","",Productos!J194)</f>
        <v/>
      </c>
      <c r="L194" s="3"/>
      <c r="M194" s="5"/>
      <c r="N194" s="5"/>
      <c r="O194" s="5"/>
    </row>
    <row r="195" spans="1:15" hidden="1" x14ac:dyDescent="0.2">
      <c r="A195" s="18" t="str">
        <f>IF(Productos!A195="","",Productos!A195)</f>
        <v/>
      </c>
      <c r="B195" s="18" t="str">
        <f>IF(Productos!B195="","",Productos!B195)</f>
        <v/>
      </c>
      <c r="C195" s="18" t="str">
        <f>IF(Productos!$A195="","",Productos!H195)</f>
        <v/>
      </c>
      <c r="D195" s="18"/>
      <c r="E195" s="18" t="str">
        <f t="shared" ref="E195:E258" si="6">IF(C195="","",C195-IF(D195="",0,D195))</f>
        <v/>
      </c>
      <c r="F195" s="26" t="str">
        <f>IF(A195="","",IF(D195="",0,D195*Productos!G195))</f>
        <v/>
      </c>
      <c r="G195" s="26" t="str">
        <f>IF(A195="","",IF(D195="",0,D195*Productos!F195))</f>
        <v/>
      </c>
      <c r="H195" s="26" t="str">
        <f t="shared" ref="H195:H258" si="7">IF(A195="","",F195-G195)</f>
        <v/>
      </c>
      <c r="I195" t="str">
        <f>IF(A195="","",Productos!J195)</f>
        <v/>
      </c>
      <c r="L195" s="3"/>
      <c r="M195" s="5"/>
      <c r="N195" s="5"/>
      <c r="O195" s="5"/>
    </row>
    <row r="196" spans="1:15" hidden="1" x14ac:dyDescent="0.2">
      <c r="A196" s="18" t="str">
        <f>IF(Productos!A196="","",Productos!A196)</f>
        <v/>
      </c>
      <c r="B196" s="18" t="str">
        <f>IF(Productos!B196="","",Productos!B196)</f>
        <v/>
      </c>
      <c r="C196" s="18" t="str">
        <f>IF(Productos!$A196="","",Productos!H196)</f>
        <v/>
      </c>
      <c r="E196" s="18" t="str">
        <f t="shared" si="6"/>
        <v/>
      </c>
      <c r="F196" s="26" t="str">
        <f>IF(A196="","",IF(D196="",0,D196*Productos!G196))</f>
        <v/>
      </c>
      <c r="G196" s="26" t="str">
        <f>IF(A196="","",IF(D196="",0,D196*Productos!F196))</f>
        <v/>
      </c>
      <c r="H196" s="26" t="str">
        <f t="shared" si="7"/>
        <v/>
      </c>
      <c r="I196" t="str">
        <f>IF(A196="","",Productos!J196)</f>
        <v/>
      </c>
    </row>
    <row r="197" spans="1:15" hidden="1" x14ac:dyDescent="0.2">
      <c r="A197" s="18" t="str">
        <f>IF(Productos!A197="","",Productos!A197)</f>
        <v/>
      </c>
      <c r="B197" s="18" t="str">
        <f>IF(Productos!B197="","",Productos!B197)</f>
        <v/>
      </c>
      <c r="C197" s="18" t="str">
        <f>IF(Productos!$A197="","",Productos!H197)</f>
        <v/>
      </c>
      <c r="E197" s="18" t="str">
        <f t="shared" si="6"/>
        <v/>
      </c>
      <c r="F197" s="26" t="str">
        <f>IF(A197="","",IF(D197="",0,D197*Productos!G197))</f>
        <v/>
      </c>
      <c r="G197" s="26" t="str">
        <f>IF(A197="","",IF(D197="",0,D197*Productos!F197))</f>
        <v/>
      </c>
      <c r="H197" s="26" t="str">
        <f t="shared" si="7"/>
        <v/>
      </c>
      <c r="I197" t="str">
        <f>IF(A197="","",Productos!J197)</f>
        <v/>
      </c>
    </row>
    <row r="198" spans="1:15" hidden="1" x14ac:dyDescent="0.2">
      <c r="A198" s="18" t="str">
        <f>IF(Productos!A198="","",Productos!A198)</f>
        <v/>
      </c>
      <c r="B198" s="18" t="str">
        <f>IF(Productos!B198="","",Productos!B198)</f>
        <v/>
      </c>
      <c r="C198" s="18" t="str">
        <f>IF(Productos!$A198="","",Productos!H198)</f>
        <v/>
      </c>
      <c r="E198" s="18" t="str">
        <f t="shared" si="6"/>
        <v/>
      </c>
      <c r="F198" s="26" t="str">
        <f>IF(A198="","",IF(D198="",0,D198*Productos!G198))</f>
        <v/>
      </c>
      <c r="G198" s="26" t="str">
        <f>IF(A198="","",IF(D198="",0,D198*Productos!F198))</f>
        <v/>
      </c>
      <c r="H198" s="26" t="str">
        <f t="shared" si="7"/>
        <v/>
      </c>
      <c r="I198" t="str">
        <f>IF(A198="","",Productos!J198)</f>
        <v/>
      </c>
    </row>
    <row r="199" spans="1:15" hidden="1" x14ac:dyDescent="0.2">
      <c r="A199" s="18" t="str">
        <f>IF(Productos!A199="","",Productos!A199)</f>
        <v/>
      </c>
      <c r="B199" s="18" t="str">
        <f>IF(Productos!B199="","",Productos!B199)</f>
        <v/>
      </c>
      <c r="C199" s="18" t="str">
        <f>IF(Productos!$A199="","",Productos!H199)</f>
        <v/>
      </c>
      <c r="E199" s="18" t="str">
        <f t="shared" si="6"/>
        <v/>
      </c>
      <c r="F199" s="26" t="str">
        <f>IF(A199="","",IF(D199="",0,D199*Productos!G199))</f>
        <v/>
      </c>
      <c r="G199" s="26" t="str">
        <f>IF(A199="","",IF(D199="",0,D199*Productos!F199))</f>
        <v/>
      </c>
      <c r="H199" s="26" t="str">
        <f t="shared" si="7"/>
        <v/>
      </c>
      <c r="I199" t="str">
        <f>IF(A199="","",Productos!J199)</f>
        <v/>
      </c>
    </row>
    <row r="200" spans="1:15" hidden="1" x14ac:dyDescent="0.2">
      <c r="A200" s="18" t="str">
        <f>IF(Productos!A200="","",Productos!A200)</f>
        <v/>
      </c>
      <c r="B200" s="18" t="str">
        <f>IF(Productos!B200="","",Productos!B200)</f>
        <v/>
      </c>
      <c r="C200" s="18" t="str">
        <f>IF(Productos!$A200="","",Productos!H200)</f>
        <v/>
      </c>
      <c r="E200" s="18" t="str">
        <f t="shared" si="6"/>
        <v/>
      </c>
      <c r="F200" s="26" t="str">
        <f>IF(A200="","",IF(D200="",0,D200*Productos!G200))</f>
        <v/>
      </c>
      <c r="G200" s="26" t="str">
        <f>IF(A200="","",IF(D200="",0,D200*Productos!F200))</f>
        <v/>
      </c>
      <c r="H200" s="26" t="str">
        <f t="shared" si="7"/>
        <v/>
      </c>
      <c r="I200" t="str">
        <f>IF(A200="","",Productos!J200)</f>
        <v/>
      </c>
    </row>
    <row r="201" spans="1:15" hidden="1" x14ac:dyDescent="0.2">
      <c r="A201" s="18" t="str">
        <f>IF(Productos!A201="","",Productos!A201)</f>
        <v/>
      </c>
      <c r="B201" s="18" t="str">
        <f>IF(Productos!B201="","",Productos!B201)</f>
        <v/>
      </c>
      <c r="C201" s="18" t="str">
        <f>IF(Productos!$A201="","",Productos!H201)</f>
        <v/>
      </c>
      <c r="E201" s="18" t="str">
        <f t="shared" si="6"/>
        <v/>
      </c>
      <c r="F201" s="26" t="str">
        <f>IF(A201="","",IF(D201="",0,D201*Productos!G201))</f>
        <v/>
      </c>
      <c r="G201" s="26" t="str">
        <f>IF(A201="","",IF(D201="",0,D201*Productos!F201))</f>
        <v/>
      </c>
      <c r="H201" s="26" t="str">
        <f t="shared" si="7"/>
        <v/>
      </c>
      <c r="I201" t="str">
        <f>IF(A201="","",Productos!J201)</f>
        <v/>
      </c>
    </row>
    <row r="202" spans="1:15" hidden="1" x14ac:dyDescent="0.2">
      <c r="A202" s="18" t="str">
        <f>IF(Productos!A202="","",Productos!A202)</f>
        <v/>
      </c>
      <c r="B202" s="18" t="str">
        <f>IF(Productos!B202="","",Productos!B202)</f>
        <v/>
      </c>
      <c r="C202" s="18" t="str">
        <f>IF(Productos!$A202="","",Productos!H202)</f>
        <v/>
      </c>
      <c r="E202" s="18" t="str">
        <f t="shared" si="6"/>
        <v/>
      </c>
      <c r="F202" s="26" t="str">
        <f>IF(A202="","",IF(D202="",0,D202*Productos!G202))</f>
        <v/>
      </c>
      <c r="G202" s="26" t="str">
        <f>IF(A202="","",IF(D202="",0,D202*Productos!F202))</f>
        <v/>
      </c>
      <c r="H202" s="26" t="str">
        <f t="shared" si="7"/>
        <v/>
      </c>
      <c r="I202" t="str">
        <f>IF(A202="","",Productos!J202)</f>
        <v/>
      </c>
    </row>
    <row r="203" spans="1:15" hidden="1" x14ac:dyDescent="0.2">
      <c r="A203" s="18" t="str">
        <f>IF(Productos!A203="","",Productos!A203)</f>
        <v/>
      </c>
      <c r="B203" s="18" t="str">
        <f>IF(Productos!B203="","",Productos!B203)</f>
        <v/>
      </c>
      <c r="C203" s="18" t="str">
        <f>IF(Productos!$A203="","",Productos!H203)</f>
        <v/>
      </c>
      <c r="E203" s="18" t="str">
        <f t="shared" si="6"/>
        <v/>
      </c>
      <c r="F203" s="26" t="str">
        <f>IF(A203="","",IF(D203="",0,D203*Productos!G203))</f>
        <v/>
      </c>
      <c r="G203" s="26" t="str">
        <f>IF(A203="","",IF(D203="",0,D203*Productos!F203))</f>
        <v/>
      </c>
      <c r="H203" s="26" t="str">
        <f t="shared" si="7"/>
        <v/>
      </c>
      <c r="I203" t="str">
        <f>IF(A203="","",Productos!J203)</f>
        <v/>
      </c>
    </row>
    <row r="204" spans="1:15" hidden="1" x14ac:dyDescent="0.2">
      <c r="A204" s="18" t="str">
        <f>IF(Productos!A204="","",Productos!A204)</f>
        <v/>
      </c>
      <c r="B204" s="18" t="str">
        <f>IF(Productos!B204="","",Productos!B204)</f>
        <v/>
      </c>
      <c r="C204" s="18" t="str">
        <f>IF(Productos!$A204="","",Productos!H204)</f>
        <v/>
      </c>
      <c r="E204" s="18" t="str">
        <f t="shared" si="6"/>
        <v/>
      </c>
      <c r="F204" s="26" t="str">
        <f>IF(A204="","",IF(D204="",0,D204*Productos!G204))</f>
        <v/>
      </c>
      <c r="G204" s="26" t="str">
        <f>IF(A204="","",IF(D204="",0,D204*Productos!F204))</f>
        <v/>
      </c>
      <c r="H204" s="26" t="str">
        <f t="shared" si="7"/>
        <v/>
      </c>
      <c r="I204" t="str">
        <f>IF(A204="","",Productos!J204)</f>
        <v/>
      </c>
    </row>
    <row r="205" spans="1:15" hidden="1" x14ac:dyDescent="0.2">
      <c r="A205" s="18" t="str">
        <f>IF(Productos!A205="","",Productos!A205)</f>
        <v/>
      </c>
      <c r="B205" s="18" t="str">
        <f>IF(Productos!B205="","",Productos!B205)</f>
        <v/>
      </c>
      <c r="C205" s="18" t="str">
        <f>IF(Productos!$A205="","",Productos!H205)</f>
        <v/>
      </c>
      <c r="E205" s="18" t="str">
        <f t="shared" si="6"/>
        <v/>
      </c>
      <c r="F205" s="26" t="str">
        <f>IF(A205="","",IF(D205="",0,D205*Productos!G205))</f>
        <v/>
      </c>
      <c r="G205" s="26" t="str">
        <f>IF(A205="","",IF(D205="",0,D205*Productos!F205))</f>
        <v/>
      </c>
      <c r="H205" s="26" t="str">
        <f t="shared" si="7"/>
        <v/>
      </c>
      <c r="I205" t="str">
        <f>IF(A205="","",Productos!J205)</f>
        <v/>
      </c>
    </row>
    <row r="206" spans="1:15" hidden="1" x14ac:dyDescent="0.2">
      <c r="A206" s="18" t="str">
        <f>IF(Productos!A206="","",Productos!A206)</f>
        <v/>
      </c>
      <c r="B206" s="18" t="str">
        <f>IF(Productos!B206="","",Productos!B206)</f>
        <v/>
      </c>
      <c r="C206" s="18" t="str">
        <f>IF(Productos!$A206="","",Productos!H206)</f>
        <v/>
      </c>
      <c r="E206" s="18" t="str">
        <f t="shared" si="6"/>
        <v/>
      </c>
      <c r="F206" s="26" t="str">
        <f>IF(A206="","",IF(D206="",0,D206*Productos!G206))</f>
        <v/>
      </c>
      <c r="G206" s="26" t="str">
        <f>IF(A206="","",IF(D206="",0,D206*Productos!F206))</f>
        <v/>
      </c>
      <c r="H206" s="26" t="str">
        <f t="shared" si="7"/>
        <v/>
      </c>
      <c r="I206" t="str">
        <f>IF(A206="","",Productos!J206)</f>
        <v/>
      </c>
    </row>
    <row r="207" spans="1:15" hidden="1" x14ac:dyDescent="0.2">
      <c r="A207" s="18" t="str">
        <f>IF(Productos!A207="","",Productos!A207)</f>
        <v/>
      </c>
      <c r="B207" s="18" t="str">
        <f>IF(Productos!B207="","",Productos!B207)</f>
        <v/>
      </c>
      <c r="C207" s="18" t="str">
        <f>IF(Productos!$A207="","",Productos!H207)</f>
        <v/>
      </c>
      <c r="D207" s="4"/>
      <c r="E207" s="18" t="str">
        <f t="shared" si="6"/>
        <v/>
      </c>
      <c r="F207" s="26" t="str">
        <f>IF(A207="","",IF(D207="",0,D207*Productos!G207))</f>
        <v/>
      </c>
      <c r="G207" s="26" t="str">
        <f>IF(A207="","",IF(D207="",0,D207*Productos!F207))</f>
        <v/>
      </c>
      <c r="H207" s="26" t="str">
        <f t="shared" si="7"/>
        <v/>
      </c>
      <c r="I207" t="str">
        <f>IF(A207="","",Productos!J207)</f>
        <v/>
      </c>
    </row>
    <row r="208" spans="1:15" hidden="1" x14ac:dyDescent="0.2">
      <c r="A208" s="18" t="str">
        <f>IF(Productos!A208="","",Productos!A208)</f>
        <v/>
      </c>
      <c r="B208" s="18" t="str">
        <f>IF(Productos!B208="","",Productos!B208)</f>
        <v/>
      </c>
      <c r="C208" s="18" t="str">
        <f>IF(Productos!$A208="","",Productos!H208)</f>
        <v/>
      </c>
      <c r="E208" s="18" t="str">
        <f t="shared" si="6"/>
        <v/>
      </c>
      <c r="F208" s="26" t="str">
        <f>IF(A208="","",IF(D208="",0,D208*Productos!G208))</f>
        <v/>
      </c>
      <c r="G208" s="26" t="str">
        <f>IF(A208="","",IF(D208="",0,D208*Productos!F208))</f>
        <v/>
      </c>
      <c r="H208" s="26" t="str">
        <f t="shared" si="7"/>
        <v/>
      </c>
      <c r="I208" t="str">
        <f>IF(A208="","",Productos!J208)</f>
        <v/>
      </c>
    </row>
    <row r="209" spans="1:9" hidden="1" x14ac:dyDescent="0.2">
      <c r="A209" s="18" t="str">
        <f>IF(Productos!A209="","",Productos!A209)</f>
        <v/>
      </c>
      <c r="B209" s="18" t="str">
        <f>IF(Productos!B209="","",Productos!B209)</f>
        <v/>
      </c>
      <c r="C209" s="18" t="str">
        <f>IF(Productos!$A209="","",Productos!H209)</f>
        <v/>
      </c>
      <c r="E209" s="18" t="str">
        <f t="shared" si="6"/>
        <v/>
      </c>
      <c r="F209" s="26" t="str">
        <f>IF(A209="","",IF(D209="",0,D209*Productos!G209))</f>
        <v/>
      </c>
      <c r="G209" s="26" t="str">
        <f>IF(A209="","",IF(D209="",0,D209*Productos!F209))</f>
        <v/>
      </c>
      <c r="H209" s="26" t="str">
        <f t="shared" si="7"/>
        <v/>
      </c>
      <c r="I209" t="str">
        <f>IF(A209="","",Productos!J209)</f>
        <v/>
      </c>
    </row>
    <row r="210" spans="1:9" hidden="1" x14ac:dyDescent="0.2">
      <c r="A210" s="18" t="str">
        <f>IF(Productos!A210="","",Productos!A210)</f>
        <v/>
      </c>
      <c r="B210" s="18" t="str">
        <f>IF(Productos!B210="","",Productos!B210)</f>
        <v/>
      </c>
      <c r="C210" s="18" t="str">
        <f>IF(Productos!$A210="","",Productos!H210)</f>
        <v/>
      </c>
      <c r="E210" s="18" t="str">
        <f t="shared" si="6"/>
        <v/>
      </c>
      <c r="F210" s="26" t="str">
        <f>IF(A210="","",IF(D210="",0,D210*Productos!G210))</f>
        <v/>
      </c>
      <c r="G210" s="26" t="str">
        <f>IF(A210="","",IF(D210="",0,D210*Productos!F210))</f>
        <v/>
      </c>
      <c r="H210" s="26" t="str">
        <f t="shared" si="7"/>
        <v/>
      </c>
      <c r="I210" t="str">
        <f>IF(A210="","",Productos!J210)</f>
        <v/>
      </c>
    </row>
    <row r="211" spans="1:9" hidden="1" x14ac:dyDescent="0.2">
      <c r="A211" s="18" t="str">
        <f>IF(Productos!A211="","",Productos!A211)</f>
        <v/>
      </c>
      <c r="B211" s="18" t="str">
        <f>IF(Productos!B211="","",Productos!B211)</f>
        <v/>
      </c>
      <c r="C211" s="18" t="str">
        <f>IF(Productos!$A211="","",Productos!H211)</f>
        <v/>
      </c>
      <c r="E211" s="18" t="str">
        <f t="shared" si="6"/>
        <v/>
      </c>
      <c r="F211" s="26" t="str">
        <f>IF(A211="","",IF(D211="",0,D211*Productos!G211))</f>
        <v/>
      </c>
      <c r="G211" s="26" t="str">
        <f>IF(A211="","",IF(D211="",0,D211*Productos!F211))</f>
        <v/>
      </c>
      <c r="H211" s="26" t="str">
        <f t="shared" si="7"/>
        <v/>
      </c>
      <c r="I211" t="str">
        <f>IF(A211="","",Productos!J211)</f>
        <v/>
      </c>
    </row>
    <row r="212" spans="1:9" hidden="1" x14ac:dyDescent="0.2">
      <c r="A212" s="18" t="str">
        <f>IF(Productos!A212="","",Productos!A212)</f>
        <v/>
      </c>
      <c r="B212" s="18" t="str">
        <f>IF(Productos!B212="","",Productos!B212)</f>
        <v/>
      </c>
      <c r="C212" s="18" t="str">
        <f>IF(Productos!$A212="","",Productos!H212)</f>
        <v/>
      </c>
      <c r="E212" s="18" t="str">
        <f t="shared" si="6"/>
        <v/>
      </c>
      <c r="F212" s="26" t="str">
        <f>IF(A212="","",IF(D212="",0,D212*Productos!G212))</f>
        <v/>
      </c>
      <c r="G212" s="26" t="str">
        <f>IF(A212="","",IF(D212="",0,D212*Productos!F212))</f>
        <v/>
      </c>
      <c r="H212" s="26" t="str">
        <f t="shared" si="7"/>
        <v/>
      </c>
      <c r="I212" t="str">
        <f>IF(A212="","",Productos!J212)</f>
        <v/>
      </c>
    </row>
    <row r="213" spans="1:9" hidden="1" x14ac:dyDescent="0.2">
      <c r="A213" s="18" t="str">
        <f>IF(Productos!A213="","",Productos!A213)</f>
        <v/>
      </c>
      <c r="B213" s="18" t="str">
        <f>IF(Productos!B213="","",Productos!B213)</f>
        <v/>
      </c>
      <c r="C213" s="18" t="str">
        <f>IF(Productos!$A213="","",Productos!H213)</f>
        <v/>
      </c>
      <c r="E213" s="18" t="str">
        <f t="shared" si="6"/>
        <v/>
      </c>
      <c r="F213" s="26" t="str">
        <f>IF(A213="","",IF(D213="",0,D213*Productos!G213))</f>
        <v/>
      </c>
      <c r="G213" s="26" t="str">
        <f>IF(A213="","",IF(D213="",0,D213*Productos!F213))</f>
        <v/>
      </c>
      <c r="H213" s="26" t="str">
        <f t="shared" si="7"/>
        <v/>
      </c>
      <c r="I213" t="str">
        <f>IF(A213="","",Productos!J213)</f>
        <v/>
      </c>
    </row>
    <row r="214" spans="1:9" hidden="1" x14ac:dyDescent="0.2">
      <c r="A214" s="18" t="str">
        <f>IF(Productos!A214="","",Productos!A214)</f>
        <v/>
      </c>
      <c r="B214" s="18" t="str">
        <f>IF(Productos!B214="","",Productos!B214)</f>
        <v/>
      </c>
      <c r="C214" s="18" t="str">
        <f>IF(Productos!$A214="","",Productos!H214)</f>
        <v/>
      </c>
      <c r="E214" s="18" t="str">
        <f t="shared" si="6"/>
        <v/>
      </c>
      <c r="F214" s="26" t="str">
        <f>IF(A214="","",IF(D214="",0,D214*Productos!G214))</f>
        <v/>
      </c>
      <c r="G214" s="26" t="str">
        <f>IF(A214="","",IF(D214="",0,D214*Productos!F214))</f>
        <v/>
      </c>
      <c r="H214" s="26" t="str">
        <f t="shared" si="7"/>
        <v/>
      </c>
      <c r="I214" t="str">
        <f>IF(A214="","",Productos!J214)</f>
        <v/>
      </c>
    </row>
    <row r="215" spans="1:9" hidden="1" x14ac:dyDescent="0.2">
      <c r="A215" s="18" t="str">
        <f>IF(Productos!A215="","",Productos!A215)</f>
        <v/>
      </c>
      <c r="B215" s="18" t="str">
        <f>IF(Productos!B215="","",Productos!B215)</f>
        <v/>
      </c>
      <c r="C215" s="18" t="str">
        <f>IF(Productos!$A215="","",Productos!H215)</f>
        <v/>
      </c>
      <c r="E215" s="18" t="str">
        <f t="shared" si="6"/>
        <v/>
      </c>
      <c r="F215" s="26" t="str">
        <f>IF(A215="","",IF(D215="",0,D215*Productos!G215))</f>
        <v/>
      </c>
      <c r="G215" s="26" t="str">
        <f>IF(A215="","",IF(D215="",0,D215*Productos!F215))</f>
        <v/>
      </c>
      <c r="H215" s="26" t="str">
        <f t="shared" si="7"/>
        <v/>
      </c>
      <c r="I215" t="str">
        <f>IF(A215="","",Productos!J215)</f>
        <v/>
      </c>
    </row>
    <row r="216" spans="1:9" hidden="1" x14ac:dyDescent="0.2">
      <c r="A216" s="18" t="str">
        <f>IF(Productos!A216="","",Productos!A216)</f>
        <v/>
      </c>
      <c r="B216" s="18" t="str">
        <f>IF(Productos!B216="","",Productos!B216)</f>
        <v/>
      </c>
      <c r="C216" s="18" t="str">
        <f>IF(Productos!$A216="","",Productos!H216)</f>
        <v/>
      </c>
      <c r="E216" s="18" t="str">
        <f t="shared" si="6"/>
        <v/>
      </c>
      <c r="F216" s="26" t="str">
        <f>IF(A216="","",IF(D216="",0,D216*Productos!G216))</f>
        <v/>
      </c>
      <c r="G216" s="26" t="str">
        <f>IF(A216="","",IF(D216="",0,D216*Productos!F216))</f>
        <v/>
      </c>
      <c r="H216" s="26" t="str">
        <f t="shared" si="7"/>
        <v/>
      </c>
      <c r="I216" t="str">
        <f>IF(A216="","",Productos!J216)</f>
        <v/>
      </c>
    </row>
    <row r="217" spans="1:9" hidden="1" x14ac:dyDescent="0.2">
      <c r="A217" s="18" t="str">
        <f>IF(Productos!A217="","",Productos!A217)</f>
        <v/>
      </c>
      <c r="B217" s="18" t="str">
        <f>IF(Productos!B217="","",Productos!B217)</f>
        <v/>
      </c>
      <c r="C217" s="18" t="str">
        <f>IF(Productos!$A217="","",Productos!H217)</f>
        <v/>
      </c>
      <c r="E217" s="18" t="str">
        <f t="shared" si="6"/>
        <v/>
      </c>
      <c r="F217" s="26" t="str">
        <f>IF(A217="","",IF(D217="",0,D217*Productos!G217))</f>
        <v/>
      </c>
      <c r="G217" s="26" t="str">
        <f>IF(A217="","",IF(D217="",0,D217*Productos!F217))</f>
        <v/>
      </c>
      <c r="H217" s="26" t="str">
        <f t="shared" si="7"/>
        <v/>
      </c>
      <c r="I217" t="str">
        <f>IF(A217="","",Productos!J217)</f>
        <v/>
      </c>
    </row>
    <row r="218" spans="1:9" hidden="1" x14ac:dyDescent="0.2">
      <c r="A218" s="18" t="str">
        <f>IF(Productos!A218="","",Productos!A218)</f>
        <v/>
      </c>
      <c r="B218" s="18" t="str">
        <f>IF(Productos!B218="","",Productos!B218)</f>
        <v/>
      </c>
      <c r="C218" s="18" t="str">
        <f>IF(Productos!$A218="","",Productos!H218)</f>
        <v/>
      </c>
      <c r="E218" s="18" t="str">
        <f t="shared" si="6"/>
        <v/>
      </c>
      <c r="F218" s="26" t="str">
        <f>IF(A218="","",IF(D218="",0,D218*Productos!G218))</f>
        <v/>
      </c>
      <c r="G218" s="26" t="str">
        <f>IF(A218="","",IF(D218="",0,D218*Productos!F218))</f>
        <v/>
      </c>
      <c r="H218" s="26" t="str">
        <f t="shared" si="7"/>
        <v/>
      </c>
      <c r="I218" t="str">
        <f>IF(A218="","",Productos!J218)</f>
        <v/>
      </c>
    </row>
    <row r="219" spans="1:9" hidden="1" x14ac:dyDescent="0.2">
      <c r="A219" s="18" t="str">
        <f>IF(Productos!A219="","",Productos!A219)</f>
        <v/>
      </c>
      <c r="B219" s="18" t="str">
        <f>IF(Productos!B219="","",Productos!B219)</f>
        <v/>
      </c>
      <c r="C219" s="18" t="str">
        <f>IF(Productos!$A219="","",Productos!H219)</f>
        <v/>
      </c>
      <c r="E219" s="18" t="str">
        <f t="shared" si="6"/>
        <v/>
      </c>
      <c r="F219" s="26" t="str">
        <f>IF(A219="","",IF(D219="",0,D219*Productos!G219))</f>
        <v/>
      </c>
      <c r="G219" s="26" t="str">
        <f>IF(A219="","",IF(D219="",0,D219*Productos!F219))</f>
        <v/>
      </c>
      <c r="H219" s="26" t="str">
        <f t="shared" si="7"/>
        <v/>
      </c>
      <c r="I219" t="str">
        <f>IF(A219="","",Productos!J219)</f>
        <v/>
      </c>
    </row>
    <row r="220" spans="1:9" hidden="1" x14ac:dyDescent="0.2">
      <c r="A220" s="18" t="str">
        <f>IF(Productos!A220="","",Productos!A220)</f>
        <v/>
      </c>
      <c r="B220" s="18" t="str">
        <f>IF(Productos!B220="","",Productos!B220)</f>
        <v/>
      </c>
      <c r="C220" s="18" t="str">
        <f>IF(Productos!$A220="","",Productos!H220)</f>
        <v/>
      </c>
      <c r="E220" s="18" t="str">
        <f t="shared" si="6"/>
        <v/>
      </c>
      <c r="F220" s="26" t="str">
        <f>IF(A220="","",IF(D220="",0,D220*Productos!G220))</f>
        <v/>
      </c>
      <c r="G220" s="26" t="str">
        <f>IF(A220="","",IF(D220="",0,D220*Productos!F220))</f>
        <v/>
      </c>
      <c r="H220" s="26" t="str">
        <f t="shared" si="7"/>
        <v/>
      </c>
      <c r="I220" t="str">
        <f>IF(A220="","",Productos!J220)</f>
        <v/>
      </c>
    </row>
    <row r="221" spans="1:9" hidden="1" x14ac:dyDescent="0.2">
      <c r="A221" s="18" t="str">
        <f>IF(Productos!A221="","",Productos!A221)</f>
        <v/>
      </c>
      <c r="B221" s="18" t="str">
        <f>IF(Productos!B221="","",Productos!B221)</f>
        <v/>
      </c>
      <c r="C221" s="18" t="str">
        <f>IF(Productos!$A221="","",Productos!H221)</f>
        <v/>
      </c>
      <c r="E221" s="18" t="str">
        <f t="shared" si="6"/>
        <v/>
      </c>
      <c r="F221" s="26" t="str">
        <f>IF(A221="","",IF(D221="",0,D221*Productos!G221))</f>
        <v/>
      </c>
      <c r="G221" s="26" t="str">
        <f>IF(A221="","",IF(D221="",0,D221*Productos!F221))</f>
        <v/>
      </c>
      <c r="H221" s="26" t="str">
        <f t="shared" si="7"/>
        <v/>
      </c>
      <c r="I221" t="str">
        <f>IF(A221="","",Productos!J221)</f>
        <v/>
      </c>
    </row>
    <row r="222" spans="1:9" hidden="1" x14ac:dyDescent="0.2">
      <c r="A222" s="18" t="str">
        <f>IF(Productos!A222="","",Productos!A222)</f>
        <v/>
      </c>
      <c r="B222" s="18" t="str">
        <f>IF(Productos!B222="","",Productos!B222)</f>
        <v/>
      </c>
      <c r="C222" s="18" t="str">
        <f>IF(Productos!$A222="","",Productos!H222)</f>
        <v/>
      </c>
      <c r="E222" s="18" t="str">
        <f t="shared" si="6"/>
        <v/>
      </c>
      <c r="F222" s="26" t="str">
        <f>IF(A222="","",IF(D222="",0,D222*Productos!G222))</f>
        <v/>
      </c>
      <c r="G222" s="26" t="str">
        <f>IF(A222="","",IF(D222="",0,D222*Productos!F222))</f>
        <v/>
      </c>
      <c r="H222" s="26" t="str">
        <f t="shared" si="7"/>
        <v/>
      </c>
      <c r="I222" t="str">
        <f>IF(A222="","",Productos!J222)</f>
        <v/>
      </c>
    </row>
    <row r="223" spans="1:9" hidden="1" x14ac:dyDescent="0.2">
      <c r="A223" s="18" t="str">
        <f>IF(Productos!A223="","",Productos!A223)</f>
        <v/>
      </c>
      <c r="B223" s="18" t="str">
        <f>IF(Productos!B223="","",Productos!B223)</f>
        <v/>
      </c>
      <c r="C223" s="18" t="str">
        <f>IF(Productos!$A223="","",Productos!H223)</f>
        <v/>
      </c>
      <c r="E223" s="18" t="str">
        <f t="shared" si="6"/>
        <v/>
      </c>
      <c r="F223" s="26" t="str">
        <f>IF(A223="","",IF(D223="",0,D223*Productos!G223))</f>
        <v/>
      </c>
      <c r="G223" s="26" t="str">
        <f>IF(A223="","",IF(D223="",0,D223*Productos!F223))</f>
        <v/>
      </c>
      <c r="H223" s="26" t="str">
        <f t="shared" si="7"/>
        <v/>
      </c>
      <c r="I223" t="str">
        <f>IF(A223="","",Productos!J223)</f>
        <v/>
      </c>
    </row>
    <row r="224" spans="1:9" hidden="1" x14ac:dyDescent="0.2">
      <c r="A224" s="18" t="str">
        <f>IF(Productos!A224="","",Productos!A224)</f>
        <v/>
      </c>
      <c r="B224" s="18" t="str">
        <f>IF(Productos!B224="","",Productos!B224)</f>
        <v/>
      </c>
      <c r="C224" s="18" t="str">
        <f>IF(Productos!$A224="","",Productos!H224)</f>
        <v/>
      </c>
      <c r="E224" s="18" t="str">
        <f t="shared" si="6"/>
        <v/>
      </c>
      <c r="F224" s="26" t="str">
        <f>IF(A224="","",IF(D224="",0,D224*Productos!G224))</f>
        <v/>
      </c>
      <c r="G224" s="26" t="str">
        <f>IF(A224="","",IF(D224="",0,D224*Productos!F224))</f>
        <v/>
      </c>
      <c r="H224" s="26" t="str">
        <f t="shared" si="7"/>
        <v/>
      </c>
      <c r="I224" t="str">
        <f>IF(A224="","",Productos!J224)</f>
        <v/>
      </c>
    </row>
    <row r="225" spans="1:9" hidden="1" x14ac:dyDescent="0.2">
      <c r="A225" s="18" t="str">
        <f>IF(Productos!A225="","",Productos!A225)</f>
        <v/>
      </c>
      <c r="B225" s="18" t="str">
        <f>IF(Productos!B225="","",Productos!B225)</f>
        <v/>
      </c>
      <c r="C225" s="18" t="str">
        <f>IF(Productos!$A225="","",Productos!H225)</f>
        <v/>
      </c>
      <c r="E225" s="18" t="str">
        <f t="shared" si="6"/>
        <v/>
      </c>
      <c r="F225" s="26" t="str">
        <f>IF(A225="","",IF(D225="",0,D225*Productos!G225))</f>
        <v/>
      </c>
      <c r="G225" s="26" t="str">
        <f>IF(A225="","",IF(D225="",0,D225*Productos!F225))</f>
        <v/>
      </c>
      <c r="H225" s="26" t="str">
        <f t="shared" si="7"/>
        <v/>
      </c>
      <c r="I225" t="str">
        <f>IF(A225="","",Productos!J225)</f>
        <v/>
      </c>
    </row>
    <row r="226" spans="1:9" hidden="1" x14ac:dyDescent="0.2">
      <c r="A226" s="18" t="str">
        <f>IF(Productos!A226="","",Productos!A226)</f>
        <v/>
      </c>
      <c r="B226" s="18" t="str">
        <f>IF(Productos!B226="","",Productos!B226)</f>
        <v/>
      </c>
      <c r="C226" s="18" t="str">
        <f>IF(Productos!$A226="","",Productos!H226)</f>
        <v/>
      </c>
      <c r="E226" s="18" t="str">
        <f t="shared" si="6"/>
        <v/>
      </c>
      <c r="F226" s="26" t="str">
        <f>IF(A226="","",IF(D226="",0,D226*Productos!G226))</f>
        <v/>
      </c>
      <c r="G226" s="26" t="str">
        <f>IF(A226="","",IF(D226="",0,D226*Productos!F226))</f>
        <v/>
      </c>
      <c r="H226" s="26" t="str">
        <f t="shared" si="7"/>
        <v/>
      </c>
      <c r="I226" t="str">
        <f>IF(A226="","",Productos!J226)</f>
        <v/>
      </c>
    </row>
    <row r="227" spans="1:9" hidden="1" x14ac:dyDescent="0.2">
      <c r="A227" s="18" t="str">
        <f>IF(Productos!A227="","",Productos!A227)</f>
        <v/>
      </c>
      <c r="B227" s="18" t="str">
        <f>IF(Productos!B227="","",Productos!B227)</f>
        <v/>
      </c>
      <c r="C227" s="18" t="str">
        <f>IF(Productos!$A227="","",Productos!H227)</f>
        <v/>
      </c>
      <c r="E227" s="18" t="str">
        <f t="shared" si="6"/>
        <v/>
      </c>
      <c r="F227" s="26" t="str">
        <f>IF(A227="","",IF(D227="",0,D227*Productos!G227))</f>
        <v/>
      </c>
      <c r="G227" s="26" t="str">
        <f>IF(A227="","",IF(D227="",0,D227*Productos!F227))</f>
        <v/>
      </c>
      <c r="H227" s="26" t="str">
        <f t="shared" si="7"/>
        <v/>
      </c>
      <c r="I227" t="str">
        <f>IF(A227="","",Productos!J227)</f>
        <v/>
      </c>
    </row>
    <row r="228" spans="1:9" hidden="1" x14ac:dyDescent="0.2">
      <c r="A228" s="18" t="str">
        <f>IF(Productos!A228="","",Productos!A228)</f>
        <v/>
      </c>
      <c r="B228" s="18" t="str">
        <f>IF(Productos!B228="","",Productos!B228)</f>
        <v/>
      </c>
      <c r="C228" s="18" t="str">
        <f>IF(Productos!$A228="","",Productos!H228)</f>
        <v/>
      </c>
      <c r="E228" s="18" t="str">
        <f t="shared" si="6"/>
        <v/>
      </c>
      <c r="F228" s="26" t="str">
        <f>IF(A228="","",IF(D228="",0,D228*Productos!G228))</f>
        <v/>
      </c>
      <c r="G228" s="26" t="str">
        <f>IF(A228="","",IF(D228="",0,D228*Productos!F228))</f>
        <v/>
      </c>
      <c r="H228" s="26" t="str">
        <f t="shared" si="7"/>
        <v/>
      </c>
      <c r="I228" t="str">
        <f>IF(A228="","",Productos!J228)</f>
        <v/>
      </c>
    </row>
    <row r="229" spans="1:9" hidden="1" x14ac:dyDescent="0.2">
      <c r="A229" s="18" t="str">
        <f>IF(Productos!A229="","",Productos!A229)</f>
        <v/>
      </c>
      <c r="B229" s="18" t="str">
        <f>IF(Productos!B229="","",Productos!B229)</f>
        <v/>
      </c>
      <c r="C229" s="18" t="str">
        <f>IF(Productos!$A229="","",Productos!H229)</f>
        <v/>
      </c>
      <c r="E229" s="18" t="str">
        <f t="shared" si="6"/>
        <v/>
      </c>
      <c r="F229" s="26" t="str">
        <f>IF(A229="","",IF(D229="",0,D229*Productos!G229))</f>
        <v/>
      </c>
      <c r="G229" s="26" t="str">
        <f>IF(A229="","",IF(D229="",0,D229*Productos!F229))</f>
        <v/>
      </c>
      <c r="H229" s="26" t="str">
        <f t="shared" si="7"/>
        <v/>
      </c>
      <c r="I229" t="str">
        <f>IF(A229="","",Productos!J229)</f>
        <v/>
      </c>
    </row>
    <row r="230" spans="1:9" hidden="1" x14ac:dyDescent="0.2">
      <c r="A230" s="18" t="str">
        <f>IF(Productos!A230="","",Productos!A230)</f>
        <v/>
      </c>
      <c r="B230" s="18" t="str">
        <f>IF(Productos!B230="","",Productos!B230)</f>
        <v/>
      </c>
      <c r="C230" s="18" t="str">
        <f>IF(Productos!$A230="","",Productos!H230)</f>
        <v/>
      </c>
      <c r="E230" s="18" t="str">
        <f t="shared" si="6"/>
        <v/>
      </c>
      <c r="F230" s="26" t="str">
        <f>IF(A230="","",IF(D230="",0,D230*Productos!G230))</f>
        <v/>
      </c>
      <c r="G230" s="26" t="str">
        <f>IF(A230="","",IF(D230="",0,D230*Productos!F230))</f>
        <v/>
      </c>
      <c r="H230" s="26" t="str">
        <f t="shared" si="7"/>
        <v/>
      </c>
      <c r="I230" t="str">
        <f>IF(A230="","",Productos!J230)</f>
        <v/>
      </c>
    </row>
    <row r="231" spans="1:9" hidden="1" x14ac:dyDescent="0.2">
      <c r="A231" s="18" t="str">
        <f>IF(Productos!A231="","",Productos!A231)</f>
        <v/>
      </c>
      <c r="B231" s="18" t="str">
        <f>IF(Productos!B231="","",Productos!B231)</f>
        <v/>
      </c>
      <c r="C231" s="18" t="str">
        <f>IF(Productos!$A231="","",Productos!H231)</f>
        <v/>
      </c>
      <c r="E231" s="18" t="str">
        <f t="shared" si="6"/>
        <v/>
      </c>
      <c r="F231" s="26" t="str">
        <f>IF(A231="","",IF(D231="",0,D231*Productos!G231))</f>
        <v/>
      </c>
      <c r="G231" s="26" t="str">
        <f>IF(A231="","",IF(D231="",0,D231*Productos!F231))</f>
        <v/>
      </c>
      <c r="H231" s="26" t="str">
        <f t="shared" si="7"/>
        <v/>
      </c>
      <c r="I231" t="str">
        <f>IF(A231="","",Productos!J231)</f>
        <v/>
      </c>
    </row>
    <row r="232" spans="1:9" hidden="1" x14ac:dyDescent="0.2">
      <c r="A232" s="18" t="str">
        <f>IF(Productos!A232="","",Productos!A232)</f>
        <v/>
      </c>
      <c r="B232" s="18" t="str">
        <f>IF(Productos!B232="","",Productos!B232)</f>
        <v/>
      </c>
      <c r="C232" s="18" t="str">
        <f>IF(Productos!$A232="","",Productos!H232)</f>
        <v/>
      </c>
      <c r="E232" s="18" t="str">
        <f t="shared" si="6"/>
        <v/>
      </c>
      <c r="F232" s="26" t="str">
        <f>IF(A232="","",IF(D232="",0,D232*Productos!G232))</f>
        <v/>
      </c>
      <c r="G232" s="26" t="str">
        <f>IF(A232="","",IF(D232="",0,D232*Productos!F232))</f>
        <v/>
      </c>
      <c r="H232" s="26" t="str">
        <f t="shared" si="7"/>
        <v/>
      </c>
      <c r="I232" t="str">
        <f>IF(A232="","",Productos!J232)</f>
        <v/>
      </c>
    </row>
    <row r="233" spans="1:9" hidden="1" x14ac:dyDescent="0.2">
      <c r="A233" s="18" t="str">
        <f>IF(Productos!A233="","",Productos!A233)</f>
        <v/>
      </c>
      <c r="B233" s="18" t="str">
        <f>IF(Productos!B233="","",Productos!B233)</f>
        <v/>
      </c>
      <c r="C233" s="18" t="str">
        <f>IF(Productos!$A233="","",Productos!H233)</f>
        <v/>
      </c>
      <c r="E233" s="18" t="str">
        <f t="shared" si="6"/>
        <v/>
      </c>
      <c r="F233" s="26" t="str">
        <f>IF(A233="","",IF(D233="",0,D233*Productos!G233))</f>
        <v/>
      </c>
      <c r="G233" s="26" t="str">
        <f>IF(A233="","",IF(D233="",0,D233*Productos!F233))</f>
        <v/>
      </c>
      <c r="H233" s="26" t="str">
        <f t="shared" si="7"/>
        <v/>
      </c>
      <c r="I233" t="str">
        <f>IF(A233="","",Productos!J233)</f>
        <v/>
      </c>
    </row>
    <row r="234" spans="1:9" hidden="1" x14ac:dyDescent="0.2">
      <c r="A234" s="18" t="str">
        <f>IF(Productos!A234="","",Productos!A234)</f>
        <v/>
      </c>
      <c r="B234" s="18" t="str">
        <f>IF(Productos!B234="","",Productos!B234)</f>
        <v/>
      </c>
      <c r="C234" s="18" t="str">
        <f>IF(Productos!$A234="","",Productos!H234)</f>
        <v/>
      </c>
      <c r="E234" s="18" t="str">
        <f t="shared" si="6"/>
        <v/>
      </c>
      <c r="F234" s="26" t="str">
        <f>IF(A234="","",IF(D234="",0,D234*Productos!G234))</f>
        <v/>
      </c>
      <c r="G234" s="26" t="str">
        <f>IF(A234="","",IF(D234="",0,D234*Productos!F234))</f>
        <v/>
      </c>
      <c r="H234" s="26" t="str">
        <f t="shared" si="7"/>
        <v/>
      </c>
      <c r="I234" t="str">
        <f>IF(A234="","",Productos!J234)</f>
        <v/>
      </c>
    </row>
    <row r="235" spans="1:9" hidden="1" x14ac:dyDescent="0.2">
      <c r="A235" s="18" t="str">
        <f>IF(Productos!A235="","",Productos!A235)</f>
        <v/>
      </c>
      <c r="B235" s="18" t="str">
        <f>IF(Productos!B235="","",Productos!B235)</f>
        <v/>
      </c>
      <c r="C235" s="18" t="str">
        <f>IF(Productos!$A235="","",Productos!H235)</f>
        <v/>
      </c>
      <c r="E235" s="18" t="str">
        <f t="shared" si="6"/>
        <v/>
      </c>
      <c r="F235" s="26" t="str">
        <f>IF(A235="","",IF(D235="",0,D235*Productos!G235))</f>
        <v/>
      </c>
      <c r="G235" s="26" t="str">
        <f>IF(A235="","",IF(D235="",0,D235*Productos!F235))</f>
        <v/>
      </c>
      <c r="H235" s="26" t="str">
        <f t="shared" si="7"/>
        <v/>
      </c>
      <c r="I235" t="str">
        <f>IF(A235="","",Productos!J235)</f>
        <v/>
      </c>
    </row>
    <row r="236" spans="1:9" hidden="1" x14ac:dyDescent="0.2">
      <c r="A236" s="18" t="str">
        <f>IF(Productos!A236="","",Productos!A236)</f>
        <v/>
      </c>
      <c r="B236" s="18" t="str">
        <f>IF(Productos!B236="","",Productos!B236)</f>
        <v/>
      </c>
      <c r="C236" s="18" t="str">
        <f>IF(Productos!$A236="","",Productos!H236)</f>
        <v/>
      </c>
      <c r="E236" s="18" t="str">
        <f t="shared" si="6"/>
        <v/>
      </c>
      <c r="F236" s="26" t="str">
        <f>IF(A236="","",IF(D236="",0,D236*Productos!G236))</f>
        <v/>
      </c>
      <c r="G236" s="26" t="str">
        <f>IF(A236="","",IF(D236="",0,D236*Productos!F236))</f>
        <v/>
      </c>
      <c r="H236" s="26" t="str">
        <f t="shared" si="7"/>
        <v/>
      </c>
      <c r="I236" t="str">
        <f>IF(A236="","",Productos!J236)</f>
        <v/>
      </c>
    </row>
    <row r="237" spans="1:9" hidden="1" x14ac:dyDescent="0.2">
      <c r="A237" s="18" t="str">
        <f>IF(Productos!A237="","",Productos!A237)</f>
        <v/>
      </c>
      <c r="B237" s="18" t="str">
        <f>IF(Productos!B237="","",Productos!B237)</f>
        <v/>
      </c>
      <c r="C237" s="18" t="str">
        <f>IF(Productos!$A237="","",Productos!H237)</f>
        <v/>
      </c>
      <c r="E237" s="18" t="str">
        <f t="shared" si="6"/>
        <v/>
      </c>
      <c r="F237" s="26" t="str">
        <f>IF(A237="","",IF(D237="",0,D237*Productos!G237))</f>
        <v/>
      </c>
      <c r="G237" s="26" t="str">
        <f>IF(A237="","",IF(D237="",0,D237*Productos!F237))</f>
        <v/>
      </c>
      <c r="H237" s="26" t="str">
        <f t="shared" si="7"/>
        <v/>
      </c>
      <c r="I237" t="str">
        <f>IF(A237="","",Productos!J237)</f>
        <v/>
      </c>
    </row>
    <row r="238" spans="1:9" hidden="1" x14ac:dyDescent="0.2">
      <c r="A238" s="18" t="str">
        <f>IF(Productos!A238="","",Productos!A238)</f>
        <v/>
      </c>
      <c r="B238" s="18" t="str">
        <f>IF(Productos!B238="","",Productos!B238)</f>
        <v/>
      </c>
      <c r="C238" s="18" t="str">
        <f>IF(Productos!$A238="","",Productos!H238)</f>
        <v/>
      </c>
      <c r="E238" s="18" t="str">
        <f t="shared" si="6"/>
        <v/>
      </c>
      <c r="F238" s="26" t="str">
        <f>IF(A238="","",IF(D238="",0,D238*Productos!G238))</f>
        <v/>
      </c>
      <c r="G238" s="26" t="str">
        <f>IF(A238="","",IF(D238="",0,D238*Productos!F238))</f>
        <v/>
      </c>
      <c r="H238" s="26" t="str">
        <f t="shared" si="7"/>
        <v/>
      </c>
      <c r="I238" t="str">
        <f>IF(A238="","",Productos!J238)</f>
        <v/>
      </c>
    </row>
    <row r="239" spans="1:9" hidden="1" x14ac:dyDescent="0.2">
      <c r="A239" s="18" t="str">
        <f>IF(Productos!A239="","",Productos!A239)</f>
        <v/>
      </c>
      <c r="B239" s="18" t="str">
        <f>IF(Productos!B239="","",Productos!B239)</f>
        <v/>
      </c>
      <c r="C239" s="18" t="str">
        <f>IF(Productos!$A239="","",Productos!H239)</f>
        <v/>
      </c>
      <c r="E239" s="18" t="str">
        <f t="shared" si="6"/>
        <v/>
      </c>
      <c r="F239" s="26" t="str">
        <f>IF(A239="","",IF(D239="",0,D239*Productos!G239))</f>
        <v/>
      </c>
      <c r="G239" s="26" t="str">
        <f>IF(A239="","",IF(D239="",0,D239*Productos!F239))</f>
        <v/>
      </c>
      <c r="H239" s="26" t="str">
        <f t="shared" si="7"/>
        <v/>
      </c>
      <c r="I239" t="str">
        <f>IF(A239="","",Productos!J239)</f>
        <v/>
      </c>
    </row>
    <row r="240" spans="1:9" hidden="1" x14ac:dyDescent="0.2">
      <c r="A240" s="18" t="str">
        <f>IF(Productos!A240="","",Productos!A240)</f>
        <v/>
      </c>
      <c r="B240" s="18" t="str">
        <f>IF(Productos!B240="","",Productos!B240)</f>
        <v/>
      </c>
      <c r="C240" s="18" t="str">
        <f>IF(Productos!$A240="","",Productos!H240)</f>
        <v/>
      </c>
      <c r="E240" s="18" t="str">
        <f t="shared" si="6"/>
        <v/>
      </c>
      <c r="F240" s="26" t="str">
        <f>IF(A240="","",IF(D240="",0,D240*Productos!G240))</f>
        <v/>
      </c>
      <c r="G240" s="26" t="str">
        <f>IF(A240="","",IF(D240="",0,D240*Productos!F240))</f>
        <v/>
      </c>
      <c r="H240" s="26" t="str">
        <f t="shared" si="7"/>
        <v/>
      </c>
      <c r="I240" t="str">
        <f>IF(A240="","",Productos!J240)</f>
        <v/>
      </c>
    </row>
    <row r="241" spans="1:9" hidden="1" x14ac:dyDescent="0.2">
      <c r="A241" s="18" t="str">
        <f>IF(Productos!A241="","",Productos!A241)</f>
        <v/>
      </c>
      <c r="B241" s="18" t="str">
        <f>IF(Productos!B241="","",Productos!B241)</f>
        <v/>
      </c>
      <c r="C241" s="18" t="str">
        <f>IF(Productos!$A241="","",Productos!H241)</f>
        <v/>
      </c>
      <c r="E241" s="18" t="str">
        <f t="shared" si="6"/>
        <v/>
      </c>
      <c r="F241" s="26" t="str">
        <f>IF(A241="","",IF(D241="",0,D241*Productos!G241))</f>
        <v/>
      </c>
      <c r="G241" s="26" t="str">
        <f>IF(A241="","",IF(D241="",0,D241*Productos!F241))</f>
        <v/>
      </c>
      <c r="H241" s="26" t="str">
        <f t="shared" si="7"/>
        <v/>
      </c>
      <c r="I241" t="str">
        <f>IF(A241="","",Productos!J241)</f>
        <v/>
      </c>
    </row>
    <row r="242" spans="1:9" hidden="1" x14ac:dyDescent="0.2">
      <c r="A242" s="18" t="str">
        <f>IF(Productos!A242="","",Productos!A242)</f>
        <v/>
      </c>
      <c r="B242" s="18" t="str">
        <f>IF(Productos!B242="","",Productos!B242)</f>
        <v/>
      </c>
      <c r="C242" s="18" t="str">
        <f>IF(Productos!$A242="","",Productos!H242)</f>
        <v/>
      </c>
      <c r="E242" s="18" t="str">
        <f t="shared" si="6"/>
        <v/>
      </c>
      <c r="F242" s="26" t="str">
        <f>IF(A242="","",IF(D242="",0,D242*Productos!G242))</f>
        <v/>
      </c>
      <c r="G242" s="26" t="str">
        <f>IF(A242="","",IF(D242="",0,D242*Productos!F242))</f>
        <v/>
      </c>
      <c r="H242" s="26" t="str">
        <f t="shared" si="7"/>
        <v/>
      </c>
      <c r="I242" t="str">
        <f>IF(A242="","",Productos!J242)</f>
        <v/>
      </c>
    </row>
    <row r="243" spans="1:9" hidden="1" x14ac:dyDescent="0.2">
      <c r="A243" s="18" t="str">
        <f>IF(Productos!A243="","",Productos!A243)</f>
        <v/>
      </c>
      <c r="B243" s="18" t="str">
        <f>IF(Productos!B243="","",Productos!B243)</f>
        <v/>
      </c>
      <c r="C243" s="18" t="str">
        <f>IF(Productos!$A243="","",Productos!H243)</f>
        <v/>
      </c>
      <c r="E243" s="18" t="str">
        <f t="shared" si="6"/>
        <v/>
      </c>
      <c r="F243" s="26" t="str">
        <f>IF(A243="","",IF(D243="",0,D243*Productos!G243))</f>
        <v/>
      </c>
      <c r="G243" s="26" t="str">
        <f>IF(A243="","",IF(D243="",0,D243*Productos!F243))</f>
        <v/>
      </c>
      <c r="H243" s="26" t="str">
        <f t="shared" si="7"/>
        <v/>
      </c>
      <c r="I243" t="str">
        <f>IF(A243="","",Productos!J243)</f>
        <v/>
      </c>
    </row>
    <row r="244" spans="1:9" hidden="1" x14ac:dyDescent="0.2">
      <c r="A244" s="18" t="str">
        <f>IF(Productos!A244="","",Productos!A244)</f>
        <v/>
      </c>
      <c r="B244" s="18" t="str">
        <f>IF(Productos!B244="","",Productos!B244)</f>
        <v/>
      </c>
      <c r="C244" s="18" t="str">
        <f>IF(Productos!$A244="","",Productos!H244)</f>
        <v/>
      </c>
      <c r="E244" s="18" t="str">
        <f t="shared" si="6"/>
        <v/>
      </c>
      <c r="F244" s="26" t="str">
        <f>IF(A244="","",IF(D244="",0,D244*Productos!G244))</f>
        <v/>
      </c>
      <c r="G244" s="26" t="str">
        <f>IF(A244="","",IF(D244="",0,D244*Productos!F244))</f>
        <v/>
      </c>
      <c r="H244" s="26" t="str">
        <f t="shared" si="7"/>
        <v/>
      </c>
      <c r="I244" t="str">
        <f>IF(A244="","",Productos!J244)</f>
        <v/>
      </c>
    </row>
    <row r="245" spans="1:9" hidden="1" x14ac:dyDescent="0.2">
      <c r="A245" s="18" t="str">
        <f>IF(Productos!A245="","",Productos!A245)</f>
        <v/>
      </c>
      <c r="B245" s="18" t="str">
        <f>IF(Productos!B245="","",Productos!B245)</f>
        <v/>
      </c>
      <c r="C245" s="18" t="str">
        <f>IF(Productos!$A245="","",Productos!H245)</f>
        <v/>
      </c>
      <c r="E245" s="18" t="str">
        <f t="shared" si="6"/>
        <v/>
      </c>
      <c r="F245" s="26" t="str">
        <f>IF(A245="","",IF(D245="",0,D245*Productos!G245))</f>
        <v/>
      </c>
      <c r="G245" s="26" t="str">
        <f>IF(A245="","",IF(D245="",0,D245*Productos!F245))</f>
        <v/>
      </c>
      <c r="H245" s="26" t="str">
        <f t="shared" si="7"/>
        <v/>
      </c>
      <c r="I245" t="str">
        <f>IF(A245="","",Productos!J245)</f>
        <v/>
      </c>
    </row>
    <row r="246" spans="1:9" hidden="1" x14ac:dyDescent="0.2">
      <c r="A246" s="18" t="str">
        <f>IF(Productos!A246="","",Productos!A246)</f>
        <v/>
      </c>
      <c r="B246" s="18" t="str">
        <f>IF(Productos!B246="","",Productos!B246)</f>
        <v/>
      </c>
      <c r="C246" s="18" t="str">
        <f>IF(Productos!$A246="","",Productos!H246)</f>
        <v/>
      </c>
      <c r="E246" s="18" t="str">
        <f t="shared" si="6"/>
        <v/>
      </c>
      <c r="F246" s="26" t="str">
        <f>IF(A246="","",IF(D246="",0,D246*Productos!G246))</f>
        <v/>
      </c>
      <c r="G246" s="26" t="str">
        <f>IF(A246="","",IF(D246="",0,D246*Productos!F246))</f>
        <v/>
      </c>
      <c r="H246" s="26" t="str">
        <f t="shared" si="7"/>
        <v/>
      </c>
      <c r="I246" t="str">
        <f>IF(A246="","",Productos!J246)</f>
        <v/>
      </c>
    </row>
    <row r="247" spans="1:9" hidden="1" x14ac:dyDescent="0.2">
      <c r="A247" s="18" t="str">
        <f>IF(Productos!A247="","",Productos!A247)</f>
        <v/>
      </c>
      <c r="B247" s="18" t="str">
        <f>IF(Productos!B247="","",Productos!B247)</f>
        <v/>
      </c>
      <c r="C247" s="18" t="str">
        <f>IF(Productos!$A247="","",Productos!H247)</f>
        <v/>
      </c>
      <c r="E247" s="18" t="str">
        <f t="shared" si="6"/>
        <v/>
      </c>
      <c r="F247" s="26" t="str">
        <f>IF(A247="","",IF(D247="",0,D247*Productos!G247))</f>
        <v/>
      </c>
      <c r="G247" s="26" t="str">
        <f>IF(A247="","",IF(D247="",0,D247*Productos!F247))</f>
        <v/>
      </c>
      <c r="H247" s="26" t="str">
        <f t="shared" si="7"/>
        <v/>
      </c>
      <c r="I247" t="str">
        <f>IF(A247="","",Productos!J247)</f>
        <v/>
      </c>
    </row>
    <row r="248" spans="1:9" hidden="1" x14ac:dyDescent="0.2">
      <c r="A248" s="18" t="str">
        <f>IF(Productos!A248="","",Productos!A248)</f>
        <v/>
      </c>
      <c r="B248" s="18" t="str">
        <f>IF(Productos!B248="","",Productos!B248)</f>
        <v/>
      </c>
      <c r="C248" s="18" t="str">
        <f>IF(Productos!$A248="","",Productos!H248)</f>
        <v/>
      </c>
      <c r="E248" s="18" t="str">
        <f t="shared" si="6"/>
        <v/>
      </c>
      <c r="F248" s="26" t="str">
        <f>IF(A248="","",IF(D248="",0,D248*Productos!G248))</f>
        <v/>
      </c>
      <c r="G248" s="26" t="str">
        <f>IF(A248="","",IF(D248="",0,D248*Productos!F248))</f>
        <v/>
      </c>
      <c r="H248" s="26" t="str">
        <f t="shared" si="7"/>
        <v/>
      </c>
      <c r="I248" t="str">
        <f>IF(A248="","",Productos!J248)</f>
        <v/>
      </c>
    </row>
    <row r="249" spans="1:9" hidden="1" x14ac:dyDescent="0.2">
      <c r="A249" s="18" t="str">
        <f>IF(Productos!A249="","",Productos!A249)</f>
        <v/>
      </c>
      <c r="B249" s="18" t="str">
        <f>IF(Productos!B249="","",Productos!B249)</f>
        <v/>
      </c>
      <c r="C249" s="18" t="str">
        <f>IF(Productos!$A249="","",Productos!H249)</f>
        <v/>
      </c>
      <c r="E249" s="18" t="str">
        <f t="shared" si="6"/>
        <v/>
      </c>
      <c r="F249" s="26" t="str">
        <f>IF(A249="","",IF(D249="",0,D249*Productos!G249))</f>
        <v/>
      </c>
      <c r="G249" s="26" t="str">
        <f>IF(A249="","",IF(D249="",0,D249*Productos!F249))</f>
        <v/>
      </c>
      <c r="H249" s="26" t="str">
        <f t="shared" si="7"/>
        <v/>
      </c>
      <c r="I249" t="str">
        <f>IF(A249="","",Productos!J249)</f>
        <v/>
      </c>
    </row>
    <row r="250" spans="1:9" hidden="1" x14ac:dyDescent="0.2">
      <c r="A250" s="18" t="str">
        <f>IF(Productos!A250="","",Productos!A250)</f>
        <v/>
      </c>
      <c r="B250" s="18" t="str">
        <f>IF(Productos!B250="","",Productos!B250)</f>
        <v/>
      </c>
      <c r="C250" s="18" t="str">
        <f>IF(Productos!$A250="","",Productos!H250)</f>
        <v/>
      </c>
      <c r="E250" s="18" t="str">
        <f t="shared" si="6"/>
        <v/>
      </c>
      <c r="F250" s="26" t="str">
        <f>IF(A250="","",IF(D250="",0,D250*Productos!G250))</f>
        <v/>
      </c>
      <c r="G250" s="26" t="str">
        <f>IF(A250="","",IF(D250="",0,D250*Productos!F250))</f>
        <v/>
      </c>
      <c r="H250" s="26" t="str">
        <f t="shared" si="7"/>
        <v/>
      </c>
      <c r="I250" t="str">
        <f>IF(A250="","",Productos!J250)</f>
        <v/>
      </c>
    </row>
    <row r="251" spans="1:9" hidden="1" x14ac:dyDescent="0.2">
      <c r="A251" s="18" t="str">
        <f>IF(Productos!A251="","",Productos!A251)</f>
        <v/>
      </c>
      <c r="B251" s="18" t="str">
        <f>IF(Productos!B251="","",Productos!B251)</f>
        <v/>
      </c>
      <c r="C251" s="18" t="str">
        <f>IF(Productos!$A251="","",Productos!H251)</f>
        <v/>
      </c>
      <c r="E251" s="18" t="str">
        <f t="shared" si="6"/>
        <v/>
      </c>
      <c r="F251" s="26" t="str">
        <f>IF(A251="","",IF(D251="",0,D251*Productos!G251))</f>
        <v/>
      </c>
      <c r="G251" s="26" t="str">
        <f>IF(A251="","",IF(D251="",0,D251*Productos!F251))</f>
        <v/>
      </c>
      <c r="H251" s="26" t="str">
        <f t="shared" si="7"/>
        <v/>
      </c>
      <c r="I251" t="str">
        <f>IF(A251="","",Productos!J251)</f>
        <v/>
      </c>
    </row>
    <row r="252" spans="1:9" hidden="1" x14ac:dyDescent="0.2">
      <c r="A252" s="18" t="str">
        <f>IF(Productos!A252="","",Productos!A252)</f>
        <v/>
      </c>
      <c r="B252" s="18" t="str">
        <f>IF(Productos!B252="","",Productos!B252)</f>
        <v/>
      </c>
      <c r="C252" s="18" t="str">
        <f>IF(Productos!$A252="","",Productos!H252)</f>
        <v/>
      </c>
      <c r="E252" s="18" t="str">
        <f t="shared" si="6"/>
        <v/>
      </c>
      <c r="F252" s="26" t="str">
        <f>IF(A252="","",IF(D252="",0,D252*Productos!G252))</f>
        <v/>
      </c>
      <c r="G252" s="26" t="str">
        <f>IF(A252="","",IF(D252="",0,D252*Productos!F252))</f>
        <v/>
      </c>
      <c r="H252" s="26" t="str">
        <f t="shared" si="7"/>
        <v/>
      </c>
      <c r="I252" t="str">
        <f>IF(A252="","",Productos!J252)</f>
        <v/>
      </c>
    </row>
    <row r="253" spans="1:9" hidden="1" x14ac:dyDescent="0.2">
      <c r="A253" s="18" t="str">
        <f>IF(Productos!A253="","",Productos!A253)</f>
        <v/>
      </c>
      <c r="B253" s="18" t="str">
        <f>IF(Productos!B253="","",Productos!B253)</f>
        <v/>
      </c>
      <c r="C253" s="18" t="str">
        <f>IF(Productos!$A253="","",Productos!H253)</f>
        <v/>
      </c>
      <c r="E253" s="18" t="str">
        <f t="shared" si="6"/>
        <v/>
      </c>
      <c r="F253" s="26" t="str">
        <f>IF(A253="","",IF(D253="",0,D253*Productos!G253))</f>
        <v/>
      </c>
      <c r="G253" s="26" t="str">
        <f>IF(A253="","",IF(D253="",0,D253*Productos!F253))</f>
        <v/>
      </c>
      <c r="H253" s="26" t="str">
        <f t="shared" si="7"/>
        <v/>
      </c>
      <c r="I253" t="str">
        <f>IF(A253="","",Productos!J253)</f>
        <v/>
      </c>
    </row>
    <row r="254" spans="1:9" hidden="1" x14ac:dyDescent="0.2">
      <c r="A254" s="18" t="str">
        <f>IF(Productos!A254="","",Productos!A254)</f>
        <v/>
      </c>
      <c r="B254" s="18" t="str">
        <f>IF(Productos!B254="","",Productos!B254)</f>
        <v/>
      </c>
      <c r="C254" s="18" t="str">
        <f>IF(Productos!$A254="","",Productos!H254)</f>
        <v/>
      </c>
      <c r="E254" s="18" t="str">
        <f t="shared" si="6"/>
        <v/>
      </c>
      <c r="F254" s="26" t="str">
        <f>IF(A254="","",IF(D254="",0,D254*Productos!G254))</f>
        <v/>
      </c>
      <c r="G254" s="26" t="str">
        <f>IF(A254="","",IF(D254="",0,D254*Productos!F254))</f>
        <v/>
      </c>
      <c r="H254" s="26" t="str">
        <f t="shared" si="7"/>
        <v/>
      </c>
      <c r="I254" t="str">
        <f>IF(A254="","",Productos!J254)</f>
        <v/>
      </c>
    </row>
    <row r="255" spans="1:9" hidden="1" x14ac:dyDescent="0.2">
      <c r="A255" s="18" t="str">
        <f>IF(Productos!A255="","",Productos!A255)</f>
        <v/>
      </c>
      <c r="B255" s="18" t="str">
        <f>IF(Productos!B255="","",Productos!B255)</f>
        <v/>
      </c>
      <c r="C255" s="18" t="str">
        <f>IF(Productos!$A255="","",Productos!H255)</f>
        <v/>
      </c>
      <c r="E255" s="18" t="str">
        <f t="shared" si="6"/>
        <v/>
      </c>
      <c r="F255" s="26" t="str">
        <f>IF(A255="","",IF(D255="",0,D255*Productos!G255))</f>
        <v/>
      </c>
      <c r="G255" s="26" t="str">
        <f>IF(A255="","",IF(D255="",0,D255*Productos!F255))</f>
        <v/>
      </c>
      <c r="H255" s="26" t="str">
        <f t="shared" si="7"/>
        <v/>
      </c>
      <c r="I255" t="str">
        <f>IF(A255="","",Productos!J255)</f>
        <v/>
      </c>
    </row>
    <row r="256" spans="1:9" hidden="1" x14ac:dyDescent="0.2">
      <c r="A256" s="18" t="str">
        <f>IF(Productos!A256="","",Productos!A256)</f>
        <v/>
      </c>
      <c r="B256" s="18" t="str">
        <f>IF(Productos!B256="","",Productos!B256)</f>
        <v/>
      </c>
      <c r="C256" s="18" t="str">
        <f>IF(Productos!$A256="","",Productos!H256)</f>
        <v/>
      </c>
      <c r="E256" s="18" t="str">
        <f t="shared" si="6"/>
        <v/>
      </c>
      <c r="F256" s="26" t="str">
        <f>IF(A256="","",IF(D256="",0,D256*Productos!G256))</f>
        <v/>
      </c>
      <c r="G256" s="26" t="str">
        <f>IF(A256="","",IF(D256="",0,D256*Productos!F256))</f>
        <v/>
      </c>
      <c r="H256" s="26" t="str">
        <f t="shared" si="7"/>
        <v/>
      </c>
      <c r="I256" t="str">
        <f>IF(A256="","",Productos!J256)</f>
        <v/>
      </c>
    </row>
    <row r="257" spans="1:9" hidden="1" x14ac:dyDescent="0.2">
      <c r="A257" s="18" t="str">
        <f>IF(Productos!A257="","",Productos!A257)</f>
        <v/>
      </c>
      <c r="B257" s="18" t="str">
        <f>IF(Productos!B257="","",Productos!B257)</f>
        <v/>
      </c>
      <c r="C257" s="18" t="str">
        <f>IF(Productos!$A257="","",Productos!H257)</f>
        <v/>
      </c>
      <c r="E257" s="18" t="str">
        <f t="shared" si="6"/>
        <v/>
      </c>
      <c r="F257" s="26" t="str">
        <f>IF(A257="","",IF(D257="",0,D257*Productos!G257))</f>
        <v/>
      </c>
      <c r="G257" s="26" t="str">
        <f>IF(A257="","",IF(D257="",0,D257*Productos!F257))</f>
        <v/>
      </c>
      <c r="H257" s="26" t="str">
        <f t="shared" si="7"/>
        <v/>
      </c>
      <c r="I257" t="str">
        <f>IF(A257="","",Productos!J257)</f>
        <v/>
      </c>
    </row>
    <row r="258" spans="1:9" hidden="1" x14ac:dyDescent="0.2">
      <c r="A258" s="18" t="str">
        <f>IF(Productos!A258="","",Productos!A258)</f>
        <v/>
      </c>
      <c r="B258" s="18" t="str">
        <f>IF(Productos!B258="","",Productos!B258)</f>
        <v/>
      </c>
      <c r="C258" s="18" t="str">
        <f>IF(Productos!$A258="","",Productos!H258)</f>
        <v/>
      </c>
      <c r="E258" s="18" t="str">
        <f t="shared" si="6"/>
        <v/>
      </c>
      <c r="F258" s="26" t="str">
        <f>IF(A258="","",IF(D258="",0,D258*Productos!G258))</f>
        <v/>
      </c>
      <c r="G258" s="26" t="str">
        <f>IF(A258="","",IF(D258="",0,D258*Productos!F258))</f>
        <v/>
      </c>
      <c r="H258" s="26" t="str">
        <f t="shared" si="7"/>
        <v/>
      </c>
      <c r="I258" t="str">
        <f>IF(A258="","",Productos!J258)</f>
        <v/>
      </c>
    </row>
    <row r="259" spans="1:9" hidden="1" x14ac:dyDescent="0.2">
      <c r="A259" s="18" t="str">
        <f>IF(Productos!A259="","",Productos!A259)</f>
        <v/>
      </c>
      <c r="B259" s="18" t="str">
        <f>IF(Productos!B259="","",Productos!B259)</f>
        <v/>
      </c>
      <c r="C259" s="18" t="str">
        <f>IF(Productos!$A259="","",Productos!H259)</f>
        <v/>
      </c>
      <c r="E259" s="18" t="str">
        <f t="shared" ref="E259:E322" si="8">IF(C259="","",C259-IF(D259="",0,D259))</f>
        <v/>
      </c>
      <c r="F259" s="26" t="str">
        <f>IF(A259="","",IF(D259="",0,D259*Productos!G259))</f>
        <v/>
      </c>
      <c r="G259" s="26" t="str">
        <f>IF(A259="","",IF(D259="",0,D259*Productos!F259))</f>
        <v/>
      </c>
      <c r="H259" s="26" t="str">
        <f t="shared" ref="H259:H322" si="9">IF(A259="","",F259-G259)</f>
        <v/>
      </c>
      <c r="I259" t="str">
        <f>IF(A259="","",Productos!J259)</f>
        <v/>
      </c>
    </row>
    <row r="260" spans="1:9" hidden="1" x14ac:dyDescent="0.2">
      <c r="A260" s="18" t="str">
        <f>IF(Productos!A260="","",Productos!A260)</f>
        <v/>
      </c>
      <c r="B260" s="18" t="str">
        <f>IF(Productos!B260="","",Productos!B260)</f>
        <v/>
      </c>
      <c r="C260" s="18" t="str">
        <f>IF(Productos!$A260="","",Productos!H260)</f>
        <v/>
      </c>
      <c r="E260" s="18" t="str">
        <f t="shared" si="8"/>
        <v/>
      </c>
      <c r="F260" s="26" t="str">
        <f>IF(A260="","",IF(D260="",0,D260*Productos!G260))</f>
        <v/>
      </c>
      <c r="G260" s="26" t="str">
        <f>IF(A260="","",IF(D260="",0,D260*Productos!F260))</f>
        <v/>
      </c>
      <c r="H260" s="26" t="str">
        <f t="shared" si="9"/>
        <v/>
      </c>
      <c r="I260" t="str">
        <f>IF(A260="","",Productos!J260)</f>
        <v/>
      </c>
    </row>
    <row r="261" spans="1:9" hidden="1" x14ac:dyDescent="0.2">
      <c r="A261" s="18" t="str">
        <f>IF(Productos!A261="","",Productos!A261)</f>
        <v/>
      </c>
      <c r="B261" s="18" t="str">
        <f>IF(Productos!B261="","",Productos!B261)</f>
        <v/>
      </c>
      <c r="C261" s="18" t="str">
        <f>IF(Productos!$A261="","",Productos!H261)</f>
        <v/>
      </c>
      <c r="E261" s="18" t="str">
        <f t="shared" si="8"/>
        <v/>
      </c>
      <c r="F261" s="26" t="str">
        <f>IF(A261="","",IF(D261="",0,D261*Productos!G261))</f>
        <v/>
      </c>
      <c r="G261" s="26" t="str">
        <f>IF(A261="","",IF(D261="",0,D261*Productos!F261))</f>
        <v/>
      </c>
      <c r="H261" s="26" t="str">
        <f t="shared" si="9"/>
        <v/>
      </c>
      <c r="I261" t="str">
        <f>IF(A261="","",Productos!J261)</f>
        <v/>
      </c>
    </row>
    <row r="262" spans="1:9" hidden="1" x14ac:dyDescent="0.2">
      <c r="A262" s="18" t="str">
        <f>IF(Productos!A262="","",Productos!A262)</f>
        <v/>
      </c>
      <c r="B262" s="18" t="str">
        <f>IF(Productos!B262="","",Productos!B262)</f>
        <v/>
      </c>
      <c r="C262" s="18" t="str">
        <f>IF(Productos!$A262="","",Productos!H262)</f>
        <v/>
      </c>
      <c r="E262" s="18" t="str">
        <f t="shared" si="8"/>
        <v/>
      </c>
      <c r="F262" s="26" t="str">
        <f>IF(A262="","",IF(D262="",0,D262*Productos!G262))</f>
        <v/>
      </c>
      <c r="G262" s="26" t="str">
        <f>IF(A262="","",IF(D262="",0,D262*Productos!F262))</f>
        <v/>
      </c>
      <c r="H262" s="26" t="str">
        <f t="shared" si="9"/>
        <v/>
      </c>
      <c r="I262" t="str">
        <f>IF(A262="","",Productos!J262)</f>
        <v/>
      </c>
    </row>
    <row r="263" spans="1:9" hidden="1" x14ac:dyDescent="0.2">
      <c r="A263" s="18" t="str">
        <f>IF(Productos!A263="","",Productos!A263)</f>
        <v/>
      </c>
      <c r="B263" s="18" t="str">
        <f>IF(Productos!B263="","",Productos!B263)</f>
        <v/>
      </c>
      <c r="C263" s="18" t="str">
        <f>IF(Productos!$A263="","",Productos!H263)</f>
        <v/>
      </c>
      <c r="E263" s="18" t="str">
        <f t="shared" si="8"/>
        <v/>
      </c>
      <c r="F263" s="26" t="str">
        <f>IF(A263="","",IF(D263="",0,D263*Productos!G263))</f>
        <v/>
      </c>
      <c r="G263" s="26" t="str">
        <f>IF(A263="","",IF(D263="",0,D263*Productos!F263))</f>
        <v/>
      </c>
      <c r="H263" s="26" t="str">
        <f t="shared" si="9"/>
        <v/>
      </c>
      <c r="I263" t="str">
        <f>IF(A263="","",Productos!J263)</f>
        <v/>
      </c>
    </row>
    <row r="264" spans="1:9" hidden="1" x14ac:dyDescent="0.2">
      <c r="A264" s="18" t="str">
        <f>IF(Productos!A264="","",Productos!A264)</f>
        <v/>
      </c>
      <c r="B264" s="18" t="str">
        <f>IF(Productos!B264="","",Productos!B264)</f>
        <v/>
      </c>
      <c r="C264" s="18" t="str">
        <f>IF(Productos!$A264="","",Productos!H264)</f>
        <v/>
      </c>
      <c r="E264" s="18" t="str">
        <f t="shared" si="8"/>
        <v/>
      </c>
      <c r="F264" s="26" t="str">
        <f>IF(A264="","",IF(D264="",0,D264*Productos!G264))</f>
        <v/>
      </c>
      <c r="G264" s="26" t="str">
        <f>IF(A264="","",IF(D264="",0,D264*Productos!F264))</f>
        <v/>
      </c>
      <c r="H264" s="26" t="str">
        <f t="shared" si="9"/>
        <v/>
      </c>
      <c r="I264" t="str">
        <f>IF(A264="","",Productos!J264)</f>
        <v/>
      </c>
    </row>
    <row r="265" spans="1:9" hidden="1" x14ac:dyDescent="0.2">
      <c r="A265" s="18" t="str">
        <f>IF(Productos!A265="","",Productos!A265)</f>
        <v/>
      </c>
      <c r="B265" s="18" t="str">
        <f>IF(Productos!B265="","",Productos!B265)</f>
        <v/>
      </c>
      <c r="C265" s="18" t="str">
        <f>IF(Productos!$A265="","",Productos!H265)</f>
        <v/>
      </c>
      <c r="E265" s="18" t="str">
        <f t="shared" si="8"/>
        <v/>
      </c>
      <c r="F265" s="26" t="str">
        <f>IF(A265="","",IF(D265="",0,D265*Productos!G265))</f>
        <v/>
      </c>
      <c r="G265" s="26" t="str">
        <f>IF(A265="","",IF(D265="",0,D265*Productos!F265))</f>
        <v/>
      </c>
      <c r="H265" s="26" t="str">
        <f t="shared" si="9"/>
        <v/>
      </c>
      <c r="I265" t="str">
        <f>IF(A265="","",Productos!J265)</f>
        <v/>
      </c>
    </row>
    <row r="266" spans="1:9" hidden="1" x14ac:dyDescent="0.2">
      <c r="A266" s="18" t="str">
        <f>IF(Productos!A266="","",Productos!A266)</f>
        <v/>
      </c>
      <c r="B266" s="18" t="str">
        <f>IF(Productos!B266="","",Productos!B266)</f>
        <v/>
      </c>
      <c r="C266" s="18" t="str">
        <f>IF(Productos!$A266="","",Productos!H266)</f>
        <v/>
      </c>
      <c r="E266" s="18" t="str">
        <f t="shared" si="8"/>
        <v/>
      </c>
      <c r="F266" s="26" t="str">
        <f>IF(A266="","",IF(D266="",0,D266*Productos!G266))</f>
        <v/>
      </c>
      <c r="G266" s="26" t="str">
        <f>IF(A266="","",IF(D266="",0,D266*Productos!F266))</f>
        <v/>
      </c>
      <c r="H266" s="26" t="str">
        <f t="shared" si="9"/>
        <v/>
      </c>
      <c r="I266" t="str">
        <f>IF(A266="","",Productos!J266)</f>
        <v/>
      </c>
    </row>
    <row r="267" spans="1:9" hidden="1" x14ac:dyDescent="0.2">
      <c r="A267" s="18" t="str">
        <f>IF(Productos!A267="","",Productos!A267)</f>
        <v/>
      </c>
      <c r="B267" s="18" t="str">
        <f>IF(Productos!B267="","",Productos!B267)</f>
        <v/>
      </c>
      <c r="C267" s="18" t="str">
        <f>IF(Productos!$A267="","",Productos!H267)</f>
        <v/>
      </c>
      <c r="E267" s="18" t="str">
        <f t="shared" si="8"/>
        <v/>
      </c>
      <c r="F267" s="26" t="str">
        <f>IF(A267="","",IF(D267="",0,D267*Productos!G267))</f>
        <v/>
      </c>
      <c r="G267" s="26" t="str">
        <f>IF(A267="","",IF(D267="",0,D267*Productos!F267))</f>
        <v/>
      </c>
      <c r="H267" s="26" t="str">
        <f t="shared" si="9"/>
        <v/>
      </c>
      <c r="I267" t="str">
        <f>IF(A267="","",Productos!J267)</f>
        <v/>
      </c>
    </row>
    <row r="268" spans="1:9" hidden="1" x14ac:dyDescent="0.2">
      <c r="A268" s="18" t="str">
        <f>IF(Productos!A268="","",Productos!A268)</f>
        <v/>
      </c>
      <c r="B268" s="18" t="str">
        <f>IF(Productos!B268="","",Productos!B268)</f>
        <v/>
      </c>
      <c r="C268" s="18" t="str">
        <f>IF(Productos!$A268="","",Productos!H268)</f>
        <v/>
      </c>
      <c r="E268" s="18" t="str">
        <f t="shared" si="8"/>
        <v/>
      </c>
      <c r="F268" s="26" t="str">
        <f>IF(A268="","",IF(D268="",0,D268*Productos!G268))</f>
        <v/>
      </c>
      <c r="G268" s="26" t="str">
        <f>IF(A268="","",IF(D268="",0,D268*Productos!F268))</f>
        <v/>
      </c>
      <c r="H268" s="26" t="str">
        <f t="shared" si="9"/>
        <v/>
      </c>
      <c r="I268" t="str">
        <f>IF(A268="","",Productos!J268)</f>
        <v/>
      </c>
    </row>
    <row r="269" spans="1:9" hidden="1" x14ac:dyDescent="0.2">
      <c r="A269" s="18" t="str">
        <f>IF(Productos!A269="","",Productos!A269)</f>
        <v/>
      </c>
      <c r="B269" s="18" t="str">
        <f>IF(Productos!B269="","",Productos!B269)</f>
        <v/>
      </c>
      <c r="C269" s="18" t="str">
        <f>IF(Productos!$A269="","",Productos!H269)</f>
        <v/>
      </c>
      <c r="E269" s="18" t="str">
        <f t="shared" si="8"/>
        <v/>
      </c>
      <c r="F269" s="26" t="str">
        <f>IF(A269="","",IF(D269="",0,D269*Productos!G269))</f>
        <v/>
      </c>
      <c r="G269" s="26" t="str">
        <f>IF(A269="","",IF(D269="",0,D269*Productos!F269))</f>
        <v/>
      </c>
      <c r="H269" s="26" t="str">
        <f t="shared" si="9"/>
        <v/>
      </c>
      <c r="I269" t="str">
        <f>IF(A269="","",Productos!J269)</f>
        <v/>
      </c>
    </row>
    <row r="270" spans="1:9" hidden="1" x14ac:dyDescent="0.2">
      <c r="A270" s="18" t="str">
        <f>IF(Productos!A270="","",Productos!A270)</f>
        <v/>
      </c>
      <c r="B270" s="18" t="str">
        <f>IF(Productos!B270="","",Productos!B270)</f>
        <v/>
      </c>
      <c r="C270" s="18" t="str">
        <f>IF(Productos!$A270="","",Productos!H270)</f>
        <v/>
      </c>
      <c r="E270" s="18" t="str">
        <f t="shared" si="8"/>
        <v/>
      </c>
      <c r="F270" s="26" t="str">
        <f>IF(A270="","",IF(D270="",0,D270*Productos!G270))</f>
        <v/>
      </c>
      <c r="G270" s="26" t="str">
        <f>IF(A270="","",IF(D270="",0,D270*Productos!F270))</f>
        <v/>
      </c>
      <c r="H270" s="26" t="str">
        <f t="shared" si="9"/>
        <v/>
      </c>
      <c r="I270" t="str">
        <f>IF(A270="","",Productos!J270)</f>
        <v/>
      </c>
    </row>
    <row r="271" spans="1:9" hidden="1" x14ac:dyDescent="0.2">
      <c r="A271" s="18" t="str">
        <f>IF(Productos!A271="","",Productos!A271)</f>
        <v/>
      </c>
      <c r="B271" s="18" t="str">
        <f>IF(Productos!B271="","",Productos!B271)</f>
        <v/>
      </c>
      <c r="C271" s="18" t="str">
        <f>IF(Productos!$A271="","",Productos!H271)</f>
        <v/>
      </c>
      <c r="E271" s="18" t="str">
        <f t="shared" si="8"/>
        <v/>
      </c>
      <c r="F271" s="26" t="str">
        <f>IF(A271="","",IF(D271="",0,D271*Productos!G271))</f>
        <v/>
      </c>
      <c r="G271" s="26" t="str">
        <f>IF(A271="","",IF(D271="",0,D271*Productos!F271))</f>
        <v/>
      </c>
      <c r="H271" s="26" t="str">
        <f t="shared" si="9"/>
        <v/>
      </c>
      <c r="I271" t="str">
        <f>IF(A271="","",Productos!J271)</f>
        <v/>
      </c>
    </row>
    <row r="272" spans="1:9" hidden="1" x14ac:dyDescent="0.2">
      <c r="A272" s="18" t="str">
        <f>IF(Productos!A272="","",Productos!A272)</f>
        <v/>
      </c>
      <c r="B272" s="18" t="str">
        <f>IF(Productos!B272="","",Productos!B272)</f>
        <v/>
      </c>
      <c r="C272" s="18" t="str">
        <f>IF(Productos!$A272="","",Productos!H272)</f>
        <v/>
      </c>
      <c r="E272" s="18" t="str">
        <f t="shared" si="8"/>
        <v/>
      </c>
      <c r="F272" s="26" t="str">
        <f>IF(A272="","",IF(D272="",0,D272*Productos!G272))</f>
        <v/>
      </c>
      <c r="G272" s="26" t="str">
        <f>IF(A272="","",IF(D272="",0,D272*Productos!F272))</f>
        <v/>
      </c>
      <c r="H272" s="26" t="str">
        <f t="shared" si="9"/>
        <v/>
      </c>
      <c r="I272" t="str">
        <f>IF(A272="","",Productos!J272)</f>
        <v/>
      </c>
    </row>
    <row r="273" spans="1:9" hidden="1" x14ac:dyDescent="0.2">
      <c r="A273" s="18" t="str">
        <f>IF(Productos!A273="","",Productos!A273)</f>
        <v/>
      </c>
      <c r="B273" s="18" t="str">
        <f>IF(Productos!B273="","",Productos!B273)</f>
        <v/>
      </c>
      <c r="C273" s="18" t="str">
        <f>IF(Productos!$A273="","",Productos!H273)</f>
        <v/>
      </c>
      <c r="E273" s="18" t="str">
        <f t="shared" si="8"/>
        <v/>
      </c>
      <c r="F273" s="26" t="str">
        <f>IF(A273="","",IF(D273="",0,D273*Productos!G273))</f>
        <v/>
      </c>
      <c r="G273" s="26" t="str">
        <f>IF(A273="","",IF(D273="",0,D273*Productos!F273))</f>
        <v/>
      </c>
      <c r="H273" s="26" t="str">
        <f t="shared" si="9"/>
        <v/>
      </c>
      <c r="I273" t="str">
        <f>IF(A273="","",Productos!J273)</f>
        <v/>
      </c>
    </row>
    <row r="274" spans="1:9" hidden="1" x14ac:dyDescent="0.2">
      <c r="A274" s="18" t="str">
        <f>IF(Productos!A274="","",Productos!A274)</f>
        <v/>
      </c>
      <c r="B274" s="18" t="str">
        <f>IF(Productos!B274="","",Productos!B274)</f>
        <v/>
      </c>
      <c r="C274" s="18" t="str">
        <f>IF(Productos!$A274="","",Productos!H274)</f>
        <v/>
      </c>
      <c r="E274" s="18" t="str">
        <f t="shared" si="8"/>
        <v/>
      </c>
      <c r="F274" s="26" t="str">
        <f>IF(A274="","",IF(D274="",0,D274*Productos!G274))</f>
        <v/>
      </c>
      <c r="G274" s="26" t="str">
        <f>IF(A274="","",IF(D274="",0,D274*Productos!F274))</f>
        <v/>
      </c>
      <c r="H274" s="26" t="str">
        <f t="shared" si="9"/>
        <v/>
      </c>
      <c r="I274" t="str">
        <f>IF(A274="","",Productos!J274)</f>
        <v/>
      </c>
    </row>
    <row r="275" spans="1:9" hidden="1" x14ac:dyDescent="0.2">
      <c r="A275" s="18" t="str">
        <f>IF(Productos!A275="","",Productos!A275)</f>
        <v/>
      </c>
      <c r="B275" s="18" t="str">
        <f>IF(Productos!B275="","",Productos!B275)</f>
        <v/>
      </c>
      <c r="C275" s="18" t="str">
        <f>IF(Productos!$A275="","",Productos!H275)</f>
        <v/>
      </c>
      <c r="E275" s="18" t="str">
        <f t="shared" si="8"/>
        <v/>
      </c>
      <c r="F275" s="26" t="str">
        <f>IF(A275="","",IF(D275="",0,D275*Productos!G275))</f>
        <v/>
      </c>
      <c r="G275" s="26" t="str">
        <f>IF(A275="","",IF(D275="",0,D275*Productos!F275))</f>
        <v/>
      </c>
      <c r="H275" s="26" t="str">
        <f t="shared" si="9"/>
        <v/>
      </c>
      <c r="I275" t="str">
        <f>IF(A275="","",Productos!J275)</f>
        <v/>
      </c>
    </row>
    <row r="276" spans="1:9" hidden="1" x14ac:dyDescent="0.2">
      <c r="A276" s="18" t="str">
        <f>IF(Productos!A276="","",Productos!A276)</f>
        <v/>
      </c>
      <c r="B276" s="18" t="str">
        <f>IF(Productos!B276="","",Productos!B276)</f>
        <v/>
      </c>
      <c r="C276" s="18" t="str">
        <f>IF(Productos!$A276="","",Productos!H276)</f>
        <v/>
      </c>
      <c r="E276" s="18" t="str">
        <f t="shared" si="8"/>
        <v/>
      </c>
      <c r="F276" s="26" t="str">
        <f>IF(A276="","",IF(D276="",0,D276*Productos!G276))</f>
        <v/>
      </c>
      <c r="G276" s="26" t="str">
        <f>IF(A276="","",IF(D276="",0,D276*Productos!F276))</f>
        <v/>
      </c>
      <c r="H276" s="26" t="str">
        <f t="shared" si="9"/>
        <v/>
      </c>
      <c r="I276" t="str">
        <f>IF(A276="","",Productos!J276)</f>
        <v/>
      </c>
    </row>
    <row r="277" spans="1:9" hidden="1" x14ac:dyDescent="0.2">
      <c r="A277" s="18" t="str">
        <f>IF(Productos!A277="","",Productos!A277)</f>
        <v/>
      </c>
      <c r="B277" s="18" t="str">
        <f>IF(Productos!B277="","",Productos!B277)</f>
        <v/>
      </c>
      <c r="C277" s="18" t="str">
        <f>IF(Productos!$A277="","",Productos!H277)</f>
        <v/>
      </c>
      <c r="E277" s="18" t="str">
        <f t="shared" si="8"/>
        <v/>
      </c>
      <c r="F277" s="26" t="str">
        <f>IF(A277="","",IF(D277="",0,D277*Productos!G277))</f>
        <v/>
      </c>
      <c r="G277" s="26" t="str">
        <f>IF(A277="","",IF(D277="",0,D277*Productos!F277))</f>
        <v/>
      </c>
      <c r="H277" s="26" t="str">
        <f t="shared" si="9"/>
        <v/>
      </c>
      <c r="I277" t="str">
        <f>IF(A277="","",Productos!J277)</f>
        <v/>
      </c>
    </row>
    <row r="278" spans="1:9" hidden="1" x14ac:dyDescent="0.2">
      <c r="A278" s="18" t="str">
        <f>IF(Productos!A278="","",Productos!A278)</f>
        <v/>
      </c>
      <c r="B278" s="18" t="str">
        <f>IF(Productos!B278="","",Productos!B278)</f>
        <v/>
      </c>
      <c r="C278" s="18" t="str">
        <f>IF(Productos!$A278="","",Productos!H278)</f>
        <v/>
      </c>
      <c r="E278" s="18" t="str">
        <f t="shared" si="8"/>
        <v/>
      </c>
      <c r="F278" s="26" t="str">
        <f>IF(A278="","",IF(D278="",0,D278*Productos!G278))</f>
        <v/>
      </c>
      <c r="G278" s="26" t="str">
        <f>IF(A278="","",IF(D278="",0,D278*Productos!F278))</f>
        <v/>
      </c>
      <c r="H278" s="26" t="str">
        <f t="shared" si="9"/>
        <v/>
      </c>
      <c r="I278" t="str">
        <f>IF(A278="","",Productos!J278)</f>
        <v/>
      </c>
    </row>
    <row r="279" spans="1:9" hidden="1" x14ac:dyDescent="0.2">
      <c r="A279" s="18" t="str">
        <f>IF(Productos!A279="","",Productos!A279)</f>
        <v/>
      </c>
      <c r="B279" s="18" t="str">
        <f>IF(Productos!B279="","",Productos!B279)</f>
        <v/>
      </c>
      <c r="C279" s="18" t="str">
        <f>IF(Productos!$A279="","",Productos!H279)</f>
        <v/>
      </c>
      <c r="E279" s="18" t="str">
        <f t="shared" si="8"/>
        <v/>
      </c>
      <c r="F279" s="26" t="str">
        <f>IF(A279="","",IF(D279="",0,D279*Productos!G279))</f>
        <v/>
      </c>
      <c r="G279" s="26" t="str">
        <f>IF(A279="","",IF(D279="",0,D279*Productos!F279))</f>
        <v/>
      </c>
      <c r="H279" s="26" t="str">
        <f t="shared" si="9"/>
        <v/>
      </c>
      <c r="I279" t="str">
        <f>IF(A279="","",Productos!J279)</f>
        <v/>
      </c>
    </row>
    <row r="280" spans="1:9" hidden="1" x14ac:dyDescent="0.2">
      <c r="A280" s="18" t="str">
        <f>IF(Productos!A280="","",Productos!A280)</f>
        <v/>
      </c>
      <c r="B280" s="18" t="str">
        <f>IF(Productos!B280="","",Productos!B280)</f>
        <v/>
      </c>
      <c r="C280" s="18" t="str">
        <f>IF(Productos!$A280="","",Productos!H280)</f>
        <v/>
      </c>
      <c r="E280" s="18" t="str">
        <f t="shared" si="8"/>
        <v/>
      </c>
      <c r="F280" s="26" t="str">
        <f>IF(A280="","",IF(D280="",0,D280*Productos!G280))</f>
        <v/>
      </c>
      <c r="G280" s="26" t="str">
        <f>IF(A280="","",IF(D280="",0,D280*Productos!F280))</f>
        <v/>
      </c>
      <c r="H280" s="26" t="str">
        <f t="shared" si="9"/>
        <v/>
      </c>
      <c r="I280" t="str">
        <f>IF(A280="","",Productos!J280)</f>
        <v/>
      </c>
    </row>
    <row r="281" spans="1:9" hidden="1" x14ac:dyDescent="0.2">
      <c r="A281" s="18" t="str">
        <f>IF(Productos!A281="","",Productos!A281)</f>
        <v/>
      </c>
      <c r="B281" s="18" t="str">
        <f>IF(Productos!B281="","",Productos!B281)</f>
        <v/>
      </c>
      <c r="C281" s="18" t="str">
        <f>IF(Productos!$A281="","",Productos!H281)</f>
        <v/>
      </c>
      <c r="E281" s="18" t="str">
        <f t="shared" si="8"/>
        <v/>
      </c>
      <c r="F281" s="26" t="str">
        <f>IF(A281="","",IF(D281="",0,D281*Productos!G281))</f>
        <v/>
      </c>
      <c r="G281" s="26" t="str">
        <f>IF(A281="","",IF(D281="",0,D281*Productos!F281))</f>
        <v/>
      </c>
      <c r="H281" s="26" t="str">
        <f t="shared" si="9"/>
        <v/>
      </c>
      <c r="I281" t="str">
        <f>IF(A281="","",Productos!J281)</f>
        <v/>
      </c>
    </row>
    <row r="282" spans="1:9" hidden="1" x14ac:dyDescent="0.2">
      <c r="A282" s="18" t="str">
        <f>IF(Productos!A282="","",Productos!A282)</f>
        <v/>
      </c>
      <c r="B282" s="18" t="str">
        <f>IF(Productos!B282="","",Productos!B282)</f>
        <v/>
      </c>
      <c r="C282" s="18" t="str">
        <f>IF(Productos!$A282="","",Productos!H282)</f>
        <v/>
      </c>
      <c r="E282" s="18" t="str">
        <f t="shared" si="8"/>
        <v/>
      </c>
      <c r="F282" s="26" t="str">
        <f>IF(A282="","",IF(D282="",0,D282*Productos!G282))</f>
        <v/>
      </c>
      <c r="G282" s="26" t="str">
        <f>IF(A282="","",IF(D282="",0,D282*Productos!F282))</f>
        <v/>
      </c>
      <c r="H282" s="26" t="str">
        <f t="shared" si="9"/>
        <v/>
      </c>
      <c r="I282" t="str">
        <f>IF(A282="","",Productos!J282)</f>
        <v/>
      </c>
    </row>
    <row r="283" spans="1:9" hidden="1" x14ac:dyDescent="0.2">
      <c r="A283" s="18" t="str">
        <f>IF(Productos!A283="","",Productos!A283)</f>
        <v/>
      </c>
      <c r="B283" s="18" t="str">
        <f>IF(Productos!B283="","",Productos!B283)</f>
        <v/>
      </c>
      <c r="C283" s="18" t="str">
        <f>IF(Productos!$A283="","",Productos!H283)</f>
        <v/>
      </c>
      <c r="E283" s="18" t="str">
        <f t="shared" si="8"/>
        <v/>
      </c>
      <c r="F283" s="26" t="str">
        <f>IF(A283="","",IF(D283="",0,D283*Productos!G283))</f>
        <v/>
      </c>
      <c r="G283" s="26" t="str">
        <f>IF(A283="","",IF(D283="",0,D283*Productos!F283))</f>
        <v/>
      </c>
      <c r="H283" s="26" t="str">
        <f t="shared" si="9"/>
        <v/>
      </c>
      <c r="I283" t="str">
        <f>IF(A283="","",Productos!J283)</f>
        <v/>
      </c>
    </row>
    <row r="284" spans="1:9" hidden="1" x14ac:dyDescent="0.2">
      <c r="A284" s="18" t="str">
        <f>IF(Productos!A284="","",Productos!A284)</f>
        <v/>
      </c>
      <c r="B284" s="18" t="str">
        <f>IF(Productos!B284="","",Productos!B284)</f>
        <v/>
      </c>
      <c r="C284" s="18" t="str">
        <f>IF(Productos!$A284="","",Productos!H284)</f>
        <v/>
      </c>
      <c r="E284" s="18" t="str">
        <f t="shared" si="8"/>
        <v/>
      </c>
      <c r="F284" s="26" t="str">
        <f>IF(A284="","",IF(D284="",0,D284*Productos!G284))</f>
        <v/>
      </c>
      <c r="G284" s="26" t="str">
        <f>IF(A284="","",IF(D284="",0,D284*Productos!F284))</f>
        <v/>
      </c>
      <c r="H284" s="26" t="str">
        <f t="shared" si="9"/>
        <v/>
      </c>
      <c r="I284" t="str">
        <f>IF(A284="","",Productos!J284)</f>
        <v/>
      </c>
    </row>
    <row r="285" spans="1:9" hidden="1" x14ac:dyDescent="0.2">
      <c r="A285" s="18" t="str">
        <f>IF(Productos!A285="","",Productos!A285)</f>
        <v/>
      </c>
      <c r="B285" s="18" t="str">
        <f>IF(Productos!B285="","",Productos!B285)</f>
        <v/>
      </c>
      <c r="C285" s="18" t="str">
        <f>IF(Productos!$A285="","",Productos!H285)</f>
        <v/>
      </c>
      <c r="E285" s="18" t="str">
        <f t="shared" si="8"/>
        <v/>
      </c>
      <c r="F285" s="26" t="str">
        <f>IF(A285="","",IF(D285="",0,D285*Productos!G285))</f>
        <v/>
      </c>
      <c r="G285" s="26" t="str">
        <f>IF(A285="","",IF(D285="",0,D285*Productos!F285))</f>
        <v/>
      </c>
      <c r="H285" s="26" t="str">
        <f t="shared" si="9"/>
        <v/>
      </c>
      <c r="I285" t="str">
        <f>IF(A285="","",Productos!J285)</f>
        <v/>
      </c>
    </row>
    <row r="286" spans="1:9" hidden="1" x14ac:dyDescent="0.2">
      <c r="A286" s="18" t="str">
        <f>IF(Productos!A286="","",Productos!A286)</f>
        <v/>
      </c>
      <c r="B286" s="18" t="str">
        <f>IF(Productos!B286="","",Productos!B286)</f>
        <v/>
      </c>
      <c r="C286" s="18" t="str">
        <f>IF(Productos!$A286="","",Productos!H286)</f>
        <v/>
      </c>
      <c r="E286" s="18" t="str">
        <f t="shared" si="8"/>
        <v/>
      </c>
      <c r="F286" s="26" t="str">
        <f>IF(A286="","",IF(D286="",0,D286*Productos!G286))</f>
        <v/>
      </c>
      <c r="G286" s="26" t="str">
        <f>IF(A286="","",IF(D286="",0,D286*Productos!F286))</f>
        <v/>
      </c>
      <c r="H286" s="26" t="str">
        <f t="shared" si="9"/>
        <v/>
      </c>
      <c r="I286" t="str">
        <f>IF(A286="","",Productos!J286)</f>
        <v/>
      </c>
    </row>
    <row r="287" spans="1:9" hidden="1" x14ac:dyDescent="0.2">
      <c r="A287" s="18" t="str">
        <f>IF(Productos!A287="","",Productos!A287)</f>
        <v/>
      </c>
      <c r="B287" s="18" t="str">
        <f>IF(Productos!B287="","",Productos!B287)</f>
        <v/>
      </c>
      <c r="C287" s="18" t="str">
        <f>IF(Productos!$A287="","",Productos!H287)</f>
        <v/>
      </c>
      <c r="E287" s="18" t="str">
        <f t="shared" si="8"/>
        <v/>
      </c>
      <c r="F287" s="26" t="str">
        <f>IF(A287="","",IF(D287="",0,D287*Productos!G287))</f>
        <v/>
      </c>
      <c r="G287" s="26" t="str">
        <f>IF(A287="","",IF(D287="",0,D287*Productos!F287))</f>
        <v/>
      </c>
      <c r="H287" s="26" t="str">
        <f t="shared" si="9"/>
        <v/>
      </c>
      <c r="I287" t="str">
        <f>IF(A287="","",Productos!J287)</f>
        <v/>
      </c>
    </row>
    <row r="288" spans="1:9" hidden="1" x14ac:dyDescent="0.2">
      <c r="A288" s="18" t="str">
        <f>IF(Productos!A288="","",Productos!A288)</f>
        <v/>
      </c>
      <c r="B288" s="18" t="str">
        <f>IF(Productos!B288="","",Productos!B288)</f>
        <v/>
      </c>
      <c r="C288" s="18" t="str">
        <f>IF(Productos!$A288="","",Productos!H288)</f>
        <v/>
      </c>
      <c r="E288" s="18" t="str">
        <f t="shared" si="8"/>
        <v/>
      </c>
      <c r="F288" s="26" t="str">
        <f>IF(A288="","",IF(D288="",0,D288*Productos!G288))</f>
        <v/>
      </c>
      <c r="G288" s="26" t="str">
        <f>IF(A288="","",IF(D288="",0,D288*Productos!F288))</f>
        <v/>
      </c>
      <c r="H288" s="26" t="str">
        <f t="shared" si="9"/>
        <v/>
      </c>
      <c r="I288" t="str">
        <f>IF(A288="","",Productos!J288)</f>
        <v/>
      </c>
    </row>
    <row r="289" spans="1:9" hidden="1" x14ac:dyDescent="0.2">
      <c r="A289" s="18" t="str">
        <f>IF(Productos!A289="","",Productos!A289)</f>
        <v/>
      </c>
      <c r="B289" s="18" t="str">
        <f>IF(Productos!B289="","",Productos!B289)</f>
        <v/>
      </c>
      <c r="C289" s="18" t="str">
        <f>IF(Productos!$A289="","",Productos!H289)</f>
        <v/>
      </c>
      <c r="E289" s="18" t="str">
        <f t="shared" si="8"/>
        <v/>
      </c>
      <c r="F289" s="26" t="str">
        <f>IF(A289="","",IF(D289="",0,D289*Productos!G289))</f>
        <v/>
      </c>
      <c r="G289" s="26" t="str">
        <f>IF(A289="","",IF(D289="",0,D289*Productos!F289))</f>
        <v/>
      </c>
      <c r="H289" s="26" t="str">
        <f t="shared" si="9"/>
        <v/>
      </c>
      <c r="I289" t="str">
        <f>IF(A289="","",Productos!J289)</f>
        <v/>
      </c>
    </row>
    <row r="290" spans="1:9" hidden="1" x14ac:dyDescent="0.2">
      <c r="A290" s="18" t="str">
        <f>IF(Productos!A290="","",Productos!A290)</f>
        <v/>
      </c>
      <c r="B290" s="18" t="str">
        <f>IF(Productos!B290="","",Productos!B290)</f>
        <v/>
      </c>
      <c r="C290" s="18" t="str">
        <f>IF(Productos!$A290="","",Productos!H290)</f>
        <v/>
      </c>
      <c r="E290" s="18" t="str">
        <f t="shared" si="8"/>
        <v/>
      </c>
      <c r="F290" s="26" t="str">
        <f>IF(A290="","",IF(D290="",0,D290*Productos!G290))</f>
        <v/>
      </c>
      <c r="G290" s="26" t="str">
        <f>IF(A290="","",IF(D290="",0,D290*Productos!F290))</f>
        <v/>
      </c>
      <c r="H290" s="26" t="str">
        <f t="shared" si="9"/>
        <v/>
      </c>
      <c r="I290" t="str">
        <f>IF(A290="","",Productos!J290)</f>
        <v/>
      </c>
    </row>
    <row r="291" spans="1:9" hidden="1" x14ac:dyDescent="0.2">
      <c r="A291" s="18" t="str">
        <f>IF(Productos!A291="","",Productos!A291)</f>
        <v/>
      </c>
      <c r="B291" s="18" t="str">
        <f>IF(Productos!B291="","",Productos!B291)</f>
        <v/>
      </c>
      <c r="C291" s="18" t="str">
        <f>IF(Productos!$A291="","",Productos!H291)</f>
        <v/>
      </c>
      <c r="E291" s="18" t="str">
        <f t="shared" si="8"/>
        <v/>
      </c>
      <c r="F291" s="26" t="str">
        <f>IF(A291="","",IF(D291="",0,D291*Productos!G291))</f>
        <v/>
      </c>
      <c r="G291" s="26" t="str">
        <f>IF(A291="","",IF(D291="",0,D291*Productos!F291))</f>
        <v/>
      </c>
      <c r="H291" s="26" t="str">
        <f t="shared" si="9"/>
        <v/>
      </c>
      <c r="I291" t="str">
        <f>IF(A291="","",Productos!J291)</f>
        <v/>
      </c>
    </row>
    <row r="292" spans="1:9" hidden="1" x14ac:dyDescent="0.2">
      <c r="A292" s="18" t="str">
        <f>IF(Productos!A292="","",Productos!A292)</f>
        <v/>
      </c>
      <c r="B292" s="18" t="str">
        <f>IF(Productos!B292="","",Productos!B292)</f>
        <v/>
      </c>
      <c r="C292" s="18" t="str">
        <f>IF(Productos!$A292="","",Productos!H292)</f>
        <v/>
      </c>
      <c r="E292" s="18" t="str">
        <f t="shared" si="8"/>
        <v/>
      </c>
      <c r="F292" s="26" t="str">
        <f>IF(A292="","",IF(D292="",0,D292*Productos!G292))</f>
        <v/>
      </c>
      <c r="G292" s="26" t="str">
        <f>IF(A292="","",IF(D292="",0,D292*Productos!F292))</f>
        <v/>
      </c>
      <c r="H292" s="26" t="str">
        <f t="shared" si="9"/>
        <v/>
      </c>
      <c r="I292" t="str">
        <f>IF(A292="","",Productos!J292)</f>
        <v/>
      </c>
    </row>
    <row r="293" spans="1:9" hidden="1" x14ac:dyDescent="0.2">
      <c r="A293" s="18" t="str">
        <f>IF(Productos!A293="","",Productos!A293)</f>
        <v/>
      </c>
      <c r="B293" s="18" t="str">
        <f>IF(Productos!B293="","",Productos!B293)</f>
        <v/>
      </c>
      <c r="C293" s="18" t="str">
        <f>IF(Productos!$A293="","",Productos!H293)</f>
        <v/>
      </c>
      <c r="E293" s="18" t="str">
        <f t="shared" si="8"/>
        <v/>
      </c>
      <c r="F293" s="26" t="str">
        <f>IF(A293="","",IF(D293="",0,D293*Productos!G293))</f>
        <v/>
      </c>
      <c r="G293" s="26" t="str">
        <f>IF(A293="","",IF(D293="",0,D293*Productos!F293))</f>
        <v/>
      </c>
      <c r="H293" s="26" t="str">
        <f t="shared" si="9"/>
        <v/>
      </c>
      <c r="I293" t="str">
        <f>IF(A293="","",Productos!J293)</f>
        <v/>
      </c>
    </row>
    <row r="294" spans="1:9" hidden="1" x14ac:dyDescent="0.2">
      <c r="A294" s="18" t="str">
        <f>IF(Productos!A294="","",Productos!A294)</f>
        <v/>
      </c>
      <c r="B294" s="18" t="str">
        <f>IF(Productos!B294="","",Productos!B294)</f>
        <v/>
      </c>
      <c r="C294" s="18" t="str">
        <f>IF(Productos!$A294="","",Productos!H294)</f>
        <v/>
      </c>
      <c r="E294" s="18" t="str">
        <f t="shared" si="8"/>
        <v/>
      </c>
      <c r="F294" s="26" t="str">
        <f>IF(A294="","",IF(D294="",0,D294*Productos!G294))</f>
        <v/>
      </c>
      <c r="G294" s="26" t="str">
        <f>IF(A294="","",IF(D294="",0,D294*Productos!F294))</f>
        <v/>
      </c>
      <c r="H294" s="26" t="str">
        <f t="shared" si="9"/>
        <v/>
      </c>
      <c r="I294" t="str">
        <f>IF(A294="","",Productos!J294)</f>
        <v/>
      </c>
    </row>
    <row r="295" spans="1:9" hidden="1" x14ac:dyDescent="0.2">
      <c r="A295" s="18" t="str">
        <f>IF(Productos!A295="","",Productos!A295)</f>
        <v/>
      </c>
      <c r="B295" s="18" t="str">
        <f>IF(Productos!B295="","",Productos!B295)</f>
        <v/>
      </c>
      <c r="C295" s="18" t="str">
        <f>IF(Productos!$A295="","",Productos!H295)</f>
        <v/>
      </c>
      <c r="E295" s="18" t="str">
        <f t="shared" si="8"/>
        <v/>
      </c>
      <c r="F295" s="26" t="str">
        <f>IF(A295="","",IF(D295="",0,D295*Productos!G295))</f>
        <v/>
      </c>
      <c r="G295" s="26" t="str">
        <f>IF(A295="","",IF(D295="",0,D295*Productos!F295))</f>
        <v/>
      </c>
      <c r="H295" s="26" t="str">
        <f t="shared" si="9"/>
        <v/>
      </c>
      <c r="I295" t="str">
        <f>IF(A295="","",Productos!J295)</f>
        <v/>
      </c>
    </row>
    <row r="296" spans="1:9" hidden="1" x14ac:dyDescent="0.2">
      <c r="A296" s="18" t="str">
        <f>IF(Productos!A296="","",Productos!A296)</f>
        <v/>
      </c>
      <c r="B296" s="18" t="str">
        <f>IF(Productos!B296="","",Productos!B296)</f>
        <v/>
      </c>
      <c r="C296" s="18" t="str">
        <f>IF(Productos!$A296="","",Productos!H296)</f>
        <v/>
      </c>
      <c r="E296" s="18" t="str">
        <f t="shared" si="8"/>
        <v/>
      </c>
      <c r="F296" s="26" t="str">
        <f>IF(A296="","",IF(D296="",0,D296*Productos!G296))</f>
        <v/>
      </c>
      <c r="G296" s="26" t="str">
        <f>IF(A296="","",IF(D296="",0,D296*Productos!F296))</f>
        <v/>
      </c>
      <c r="H296" s="26" t="str">
        <f t="shared" si="9"/>
        <v/>
      </c>
      <c r="I296" t="str">
        <f>IF(A296="","",Productos!J296)</f>
        <v/>
      </c>
    </row>
    <row r="297" spans="1:9" hidden="1" x14ac:dyDescent="0.2">
      <c r="A297" s="18" t="str">
        <f>IF(Productos!A297="","",Productos!A297)</f>
        <v/>
      </c>
      <c r="B297" s="18" t="str">
        <f>IF(Productos!B297="","",Productos!B297)</f>
        <v/>
      </c>
      <c r="C297" s="18" t="str">
        <f>IF(Productos!$A297="","",Productos!H297)</f>
        <v/>
      </c>
      <c r="E297" s="18" t="str">
        <f t="shared" si="8"/>
        <v/>
      </c>
      <c r="F297" s="26" t="str">
        <f>IF(A297="","",IF(D297="",0,D297*Productos!G297))</f>
        <v/>
      </c>
      <c r="G297" s="26" t="str">
        <f>IF(A297="","",IF(D297="",0,D297*Productos!F297))</f>
        <v/>
      </c>
      <c r="H297" s="26" t="str">
        <f t="shared" si="9"/>
        <v/>
      </c>
      <c r="I297" t="str">
        <f>IF(A297="","",Productos!J297)</f>
        <v/>
      </c>
    </row>
    <row r="298" spans="1:9" hidden="1" x14ac:dyDescent="0.2">
      <c r="A298" s="18" t="str">
        <f>IF(Productos!A298="","",Productos!A298)</f>
        <v/>
      </c>
      <c r="B298" s="18" t="str">
        <f>IF(Productos!B298="","",Productos!B298)</f>
        <v/>
      </c>
      <c r="C298" s="18" t="str">
        <f>IF(Productos!$A298="","",Productos!H298)</f>
        <v/>
      </c>
      <c r="E298" s="18" t="str">
        <f t="shared" si="8"/>
        <v/>
      </c>
      <c r="F298" s="26" t="str">
        <f>IF(A298="","",IF(D298="",0,D298*Productos!G298))</f>
        <v/>
      </c>
      <c r="G298" s="26" t="str">
        <f>IF(A298="","",IF(D298="",0,D298*Productos!F298))</f>
        <v/>
      </c>
      <c r="H298" s="26" t="str">
        <f t="shared" si="9"/>
        <v/>
      </c>
      <c r="I298" t="str">
        <f>IF(A298="","",Productos!J298)</f>
        <v/>
      </c>
    </row>
    <row r="299" spans="1:9" hidden="1" x14ac:dyDescent="0.2">
      <c r="A299" s="18" t="str">
        <f>IF(Productos!A299="","",Productos!A299)</f>
        <v/>
      </c>
      <c r="B299" s="18" t="str">
        <f>IF(Productos!B299="","",Productos!B299)</f>
        <v/>
      </c>
      <c r="C299" s="18" t="str">
        <f>IF(Productos!$A299="","",Productos!H299)</f>
        <v/>
      </c>
      <c r="E299" s="18" t="str">
        <f t="shared" si="8"/>
        <v/>
      </c>
      <c r="F299" s="26" t="str">
        <f>IF(A299="","",IF(D299="",0,D299*Productos!G299))</f>
        <v/>
      </c>
      <c r="G299" s="26" t="str">
        <f>IF(A299="","",IF(D299="",0,D299*Productos!F299))</f>
        <v/>
      </c>
      <c r="H299" s="26" t="str">
        <f t="shared" si="9"/>
        <v/>
      </c>
      <c r="I299" t="str">
        <f>IF(A299="","",Productos!J299)</f>
        <v/>
      </c>
    </row>
    <row r="300" spans="1:9" hidden="1" x14ac:dyDescent="0.2">
      <c r="A300" s="18" t="str">
        <f>IF(Productos!A300="","",Productos!A300)</f>
        <v/>
      </c>
      <c r="B300" s="18" t="str">
        <f>IF(Productos!B300="","",Productos!B300)</f>
        <v/>
      </c>
      <c r="C300" s="18" t="str">
        <f>IF(Productos!$A300="","",Productos!H300)</f>
        <v/>
      </c>
      <c r="E300" s="18" t="str">
        <f t="shared" si="8"/>
        <v/>
      </c>
      <c r="F300" s="26" t="str">
        <f>IF(A300="","",IF(D300="",0,D300*Productos!G300))</f>
        <v/>
      </c>
      <c r="G300" s="26" t="str">
        <f>IF(A300="","",IF(D300="",0,D300*Productos!F300))</f>
        <v/>
      </c>
      <c r="H300" s="26" t="str">
        <f t="shared" si="9"/>
        <v/>
      </c>
      <c r="I300" t="str">
        <f>IF(A300="","",Productos!J300)</f>
        <v/>
      </c>
    </row>
    <row r="301" spans="1:9" hidden="1" x14ac:dyDescent="0.2">
      <c r="A301" s="18" t="str">
        <f>IF(Productos!A301="","",Productos!A301)</f>
        <v/>
      </c>
      <c r="B301" s="18" t="str">
        <f>IF(Productos!B301="","",Productos!B301)</f>
        <v/>
      </c>
      <c r="C301" s="18" t="str">
        <f>IF(Productos!$A301="","",Productos!H301)</f>
        <v/>
      </c>
      <c r="E301" s="18" t="str">
        <f t="shared" si="8"/>
        <v/>
      </c>
      <c r="F301" s="26" t="str">
        <f>IF(A301="","",IF(D301="",0,D301*Productos!G301))</f>
        <v/>
      </c>
      <c r="G301" s="26" t="str">
        <f>IF(A301="","",IF(D301="",0,D301*Productos!F301))</f>
        <v/>
      </c>
      <c r="H301" s="26" t="str">
        <f t="shared" si="9"/>
        <v/>
      </c>
      <c r="I301" t="str">
        <f>IF(A301="","",Productos!J301)</f>
        <v/>
      </c>
    </row>
    <row r="302" spans="1:9" hidden="1" x14ac:dyDescent="0.2">
      <c r="A302" s="18" t="str">
        <f>IF(Productos!A302="","",Productos!A302)</f>
        <v/>
      </c>
      <c r="B302" s="18" t="str">
        <f>IF(Productos!B302="","",Productos!B302)</f>
        <v/>
      </c>
      <c r="C302" s="18" t="str">
        <f>IF(Productos!$A302="","",Productos!H302)</f>
        <v/>
      </c>
      <c r="E302" s="18" t="str">
        <f t="shared" si="8"/>
        <v/>
      </c>
      <c r="F302" s="26" t="str">
        <f>IF(A302="","",IF(D302="",0,D302*Productos!G302))</f>
        <v/>
      </c>
      <c r="G302" s="26" t="str">
        <f>IF(A302="","",IF(D302="",0,D302*Productos!F302))</f>
        <v/>
      </c>
      <c r="H302" s="26" t="str">
        <f t="shared" si="9"/>
        <v/>
      </c>
      <c r="I302" t="str">
        <f>IF(A302="","",Productos!J302)</f>
        <v/>
      </c>
    </row>
    <row r="303" spans="1:9" hidden="1" x14ac:dyDescent="0.2">
      <c r="A303" s="18" t="str">
        <f>IF(Productos!A303="","",Productos!A303)</f>
        <v/>
      </c>
      <c r="B303" s="18" t="str">
        <f>IF(Productos!B303="","",Productos!B303)</f>
        <v/>
      </c>
      <c r="C303" s="18" t="str">
        <f>IF(Productos!$A303="","",Productos!H303)</f>
        <v/>
      </c>
      <c r="E303" s="18" t="str">
        <f t="shared" si="8"/>
        <v/>
      </c>
      <c r="F303" s="26" t="str">
        <f>IF(A303="","",IF(D303="",0,D303*Productos!G303))</f>
        <v/>
      </c>
      <c r="G303" s="26" t="str">
        <f>IF(A303="","",IF(D303="",0,D303*Productos!F303))</f>
        <v/>
      </c>
      <c r="H303" s="26" t="str">
        <f t="shared" si="9"/>
        <v/>
      </c>
      <c r="I303" t="str">
        <f>IF(A303="","",Productos!J303)</f>
        <v/>
      </c>
    </row>
    <row r="304" spans="1:9" hidden="1" x14ac:dyDescent="0.2">
      <c r="A304" s="18" t="str">
        <f>IF(Productos!A304="","",Productos!A304)</f>
        <v/>
      </c>
      <c r="B304" s="18" t="str">
        <f>IF(Productos!B304="","",Productos!B304)</f>
        <v/>
      </c>
      <c r="C304" s="18" t="str">
        <f>IF(Productos!$A304="","",Productos!H304)</f>
        <v/>
      </c>
      <c r="E304" s="18" t="str">
        <f t="shared" si="8"/>
        <v/>
      </c>
      <c r="F304" s="26" t="str">
        <f>IF(A304="","",IF(D304="",0,D304*Productos!G304))</f>
        <v/>
      </c>
      <c r="G304" s="26" t="str">
        <f>IF(A304="","",IF(D304="",0,D304*Productos!F304))</f>
        <v/>
      </c>
      <c r="H304" s="26" t="str">
        <f t="shared" si="9"/>
        <v/>
      </c>
      <c r="I304" t="str">
        <f>IF(A304="","",Productos!J304)</f>
        <v/>
      </c>
    </row>
    <row r="305" spans="1:9" hidden="1" x14ac:dyDescent="0.2">
      <c r="A305" s="18" t="str">
        <f>IF(Productos!A305="","",Productos!A305)</f>
        <v/>
      </c>
      <c r="B305" s="18" t="str">
        <f>IF(Productos!B305="","",Productos!B305)</f>
        <v/>
      </c>
      <c r="C305" s="18" t="str">
        <f>IF(Productos!$A305="","",Productos!H305)</f>
        <v/>
      </c>
      <c r="E305" s="18" t="str">
        <f t="shared" si="8"/>
        <v/>
      </c>
      <c r="F305" s="26" t="str">
        <f>IF(A305="","",IF(D305="",0,D305*Productos!G305))</f>
        <v/>
      </c>
      <c r="G305" s="26" t="str">
        <f>IF(A305="","",IF(D305="",0,D305*Productos!F305))</f>
        <v/>
      </c>
      <c r="H305" s="26" t="str">
        <f t="shared" si="9"/>
        <v/>
      </c>
      <c r="I305" t="str">
        <f>IF(A305="","",Productos!J305)</f>
        <v/>
      </c>
    </row>
    <row r="306" spans="1:9" hidden="1" x14ac:dyDescent="0.2">
      <c r="A306" s="18" t="str">
        <f>IF(Productos!A306="","",Productos!A306)</f>
        <v/>
      </c>
      <c r="B306" s="18" t="str">
        <f>IF(Productos!B306="","",Productos!B306)</f>
        <v/>
      </c>
      <c r="C306" s="18" t="str">
        <f>IF(Productos!$A306="","",Productos!H306)</f>
        <v/>
      </c>
      <c r="E306" s="18" t="str">
        <f t="shared" si="8"/>
        <v/>
      </c>
      <c r="F306" s="26" t="str">
        <f>IF(A306="","",IF(D306="",0,D306*Productos!G306))</f>
        <v/>
      </c>
      <c r="G306" s="26" t="str">
        <f>IF(A306="","",IF(D306="",0,D306*Productos!F306))</f>
        <v/>
      </c>
      <c r="H306" s="26" t="str">
        <f t="shared" si="9"/>
        <v/>
      </c>
      <c r="I306" t="str">
        <f>IF(A306="","",Productos!J306)</f>
        <v/>
      </c>
    </row>
    <row r="307" spans="1:9" hidden="1" x14ac:dyDescent="0.2">
      <c r="A307" s="18" t="str">
        <f>IF(Productos!A307="","",Productos!A307)</f>
        <v/>
      </c>
      <c r="B307" s="18" t="str">
        <f>IF(Productos!B307="","",Productos!B307)</f>
        <v/>
      </c>
      <c r="C307" s="18" t="str">
        <f>IF(Productos!$A307="","",Productos!H307)</f>
        <v/>
      </c>
      <c r="E307" s="18" t="str">
        <f t="shared" si="8"/>
        <v/>
      </c>
      <c r="F307" s="26" t="str">
        <f>IF(A307="","",IF(D307="",0,D307*Productos!G307))</f>
        <v/>
      </c>
      <c r="G307" s="26" t="str">
        <f>IF(A307="","",IF(D307="",0,D307*Productos!F307))</f>
        <v/>
      </c>
      <c r="H307" s="26" t="str">
        <f t="shared" si="9"/>
        <v/>
      </c>
      <c r="I307" t="str">
        <f>IF(A307="","",Productos!J307)</f>
        <v/>
      </c>
    </row>
    <row r="308" spans="1:9" hidden="1" x14ac:dyDescent="0.2">
      <c r="A308" s="18" t="str">
        <f>IF(Productos!A308="","",Productos!A308)</f>
        <v/>
      </c>
      <c r="B308" s="18" t="str">
        <f>IF(Productos!B308="","",Productos!B308)</f>
        <v/>
      </c>
      <c r="C308" s="18" t="str">
        <f>IF(Productos!$A308="","",Productos!H308)</f>
        <v/>
      </c>
      <c r="E308" s="18" t="str">
        <f t="shared" si="8"/>
        <v/>
      </c>
      <c r="F308" s="26" t="str">
        <f>IF(A308="","",IF(D308="",0,D308*Productos!G308))</f>
        <v/>
      </c>
      <c r="G308" s="26" t="str">
        <f>IF(A308="","",IF(D308="",0,D308*Productos!F308))</f>
        <v/>
      </c>
      <c r="H308" s="26" t="str">
        <f t="shared" si="9"/>
        <v/>
      </c>
      <c r="I308" t="str">
        <f>IF(A308="","",Productos!J308)</f>
        <v/>
      </c>
    </row>
    <row r="309" spans="1:9" hidden="1" x14ac:dyDescent="0.2">
      <c r="A309" s="18" t="str">
        <f>IF(Productos!A309="","",Productos!A309)</f>
        <v/>
      </c>
      <c r="B309" s="18" t="str">
        <f>IF(Productos!B309="","",Productos!B309)</f>
        <v/>
      </c>
      <c r="C309" s="18" t="str">
        <f>IF(Productos!$A309="","",Productos!H309)</f>
        <v/>
      </c>
      <c r="E309" s="18" t="str">
        <f t="shared" si="8"/>
        <v/>
      </c>
      <c r="F309" s="26" t="str">
        <f>IF(A309="","",IF(D309="",0,D309*Productos!G309))</f>
        <v/>
      </c>
      <c r="G309" s="26" t="str">
        <f>IF(A309="","",IF(D309="",0,D309*Productos!F309))</f>
        <v/>
      </c>
      <c r="H309" s="26" t="str">
        <f t="shared" si="9"/>
        <v/>
      </c>
      <c r="I309" t="str">
        <f>IF(A309="","",Productos!J309)</f>
        <v/>
      </c>
    </row>
    <row r="310" spans="1:9" hidden="1" x14ac:dyDescent="0.2">
      <c r="A310" s="18" t="str">
        <f>IF(Productos!A310="","",Productos!A310)</f>
        <v/>
      </c>
      <c r="B310" s="18" t="str">
        <f>IF(Productos!B310="","",Productos!B310)</f>
        <v/>
      </c>
      <c r="C310" s="18" t="str">
        <f>IF(Productos!$A310="","",Productos!H310)</f>
        <v/>
      </c>
      <c r="E310" s="18" t="str">
        <f t="shared" si="8"/>
        <v/>
      </c>
      <c r="F310" s="26" t="str">
        <f>IF(A310="","",IF(D310="",0,D310*Productos!G310))</f>
        <v/>
      </c>
      <c r="G310" s="26" t="str">
        <f>IF(A310="","",IF(D310="",0,D310*Productos!F310))</f>
        <v/>
      </c>
      <c r="H310" s="26" t="str">
        <f t="shared" si="9"/>
        <v/>
      </c>
      <c r="I310" t="str">
        <f>IF(A310="","",Productos!J310)</f>
        <v/>
      </c>
    </row>
    <row r="311" spans="1:9" hidden="1" x14ac:dyDescent="0.2">
      <c r="A311" s="18" t="str">
        <f>IF(Productos!A311="","",Productos!A311)</f>
        <v/>
      </c>
      <c r="B311" s="18" t="str">
        <f>IF(Productos!B311="","",Productos!B311)</f>
        <v/>
      </c>
      <c r="C311" s="18" t="str">
        <f>IF(Productos!$A311="","",Productos!H311)</f>
        <v/>
      </c>
      <c r="E311" s="18" t="str">
        <f t="shared" si="8"/>
        <v/>
      </c>
      <c r="F311" s="26" t="str">
        <f>IF(A311="","",IF(D311="",0,D311*Productos!G311))</f>
        <v/>
      </c>
      <c r="G311" s="26" t="str">
        <f>IF(A311="","",IF(D311="",0,D311*Productos!F311))</f>
        <v/>
      </c>
      <c r="H311" s="26" t="str">
        <f t="shared" si="9"/>
        <v/>
      </c>
      <c r="I311" t="str">
        <f>IF(A311="","",Productos!J311)</f>
        <v/>
      </c>
    </row>
    <row r="312" spans="1:9" hidden="1" x14ac:dyDescent="0.2">
      <c r="A312" s="18" t="str">
        <f>IF(Productos!A312="","",Productos!A312)</f>
        <v/>
      </c>
      <c r="B312" s="18" t="str">
        <f>IF(Productos!B312="","",Productos!B312)</f>
        <v/>
      </c>
      <c r="C312" s="18" t="str">
        <f>IF(Productos!$A312="","",Productos!H312)</f>
        <v/>
      </c>
      <c r="E312" s="18" t="str">
        <f t="shared" si="8"/>
        <v/>
      </c>
      <c r="F312" s="26" t="str">
        <f>IF(A312="","",IF(D312="",0,D312*Productos!G312))</f>
        <v/>
      </c>
      <c r="G312" s="26" t="str">
        <f>IF(A312="","",IF(D312="",0,D312*Productos!F312))</f>
        <v/>
      </c>
      <c r="H312" s="26" t="str">
        <f t="shared" si="9"/>
        <v/>
      </c>
      <c r="I312" t="str">
        <f>IF(A312="","",Productos!J312)</f>
        <v/>
      </c>
    </row>
    <row r="313" spans="1:9" hidden="1" x14ac:dyDescent="0.2">
      <c r="A313" s="18" t="str">
        <f>IF(Productos!A313="","",Productos!A313)</f>
        <v/>
      </c>
      <c r="B313" s="18" t="str">
        <f>IF(Productos!B313="","",Productos!B313)</f>
        <v/>
      </c>
      <c r="C313" s="18" t="str">
        <f>IF(Productos!$A313="","",Productos!H313)</f>
        <v/>
      </c>
      <c r="E313" s="18" t="str">
        <f t="shared" si="8"/>
        <v/>
      </c>
      <c r="F313" s="26" t="str">
        <f>IF(A313="","",IF(D313="",0,D313*Productos!G313))</f>
        <v/>
      </c>
      <c r="G313" s="26" t="str">
        <f>IF(A313="","",IF(D313="",0,D313*Productos!F313))</f>
        <v/>
      </c>
      <c r="H313" s="26" t="str">
        <f t="shared" si="9"/>
        <v/>
      </c>
      <c r="I313" t="str">
        <f>IF(A313="","",Productos!J313)</f>
        <v/>
      </c>
    </row>
    <row r="314" spans="1:9" hidden="1" x14ac:dyDescent="0.2">
      <c r="A314" s="18" t="str">
        <f>IF(Productos!A314="","",Productos!A314)</f>
        <v/>
      </c>
      <c r="B314" s="18" t="str">
        <f>IF(Productos!B314="","",Productos!B314)</f>
        <v/>
      </c>
      <c r="C314" s="18" t="str">
        <f>IF(Productos!$A314="","",Productos!H314)</f>
        <v/>
      </c>
      <c r="E314" s="18" t="str">
        <f t="shared" si="8"/>
        <v/>
      </c>
      <c r="F314" s="26" t="str">
        <f>IF(A314="","",IF(D314="",0,D314*Productos!G314))</f>
        <v/>
      </c>
      <c r="G314" s="26" t="str">
        <f>IF(A314="","",IF(D314="",0,D314*Productos!F314))</f>
        <v/>
      </c>
      <c r="H314" s="26" t="str">
        <f t="shared" si="9"/>
        <v/>
      </c>
      <c r="I314" t="str">
        <f>IF(A314="","",Productos!J314)</f>
        <v/>
      </c>
    </row>
    <row r="315" spans="1:9" hidden="1" x14ac:dyDescent="0.2">
      <c r="A315" s="18" t="str">
        <f>IF(Productos!A315="","",Productos!A315)</f>
        <v/>
      </c>
      <c r="B315" s="18" t="str">
        <f>IF(Productos!B315="","",Productos!B315)</f>
        <v/>
      </c>
      <c r="C315" s="18" t="str">
        <f>IF(Productos!$A315="","",Productos!H315)</f>
        <v/>
      </c>
      <c r="E315" s="18" t="str">
        <f t="shared" si="8"/>
        <v/>
      </c>
      <c r="F315" s="26" t="str">
        <f>IF(A315="","",IF(D315="",0,D315*Productos!G315))</f>
        <v/>
      </c>
      <c r="G315" s="26" t="str">
        <f>IF(A315="","",IF(D315="",0,D315*Productos!F315))</f>
        <v/>
      </c>
      <c r="H315" s="26" t="str">
        <f t="shared" si="9"/>
        <v/>
      </c>
      <c r="I315" t="str">
        <f>IF(A315="","",Productos!J315)</f>
        <v/>
      </c>
    </row>
    <row r="316" spans="1:9" hidden="1" x14ac:dyDescent="0.2">
      <c r="A316" s="18" t="str">
        <f>IF(Productos!A316="","",Productos!A316)</f>
        <v/>
      </c>
      <c r="B316" s="18" t="str">
        <f>IF(Productos!B316="","",Productos!B316)</f>
        <v/>
      </c>
      <c r="C316" s="18" t="str">
        <f>IF(Productos!$A316="","",Productos!H316)</f>
        <v/>
      </c>
      <c r="E316" s="18" t="str">
        <f t="shared" si="8"/>
        <v/>
      </c>
      <c r="F316" s="26" t="str">
        <f>IF(A316="","",IF(D316="",0,D316*Productos!G316))</f>
        <v/>
      </c>
      <c r="G316" s="26" t="str">
        <f>IF(A316="","",IF(D316="",0,D316*Productos!F316))</f>
        <v/>
      </c>
      <c r="H316" s="26" t="str">
        <f t="shared" si="9"/>
        <v/>
      </c>
      <c r="I316" t="str">
        <f>IF(A316="","",Productos!J316)</f>
        <v/>
      </c>
    </row>
    <row r="317" spans="1:9" hidden="1" x14ac:dyDescent="0.2">
      <c r="A317" s="18" t="str">
        <f>IF(Productos!A317="","",Productos!A317)</f>
        <v/>
      </c>
      <c r="B317" s="18" t="str">
        <f>IF(Productos!B317="","",Productos!B317)</f>
        <v/>
      </c>
      <c r="C317" s="18" t="str">
        <f>IF(Productos!$A317="","",Productos!H317)</f>
        <v/>
      </c>
      <c r="E317" s="18" t="str">
        <f t="shared" si="8"/>
        <v/>
      </c>
      <c r="F317" s="26" t="str">
        <f>IF(A317="","",IF(D317="",0,D317*Productos!G317))</f>
        <v/>
      </c>
      <c r="G317" s="26" t="str">
        <f>IF(A317="","",IF(D317="",0,D317*Productos!F317))</f>
        <v/>
      </c>
      <c r="H317" s="26" t="str">
        <f t="shared" si="9"/>
        <v/>
      </c>
      <c r="I317" t="str">
        <f>IF(A317="","",Productos!J317)</f>
        <v/>
      </c>
    </row>
    <row r="318" spans="1:9" hidden="1" x14ac:dyDescent="0.2">
      <c r="A318" s="18" t="str">
        <f>IF(Productos!A318="","",Productos!A318)</f>
        <v/>
      </c>
      <c r="B318" s="18" t="str">
        <f>IF(Productos!B318="","",Productos!B318)</f>
        <v/>
      </c>
      <c r="C318" s="18" t="str">
        <f>IF(Productos!$A318="","",Productos!H318)</f>
        <v/>
      </c>
      <c r="E318" s="18" t="str">
        <f t="shared" si="8"/>
        <v/>
      </c>
      <c r="F318" s="26" t="str">
        <f>IF(A318="","",IF(D318="",0,D318*Productos!G318))</f>
        <v/>
      </c>
      <c r="G318" s="26" t="str">
        <f>IF(A318="","",IF(D318="",0,D318*Productos!F318))</f>
        <v/>
      </c>
      <c r="H318" s="26" t="str">
        <f t="shared" si="9"/>
        <v/>
      </c>
      <c r="I318" t="str">
        <f>IF(A318="","",Productos!J318)</f>
        <v/>
      </c>
    </row>
    <row r="319" spans="1:9" hidden="1" x14ac:dyDescent="0.2">
      <c r="A319" s="18" t="str">
        <f>IF(Productos!A319="","",Productos!A319)</f>
        <v/>
      </c>
      <c r="B319" s="18" t="str">
        <f>IF(Productos!B319="","",Productos!B319)</f>
        <v/>
      </c>
      <c r="C319" s="18" t="str">
        <f>IF(Productos!$A319="","",Productos!H319)</f>
        <v/>
      </c>
      <c r="E319" s="18" t="str">
        <f t="shared" si="8"/>
        <v/>
      </c>
      <c r="F319" s="26" t="str">
        <f>IF(A319="","",IF(D319="",0,D319*Productos!G319))</f>
        <v/>
      </c>
      <c r="G319" s="26" t="str">
        <f>IF(A319="","",IF(D319="",0,D319*Productos!F319))</f>
        <v/>
      </c>
      <c r="H319" s="26" t="str">
        <f t="shared" si="9"/>
        <v/>
      </c>
      <c r="I319" t="str">
        <f>IF(A319="","",Productos!J319)</f>
        <v/>
      </c>
    </row>
    <row r="320" spans="1:9" hidden="1" x14ac:dyDescent="0.2">
      <c r="A320" s="18" t="str">
        <f>IF(Productos!A320="","",Productos!A320)</f>
        <v/>
      </c>
      <c r="B320" s="18" t="str">
        <f>IF(Productos!B320="","",Productos!B320)</f>
        <v/>
      </c>
      <c r="C320" s="18" t="str">
        <f>IF(Productos!$A320="","",Productos!H320)</f>
        <v/>
      </c>
      <c r="E320" s="18" t="str">
        <f t="shared" si="8"/>
        <v/>
      </c>
      <c r="F320" s="26" t="str">
        <f>IF(A320="","",IF(D320="",0,D320*Productos!G320))</f>
        <v/>
      </c>
      <c r="G320" s="26" t="str">
        <f>IF(A320="","",IF(D320="",0,D320*Productos!F320))</f>
        <v/>
      </c>
      <c r="H320" s="26" t="str">
        <f t="shared" si="9"/>
        <v/>
      </c>
      <c r="I320" t="str">
        <f>IF(A320="","",Productos!J320)</f>
        <v/>
      </c>
    </row>
    <row r="321" spans="1:9" hidden="1" x14ac:dyDescent="0.2">
      <c r="A321" s="18" t="str">
        <f>IF(Productos!A321="","",Productos!A321)</f>
        <v/>
      </c>
      <c r="B321" s="18" t="str">
        <f>IF(Productos!B321="","",Productos!B321)</f>
        <v/>
      </c>
      <c r="C321" s="18" t="str">
        <f>IF(Productos!$A321="","",Productos!H321)</f>
        <v/>
      </c>
      <c r="E321" s="18" t="str">
        <f t="shared" si="8"/>
        <v/>
      </c>
      <c r="F321" s="26" t="str">
        <f>IF(A321="","",IF(D321="",0,D321*Productos!G321))</f>
        <v/>
      </c>
      <c r="G321" s="26" t="str">
        <f>IF(A321="","",IF(D321="",0,D321*Productos!F321))</f>
        <v/>
      </c>
      <c r="H321" s="26" t="str">
        <f t="shared" si="9"/>
        <v/>
      </c>
      <c r="I321" t="str">
        <f>IF(A321="","",Productos!J321)</f>
        <v/>
      </c>
    </row>
    <row r="322" spans="1:9" hidden="1" x14ac:dyDescent="0.2">
      <c r="A322" s="18" t="str">
        <f>IF(Productos!A322="","",Productos!A322)</f>
        <v/>
      </c>
      <c r="B322" s="18" t="str">
        <f>IF(Productos!B322="","",Productos!B322)</f>
        <v/>
      </c>
      <c r="C322" s="18" t="str">
        <f>IF(Productos!$A322="","",Productos!H322)</f>
        <v/>
      </c>
      <c r="E322" s="18" t="str">
        <f t="shared" si="8"/>
        <v/>
      </c>
      <c r="F322" s="26" t="str">
        <f>IF(A322="","",IF(D322="",0,D322*Productos!G322))</f>
        <v/>
      </c>
      <c r="G322" s="26" t="str">
        <f>IF(A322="","",IF(D322="",0,D322*Productos!F322))</f>
        <v/>
      </c>
      <c r="H322" s="26" t="str">
        <f t="shared" si="9"/>
        <v/>
      </c>
      <c r="I322" t="str">
        <f>IF(A322="","",Productos!J322)</f>
        <v/>
      </c>
    </row>
    <row r="323" spans="1:9" hidden="1" x14ac:dyDescent="0.2">
      <c r="A323" s="18" t="str">
        <f>IF(Productos!A323="","",Productos!A323)</f>
        <v/>
      </c>
      <c r="B323" s="18" t="str">
        <f>IF(Productos!B323="","",Productos!B323)</f>
        <v/>
      </c>
      <c r="C323" s="18" t="str">
        <f>IF(Productos!$A323="","",Productos!H323)</f>
        <v/>
      </c>
      <c r="E323" s="18" t="str">
        <f t="shared" ref="E323:E386" si="10">IF(C323="","",C323-IF(D323="",0,D323))</f>
        <v/>
      </c>
      <c r="F323" s="26" t="str">
        <f>IF(A323="","",IF(D323="",0,D323*Productos!G323))</f>
        <v/>
      </c>
      <c r="G323" s="26" t="str">
        <f>IF(A323="","",IF(D323="",0,D323*Productos!F323))</f>
        <v/>
      </c>
      <c r="H323" s="26" t="str">
        <f t="shared" ref="H323:H386" si="11">IF(A323="","",F323-G323)</f>
        <v/>
      </c>
      <c r="I323" t="str">
        <f>IF(A323="","",Productos!J323)</f>
        <v/>
      </c>
    </row>
    <row r="324" spans="1:9" hidden="1" x14ac:dyDescent="0.2">
      <c r="A324" s="18" t="str">
        <f>IF(Productos!A324="","",Productos!A324)</f>
        <v/>
      </c>
      <c r="B324" s="18" t="str">
        <f>IF(Productos!B324="","",Productos!B324)</f>
        <v/>
      </c>
      <c r="C324" s="18" t="str">
        <f>IF(Productos!$A324="","",Productos!H324)</f>
        <v/>
      </c>
      <c r="E324" s="18" t="str">
        <f t="shared" si="10"/>
        <v/>
      </c>
      <c r="F324" s="26" t="str">
        <f>IF(A324="","",IF(D324="",0,D324*Productos!G324))</f>
        <v/>
      </c>
      <c r="G324" s="26" t="str">
        <f>IF(A324="","",IF(D324="",0,D324*Productos!F324))</f>
        <v/>
      </c>
      <c r="H324" s="26" t="str">
        <f t="shared" si="11"/>
        <v/>
      </c>
      <c r="I324" t="str">
        <f>IF(A324="","",Productos!J324)</f>
        <v/>
      </c>
    </row>
    <row r="325" spans="1:9" hidden="1" x14ac:dyDescent="0.2">
      <c r="A325" s="18" t="str">
        <f>IF(Productos!A325="","",Productos!A325)</f>
        <v/>
      </c>
      <c r="B325" s="18" t="str">
        <f>IF(Productos!B325="","",Productos!B325)</f>
        <v/>
      </c>
      <c r="C325" s="18" t="str">
        <f>IF(Productos!$A325="","",Productos!H325)</f>
        <v/>
      </c>
      <c r="E325" s="18" t="str">
        <f t="shared" si="10"/>
        <v/>
      </c>
      <c r="F325" s="26" t="str">
        <f>IF(A325="","",IF(D325="",0,D325*Productos!G325))</f>
        <v/>
      </c>
      <c r="G325" s="26" t="str">
        <f>IF(A325="","",IF(D325="",0,D325*Productos!F325))</f>
        <v/>
      </c>
      <c r="H325" s="26" t="str">
        <f t="shared" si="11"/>
        <v/>
      </c>
      <c r="I325" t="str">
        <f>IF(A325="","",Productos!J325)</f>
        <v/>
      </c>
    </row>
    <row r="326" spans="1:9" hidden="1" x14ac:dyDescent="0.2">
      <c r="A326" s="18" t="str">
        <f>IF(Productos!A326="","",Productos!A326)</f>
        <v/>
      </c>
      <c r="B326" s="18" t="str">
        <f>IF(Productos!B326="","",Productos!B326)</f>
        <v/>
      </c>
      <c r="C326" s="18" t="str">
        <f>IF(Productos!$A326="","",Productos!H326)</f>
        <v/>
      </c>
      <c r="E326" s="18" t="str">
        <f t="shared" si="10"/>
        <v/>
      </c>
      <c r="F326" s="26" t="str">
        <f>IF(A326="","",IF(D326="",0,D326*Productos!G326))</f>
        <v/>
      </c>
      <c r="G326" s="26" t="str">
        <f>IF(A326="","",IF(D326="",0,D326*Productos!F326))</f>
        <v/>
      </c>
      <c r="H326" s="26" t="str">
        <f t="shared" si="11"/>
        <v/>
      </c>
      <c r="I326" t="str">
        <f>IF(A326="","",Productos!J326)</f>
        <v/>
      </c>
    </row>
    <row r="327" spans="1:9" hidden="1" x14ac:dyDescent="0.2">
      <c r="A327" s="18" t="str">
        <f>IF(Productos!A327="","",Productos!A327)</f>
        <v/>
      </c>
      <c r="B327" s="18" t="str">
        <f>IF(Productos!B327="","",Productos!B327)</f>
        <v/>
      </c>
      <c r="C327" s="18" t="str">
        <f>IF(Productos!$A327="","",Productos!H327)</f>
        <v/>
      </c>
      <c r="E327" s="18" t="str">
        <f t="shared" si="10"/>
        <v/>
      </c>
      <c r="F327" s="26" t="str">
        <f>IF(A327="","",IF(D327="",0,D327*Productos!G327))</f>
        <v/>
      </c>
      <c r="G327" s="26" t="str">
        <f>IF(A327="","",IF(D327="",0,D327*Productos!F327))</f>
        <v/>
      </c>
      <c r="H327" s="26" t="str">
        <f t="shared" si="11"/>
        <v/>
      </c>
      <c r="I327" t="str">
        <f>IF(A327="","",Productos!J327)</f>
        <v/>
      </c>
    </row>
    <row r="328" spans="1:9" hidden="1" x14ac:dyDescent="0.2">
      <c r="A328" s="18" t="str">
        <f>IF(Productos!A328="","",Productos!A328)</f>
        <v/>
      </c>
      <c r="B328" s="18" t="str">
        <f>IF(Productos!B328="","",Productos!B328)</f>
        <v/>
      </c>
      <c r="C328" s="18" t="str">
        <f>IF(Productos!$A328="","",Productos!H328)</f>
        <v/>
      </c>
      <c r="E328" s="18" t="str">
        <f t="shared" si="10"/>
        <v/>
      </c>
      <c r="F328" s="26" t="str">
        <f>IF(A328="","",IF(D328="",0,D328*Productos!G328))</f>
        <v/>
      </c>
      <c r="G328" s="26" t="str">
        <f>IF(A328="","",IF(D328="",0,D328*Productos!F328))</f>
        <v/>
      </c>
      <c r="H328" s="26" t="str">
        <f t="shared" si="11"/>
        <v/>
      </c>
      <c r="I328" t="str">
        <f>IF(A328="","",Productos!J328)</f>
        <v/>
      </c>
    </row>
    <row r="329" spans="1:9" hidden="1" x14ac:dyDescent="0.2">
      <c r="A329" s="18" t="str">
        <f>IF(Productos!A329="","",Productos!A329)</f>
        <v/>
      </c>
      <c r="B329" s="18" t="str">
        <f>IF(Productos!B329="","",Productos!B329)</f>
        <v/>
      </c>
      <c r="C329" s="18" t="str">
        <f>IF(Productos!$A329="","",Productos!H329)</f>
        <v/>
      </c>
      <c r="E329" s="18" t="str">
        <f t="shared" si="10"/>
        <v/>
      </c>
      <c r="F329" s="26" t="str">
        <f>IF(A329="","",IF(D329="",0,D329*Productos!G329))</f>
        <v/>
      </c>
      <c r="G329" s="26" t="str">
        <f>IF(A329="","",IF(D329="",0,D329*Productos!F329))</f>
        <v/>
      </c>
      <c r="H329" s="26" t="str">
        <f t="shared" si="11"/>
        <v/>
      </c>
      <c r="I329" t="str">
        <f>IF(A329="","",Productos!J329)</f>
        <v/>
      </c>
    </row>
    <row r="330" spans="1:9" hidden="1" x14ac:dyDescent="0.2">
      <c r="A330" s="18" t="str">
        <f>IF(Productos!A330="","",Productos!A330)</f>
        <v/>
      </c>
      <c r="B330" s="18" t="str">
        <f>IF(Productos!B330="","",Productos!B330)</f>
        <v/>
      </c>
      <c r="C330" s="18" t="str">
        <f>IF(Productos!$A330="","",Productos!H330)</f>
        <v/>
      </c>
      <c r="E330" s="18" t="str">
        <f t="shared" si="10"/>
        <v/>
      </c>
      <c r="F330" s="26" t="str">
        <f>IF(A330="","",IF(D330="",0,D330*Productos!G330))</f>
        <v/>
      </c>
      <c r="G330" s="26" t="str">
        <f>IF(A330="","",IF(D330="",0,D330*Productos!F330))</f>
        <v/>
      </c>
      <c r="H330" s="26" t="str">
        <f t="shared" si="11"/>
        <v/>
      </c>
      <c r="I330" t="str">
        <f>IF(A330="","",Productos!J330)</f>
        <v/>
      </c>
    </row>
    <row r="331" spans="1:9" hidden="1" x14ac:dyDescent="0.2">
      <c r="A331" s="18" t="str">
        <f>IF(Productos!A331="","",Productos!A331)</f>
        <v/>
      </c>
      <c r="B331" s="18" t="str">
        <f>IF(Productos!B331="","",Productos!B331)</f>
        <v/>
      </c>
      <c r="C331" s="18" t="str">
        <f>IF(Productos!$A331="","",Productos!H331)</f>
        <v/>
      </c>
      <c r="E331" s="18" t="str">
        <f t="shared" si="10"/>
        <v/>
      </c>
      <c r="F331" s="26" t="str">
        <f>IF(A331="","",IF(D331="",0,D331*Productos!G331))</f>
        <v/>
      </c>
      <c r="G331" s="26" t="str">
        <f>IF(A331="","",IF(D331="",0,D331*Productos!F331))</f>
        <v/>
      </c>
      <c r="H331" s="26" t="str">
        <f t="shared" si="11"/>
        <v/>
      </c>
      <c r="I331" t="str">
        <f>IF(A331="","",Productos!J331)</f>
        <v/>
      </c>
    </row>
    <row r="332" spans="1:9" hidden="1" x14ac:dyDescent="0.2">
      <c r="A332" s="18" t="str">
        <f>IF(Productos!A332="","",Productos!A332)</f>
        <v/>
      </c>
      <c r="B332" s="18" t="str">
        <f>IF(Productos!B332="","",Productos!B332)</f>
        <v/>
      </c>
      <c r="C332" s="18" t="str">
        <f>IF(Productos!$A332="","",Productos!H332)</f>
        <v/>
      </c>
      <c r="E332" s="18" t="str">
        <f t="shared" si="10"/>
        <v/>
      </c>
      <c r="F332" s="26" t="str">
        <f>IF(A332="","",IF(D332="",0,D332*Productos!G332))</f>
        <v/>
      </c>
      <c r="G332" s="26" t="str">
        <f>IF(A332="","",IF(D332="",0,D332*Productos!F332))</f>
        <v/>
      </c>
      <c r="H332" s="26" t="str">
        <f t="shared" si="11"/>
        <v/>
      </c>
      <c r="I332" t="str">
        <f>IF(A332="","",Productos!J332)</f>
        <v/>
      </c>
    </row>
    <row r="333" spans="1:9" hidden="1" x14ac:dyDescent="0.2">
      <c r="A333" s="18" t="str">
        <f>IF(Productos!A333="","",Productos!A333)</f>
        <v/>
      </c>
      <c r="B333" s="18" t="str">
        <f>IF(Productos!B333="","",Productos!B333)</f>
        <v/>
      </c>
      <c r="C333" s="18" t="str">
        <f>IF(Productos!$A333="","",Productos!H333)</f>
        <v/>
      </c>
      <c r="E333" s="18" t="str">
        <f t="shared" si="10"/>
        <v/>
      </c>
      <c r="F333" s="26" t="str">
        <f>IF(A333="","",IF(D333="",0,D333*Productos!G333))</f>
        <v/>
      </c>
      <c r="G333" s="26" t="str">
        <f>IF(A333="","",IF(D333="",0,D333*Productos!F333))</f>
        <v/>
      </c>
      <c r="H333" s="26" t="str">
        <f t="shared" si="11"/>
        <v/>
      </c>
      <c r="I333" t="str">
        <f>IF(A333="","",Productos!J333)</f>
        <v/>
      </c>
    </row>
    <row r="334" spans="1:9" hidden="1" x14ac:dyDescent="0.2">
      <c r="A334" s="18" t="str">
        <f>IF(Productos!A334="","",Productos!A334)</f>
        <v/>
      </c>
      <c r="B334" s="18" t="str">
        <f>IF(Productos!B334="","",Productos!B334)</f>
        <v/>
      </c>
      <c r="C334" s="18" t="str">
        <f>IF(Productos!$A334="","",Productos!H334)</f>
        <v/>
      </c>
      <c r="E334" s="18" t="str">
        <f t="shared" si="10"/>
        <v/>
      </c>
      <c r="F334" s="26" t="str">
        <f>IF(A334="","",IF(D334="",0,D334*Productos!G334))</f>
        <v/>
      </c>
      <c r="G334" s="26" t="str">
        <f>IF(A334="","",IF(D334="",0,D334*Productos!F334))</f>
        <v/>
      </c>
      <c r="H334" s="26" t="str">
        <f t="shared" si="11"/>
        <v/>
      </c>
      <c r="I334" t="str">
        <f>IF(A334="","",Productos!J334)</f>
        <v/>
      </c>
    </row>
    <row r="335" spans="1:9" hidden="1" x14ac:dyDescent="0.2">
      <c r="A335" s="18" t="str">
        <f>IF(Productos!A335="","",Productos!A335)</f>
        <v/>
      </c>
      <c r="B335" s="18" t="str">
        <f>IF(Productos!B335="","",Productos!B335)</f>
        <v/>
      </c>
      <c r="C335" s="18" t="str">
        <f>IF(Productos!$A335="","",Productos!H335)</f>
        <v/>
      </c>
      <c r="E335" s="18" t="str">
        <f t="shared" si="10"/>
        <v/>
      </c>
      <c r="F335" s="26" t="str">
        <f>IF(A335="","",IF(D335="",0,D335*Productos!G335))</f>
        <v/>
      </c>
      <c r="G335" s="26" t="str">
        <f>IF(A335="","",IF(D335="",0,D335*Productos!F335))</f>
        <v/>
      </c>
      <c r="H335" s="26" t="str">
        <f t="shared" si="11"/>
        <v/>
      </c>
      <c r="I335" t="str">
        <f>IF(A335="","",Productos!J335)</f>
        <v/>
      </c>
    </row>
    <row r="336" spans="1:9" hidden="1" x14ac:dyDescent="0.2">
      <c r="A336" s="18" t="str">
        <f>IF(Productos!A336="","",Productos!A336)</f>
        <v/>
      </c>
      <c r="B336" s="18" t="str">
        <f>IF(Productos!B336="","",Productos!B336)</f>
        <v/>
      </c>
      <c r="C336" s="18" t="str">
        <f>IF(Productos!$A336="","",Productos!H336)</f>
        <v/>
      </c>
      <c r="E336" s="18" t="str">
        <f t="shared" si="10"/>
        <v/>
      </c>
      <c r="F336" s="26" t="str">
        <f>IF(A336="","",IF(D336="",0,D336*Productos!G336))</f>
        <v/>
      </c>
      <c r="G336" s="26" t="str">
        <f>IF(A336="","",IF(D336="",0,D336*Productos!F336))</f>
        <v/>
      </c>
      <c r="H336" s="26" t="str">
        <f t="shared" si="11"/>
        <v/>
      </c>
      <c r="I336" t="str">
        <f>IF(A336="","",Productos!J336)</f>
        <v/>
      </c>
    </row>
    <row r="337" spans="1:9" hidden="1" x14ac:dyDescent="0.2">
      <c r="A337" s="18" t="str">
        <f>IF(Productos!A337="","",Productos!A337)</f>
        <v/>
      </c>
      <c r="B337" s="18" t="str">
        <f>IF(Productos!B337="","",Productos!B337)</f>
        <v/>
      </c>
      <c r="C337" s="18" t="str">
        <f>IF(Productos!$A337="","",Productos!H337)</f>
        <v/>
      </c>
      <c r="E337" s="18" t="str">
        <f t="shared" si="10"/>
        <v/>
      </c>
      <c r="F337" s="26" t="str">
        <f>IF(A337="","",IF(D337="",0,D337*Productos!G337))</f>
        <v/>
      </c>
      <c r="G337" s="26" t="str">
        <f>IF(A337="","",IF(D337="",0,D337*Productos!F337))</f>
        <v/>
      </c>
      <c r="H337" s="26" t="str">
        <f t="shared" si="11"/>
        <v/>
      </c>
      <c r="I337" t="str">
        <f>IF(A337="","",Productos!J337)</f>
        <v/>
      </c>
    </row>
    <row r="338" spans="1:9" hidden="1" x14ac:dyDescent="0.2">
      <c r="A338" s="18" t="str">
        <f>IF(Productos!A338="","",Productos!A338)</f>
        <v/>
      </c>
      <c r="B338" s="18" t="str">
        <f>IF(Productos!B338="","",Productos!B338)</f>
        <v/>
      </c>
      <c r="C338" s="18" t="str">
        <f>IF(Productos!$A338="","",Productos!H338)</f>
        <v/>
      </c>
      <c r="E338" s="18" t="str">
        <f t="shared" si="10"/>
        <v/>
      </c>
      <c r="F338" s="26" t="str">
        <f>IF(A338="","",IF(D338="",0,D338*Productos!G338))</f>
        <v/>
      </c>
      <c r="G338" s="26" t="str">
        <f>IF(A338="","",IF(D338="",0,D338*Productos!F338))</f>
        <v/>
      </c>
      <c r="H338" s="26" t="str">
        <f t="shared" si="11"/>
        <v/>
      </c>
      <c r="I338" t="str">
        <f>IF(A338="","",Productos!J338)</f>
        <v/>
      </c>
    </row>
    <row r="339" spans="1:9" hidden="1" x14ac:dyDescent="0.2">
      <c r="A339" s="18" t="str">
        <f>IF(Productos!A339="","",Productos!A339)</f>
        <v/>
      </c>
      <c r="B339" s="18" t="str">
        <f>IF(Productos!B339="","",Productos!B339)</f>
        <v/>
      </c>
      <c r="C339" s="18" t="str">
        <f>IF(Productos!$A339="","",Productos!H339)</f>
        <v/>
      </c>
      <c r="E339" s="18" t="str">
        <f t="shared" si="10"/>
        <v/>
      </c>
      <c r="F339" s="26" t="str">
        <f>IF(A339="","",IF(D339="",0,D339*Productos!G339))</f>
        <v/>
      </c>
      <c r="G339" s="26" t="str">
        <f>IF(A339="","",IF(D339="",0,D339*Productos!F339))</f>
        <v/>
      </c>
      <c r="H339" s="26" t="str">
        <f t="shared" si="11"/>
        <v/>
      </c>
      <c r="I339" t="str">
        <f>IF(A339="","",Productos!J339)</f>
        <v/>
      </c>
    </row>
    <row r="340" spans="1:9" hidden="1" x14ac:dyDescent="0.2">
      <c r="A340" s="18" t="str">
        <f>IF(Productos!A340="","",Productos!A340)</f>
        <v/>
      </c>
      <c r="B340" s="18" t="str">
        <f>IF(Productos!B340="","",Productos!B340)</f>
        <v/>
      </c>
      <c r="C340" s="18" t="str">
        <f>IF(Productos!$A340="","",Productos!H340)</f>
        <v/>
      </c>
      <c r="E340" s="18" t="str">
        <f t="shared" si="10"/>
        <v/>
      </c>
      <c r="F340" s="26" t="str">
        <f>IF(A340="","",IF(D340="",0,D340*Productos!G340))</f>
        <v/>
      </c>
      <c r="G340" s="26" t="str">
        <f>IF(A340="","",IF(D340="",0,D340*Productos!F340))</f>
        <v/>
      </c>
      <c r="H340" s="26" t="str">
        <f t="shared" si="11"/>
        <v/>
      </c>
      <c r="I340" t="str">
        <f>IF(A340="","",Productos!J340)</f>
        <v/>
      </c>
    </row>
    <row r="341" spans="1:9" hidden="1" x14ac:dyDescent="0.2">
      <c r="A341" s="18" t="str">
        <f>IF(Productos!A341="","",Productos!A341)</f>
        <v/>
      </c>
      <c r="B341" s="18" t="str">
        <f>IF(Productos!B341="","",Productos!B341)</f>
        <v/>
      </c>
      <c r="C341" s="18" t="str">
        <f>IF(Productos!$A341="","",Productos!H341)</f>
        <v/>
      </c>
      <c r="E341" s="18" t="str">
        <f t="shared" si="10"/>
        <v/>
      </c>
      <c r="F341" s="26" t="str">
        <f>IF(A341="","",IF(D341="",0,D341*Productos!G341))</f>
        <v/>
      </c>
      <c r="G341" s="26" t="str">
        <f>IF(A341="","",IF(D341="",0,D341*Productos!F341))</f>
        <v/>
      </c>
      <c r="H341" s="26" t="str">
        <f t="shared" si="11"/>
        <v/>
      </c>
      <c r="I341" t="str">
        <f>IF(A341="","",Productos!J341)</f>
        <v/>
      </c>
    </row>
    <row r="342" spans="1:9" hidden="1" x14ac:dyDescent="0.2">
      <c r="A342" s="18" t="str">
        <f>IF(Productos!A342="","",Productos!A342)</f>
        <v/>
      </c>
      <c r="B342" s="18" t="str">
        <f>IF(Productos!B342="","",Productos!B342)</f>
        <v/>
      </c>
      <c r="C342" s="18" t="str">
        <f>IF(Productos!$A342="","",Productos!H342)</f>
        <v/>
      </c>
      <c r="E342" s="18" t="str">
        <f t="shared" si="10"/>
        <v/>
      </c>
      <c r="F342" s="26" t="str">
        <f>IF(A342="","",IF(D342="",0,D342*Productos!G342))</f>
        <v/>
      </c>
      <c r="G342" s="26" t="str">
        <f>IF(A342="","",IF(D342="",0,D342*Productos!F342))</f>
        <v/>
      </c>
      <c r="H342" s="26" t="str">
        <f t="shared" si="11"/>
        <v/>
      </c>
      <c r="I342" t="str">
        <f>IF(A342="","",Productos!J342)</f>
        <v/>
      </c>
    </row>
    <row r="343" spans="1:9" hidden="1" x14ac:dyDescent="0.2">
      <c r="A343" s="18" t="str">
        <f>IF(Productos!A343="","",Productos!A343)</f>
        <v/>
      </c>
      <c r="B343" s="18" t="str">
        <f>IF(Productos!B343="","",Productos!B343)</f>
        <v/>
      </c>
      <c r="C343" s="18" t="str">
        <f>IF(Productos!$A343="","",Productos!H343)</f>
        <v/>
      </c>
      <c r="E343" s="18" t="str">
        <f t="shared" si="10"/>
        <v/>
      </c>
      <c r="F343" s="26" t="str">
        <f>IF(A343="","",IF(D343="",0,D343*Productos!G343))</f>
        <v/>
      </c>
      <c r="G343" s="26" t="str">
        <f>IF(A343="","",IF(D343="",0,D343*Productos!F343))</f>
        <v/>
      </c>
      <c r="H343" s="26" t="str">
        <f t="shared" si="11"/>
        <v/>
      </c>
      <c r="I343" t="str">
        <f>IF(A343="","",Productos!J343)</f>
        <v/>
      </c>
    </row>
    <row r="344" spans="1:9" hidden="1" x14ac:dyDescent="0.2">
      <c r="A344" s="18" t="str">
        <f>IF(Productos!A344="","",Productos!A344)</f>
        <v/>
      </c>
      <c r="B344" s="18" t="str">
        <f>IF(Productos!B344="","",Productos!B344)</f>
        <v/>
      </c>
      <c r="C344" s="18" t="str">
        <f>IF(Productos!$A344="","",Productos!H344)</f>
        <v/>
      </c>
      <c r="E344" s="18" t="str">
        <f t="shared" si="10"/>
        <v/>
      </c>
      <c r="F344" s="26" t="str">
        <f>IF(A344="","",IF(D344="",0,D344*Productos!G344))</f>
        <v/>
      </c>
      <c r="G344" s="26" t="str">
        <f>IF(A344="","",IF(D344="",0,D344*Productos!F344))</f>
        <v/>
      </c>
      <c r="H344" s="26" t="str">
        <f t="shared" si="11"/>
        <v/>
      </c>
      <c r="I344" t="str">
        <f>IF(A344="","",Productos!J344)</f>
        <v/>
      </c>
    </row>
    <row r="345" spans="1:9" hidden="1" x14ac:dyDescent="0.2">
      <c r="A345" s="18" t="str">
        <f>IF(Productos!A345="","",Productos!A345)</f>
        <v/>
      </c>
      <c r="B345" s="18" t="str">
        <f>IF(Productos!B345="","",Productos!B345)</f>
        <v/>
      </c>
      <c r="C345" s="18" t="str">
        <f>IF(Productos!$A345="","",Productos!H345)</f>
        <v/>
      </c>
      <c r="E345" s="18" t="str">
        <f t="shared" si="10"/>
        <v/>
      </c>
      <c r="F345" s="26" t="str">
        <f>IF(A345="","",IF(D345="",0,D345*Productos!G345))</f>
        <v/>
      </c>
      <c r="G345" s="26" t="str">
        <f>IF(A345="","",IF(D345="",0,D345*Productos!F345))</f>
        <v/>
      </c>
      <c r="H345" s="26" t="str">
        <f t="shared" si="11"/>
        <v/>
      </c>
      <c r="I345" t="str">
        <f>IF(A345="","",Productos!J345)</f>
        <v/>
      </c>
    </row>
    <row r="346" spans="1:9" hidden="1" x14ac:dyDescent="0.2">
      <c r="A346" s="18" t="str">
        <f>IF(Productos!A346="","",Productos!A346)</f>
        <v/>
      </c>
      <c r="B346" s="18" t="str">
        <f>IF(Productos!B346="","",Productos!B346)</f>
        <v/>
      </c>
      <c r="C346" s="18" t="str">
        <f>IF(Productos!$A346="","",Productos!H346)</f>
        <v/>
      </c>
      <c r="E346" s="18" t="str">
        <f t="shared" si="10"/>
        <v/>
      </c>
      <c r="F346" s="26" t="str">
        <f>IF(A346="","",IF(D346="",0,D346*Productos!G346))</f>
        <v/>
      </c>
      <c r="G346" s="26" t="str">
        <f>IF(A346="","",IF(D346="",0,D346*Productos!F346))</f>
        <v/>
      </c>
      <c r="H346" s="26" t="str">
        <f t="shared" si="11"/>
        <v/>
      </c>
      <c r="I346" t="str">
        <f>IF(A346="","",Productos!J346)</f>
        <v/>
      </c>
    </row>
    <row r="347" spans="1:9" hidden="1" x14ac:dyDescent="0.2">
      <c r="A347" s="18" t="str">
        <f>IF(Productos!A347="","",Productos!A347)</f>
        <v/>
      </c>
      <c r="B347" s="18" t="str">
        <f>IF(Productos!B347="","",Productos!B347)</f>
        <v/>
      </c>
      <c r="C347" s="18" t="str">
        <f>IF(Productos!$A347="","",Productos!H347)</f>
        <v/>
      </c>
      <c r="E347" s="18" t="str">
        <f t="shared" si="10"/>
        <v/>
      </c>
      <c r="F347" s="26" t="str">
        <f>IF(A347="","",IF(D347="",0,D347*Productos!G347))</f>
        <v/>
      </c>
      <c r="G347" s="26" t="str">
        <f>IF(A347="","",IF(D347="",0,D347*Productos!F347))</f>
        <v/>
      </c>
      <c r="H347" s="26" t="str">
        <f t="shared" si="11"/>
        <v/>
      </c>
      <c r="I347" t="str">
        <f>IF(A347="","",Productos!J347)</f>
        <v/>
      </c>
    </row>
    <row r="348" spans="1:9" hidden="1" x14ac:dyDescent="0.2">
      <c r="A348" s="18" t="str">
        <f>IF(Productos!A348="","",Productos!A348)</f>
        <v/>
      </c>
      <c r="B348" s="18" t="str">
        <f>IF(Productos!B348="","",Productos!B348)</f>
        <v/>
      </c>
      <c r="C348" s="18" t="str">
        <f>IF(Productos!$A348="","",Productos!H348)</f>
        <v/>
      </c>
      <c r="E348" s="18" t="str">
        <f t="shared" si="10"/>
        <v/>
      </c>
      <c r="F348" s="26" t="str">
        <f>IF(A348="","",IF(D348="",0,D348*Productos!G348))</f>
        <v/>
      </c>
      <c r="G348" s="26" t="str">
        <f>IF(A348="","",IF(D348="",0,D348*Productos!F348))</f>
        <v/>
      </c>
      <c r="H348" s="26" t="str">
        <f t="shared" si="11"/>
        <v/>
      </c>
      <c r="I348" t="str">
        <f>IF(A348="","",Productos!J348)</f>
        <v/>
      </c>
    </row>
    <row r="349" spans="1:9" hidden="1" x14ac:dyDescent="0.2">
      <c r="A349" s="18" t="str">
        <f>IF(Productos!A349="","",Productos!A349)</f>
        <v/>
      </c>
      <c r="B349" s="18" t="str">
        <f>IF(Productos!B349="","",Productos!B349)</f>
        <v/>
      </c>
      <c r="C349" s="18" t="str">
        <f>IF(Productos!$A349="","",Productos!H349)</f>
        <v/>
      </c>
      <c r="E349" s="18" t="str">
        <f t="shared" si="10"/>
        <v/>
      </c>
      <c r="F349" s="26" t="str">
        <f>IF(A349="","",IF(D349="",0,D349*Productos!G349))</f>
        <v/>
      </c>
      <c r="G349" s="26" t="str">
        <f>IF(A349="","",IF(D349="",0,D349*Productos!F349))</f>
        <v/>
      </c>
      <c r="H349" s="26" t="str">
        <f t="shared" si="11"/>
        <v/>
      </c>
      <c r="I349" t="str">
        <f>IF(A349="","",Productos!J349)</f>
        <v/>
      </c>
    </row>
    <row r="350" spans="1:9" hidden="1" x14ac:dyDescent="0.2">
      <c r="A350" s="18" t="str">
        <f>IF(Productos!A350="","",Productos!A350)</f>
        <v/>
      </c>
      <c r="B350" s="18" t="str">
        <f>IF(Productos!B350="","",Productos!B350)</f>
        <v/>
      </c>
      <c r="C350" s="18" t="str">
        <f>IF(Productos!$A350="","",Productos!H350)</f>
        <v/>
      </c>
      <c r="E350" s="18" t="str">
        <f t="shared" si="10"/>
        <v/>
      </c>
      <c r="F350" s="26" t="str">
        <f>IF(A350="","",IF(D350="",0,D350*Productos!G350))</f>
        <v/>
      </c>
      <c r="G350" s="26" t="str">
        <f>IF(A350="","",IF(D350="",0,D350*Productos!F350))</f>
        <v/>
      </c>
      <c r="H350" s="26" t="str">
        <f t="shared" si="11"/>
        <v/>
      </c>
      <c r="I350" t="str">
        <f>IF(A350="","",Productos!J350)</f>
        <v/>
      </c>
    </row>
    <row r="351" spans="1:9" hidden="1" x14ac:dyDescent="0.2">
      <c r="A351" s="18" t="str">
        <f>IF(Productos!A351="","",Productos!A351)</f>
        <v/>
      </c>
      <c r="B351" s="18" t="str">
        <f>IF(Productos!B351="","",Productos!B351)</f>
        <v/>
      </c>
      <c r="C351" s="18" t="str">
        <f>IF(Productos!$A351="","",Productos!H351)</f>
        <v/>
      </c>
      <c r="E351" s="18" t="str">
        <f t="shared" si="10"/>
        <v/>
      </c>
      <c r="F351" s="26" t="str">
        <f>IF(A351="","",IF(D351="",0,D351*Productos!G351))</f>
        <v/>
      </c>
      <c r="G351" s="26" t="str">
        <f>IF(A351="","",IF(D351="",0,D351*Productos!F351))</f>
        <v/>
      </c>
      <c r="H351" s="26" t="str">
        <f t="shared" si="11"/>
        <v/>
      </c>
      <c r="I351" t="str">
        <f>IF(A351="","",Productos!J351)</f>
        <v/>
      </c>
    </row>
    <row r="352" spans="1:9" hidden="1" x14ac:dyDescent="0.2">
      <c r="A352" s="18" t="str">
        <f>IF(Productos!A352="","",Productos!A352)</f>
        <v/>
      </c>
      <c r="B352" s="18" t="str">
        <f>IF(Productos!B352="","",Productos!B352)</f>
        <v/>
      </c>
      <c r="C352" s="18" t="str">
        <f>IF(Productos!$A352="","",Productos!H352)</f>
        <v/>
      </c>
      <c r="E352" s="18" t="str">
        <f t="shared" si="10"/>
        <v/>
      </c>
      <c r="F352" s="26" t="str">
        <f>IF(A352="","",IF(D352="",0,D352*Productos!G352))</f>
        <v/>
      </c>
      <c r="G352" s="26" t="str">
        <f>IF(A352="","",IF(D352="",0,D352*Productos!F352))</f>
        <v/>
      </c>
      <c r="H352" s="26" t="str">
        <f t="shared" si="11"/>
        <v/>
      </c>
      <c r="I352" t="str">
        <f>IF(A352="","",Productos!J352)</f>
        <v/>
      </c>
    </row>
    <row r="353" spans="1:9" hidden="1" x14ac:dyDescent="0.2">
      <c r="A353" s="18" t="str">
        <f>IF(Productos!A353="","",Productos!A353)</f>
        <v/>
      </c>
      <c r="B353" s="18" t="str">
        <f>IF(Productos!B353="","",Productos!B353)</f>
        <v/>
      </c>
      <c r="C353" s="18" t="str">
        <f>IF(Productos!$A353="","",Productos!H353)</f>
        <v/>
      </c>
      <c r="E353" s="18" t="str">
        <f t="shared" si="10"/>
        <v/>
      </c>
      <c r="F353" s="26" t="str">
        <f>IF(A353="","",IF(D353="",0,D353*Productos!G353))</f>
        <v/>
      </c>
      <c r="G353" s="26" t="str">
        <f>IF(A353="","",IF(D353="",0,D353*Productos!F353))</f>
        <v/>
      </c>
      <c r="H353" s="26" t="str">
        <f t="shared" si="11"/>
        <v/>
      </c>
      <c r="I353" t="str">
        <f>IF(A353="","",Productos!J353)</f>
        <v/>
      </c>
    </row>
    <row r="354" spans="1:9" hidden="1" x14ac:dyDescent="0.2">
      <c r="A354" s="18" t="str">
        <f>IF(Productos!A354="","",Productos!A354)</f>
        <v/>
      </c>
      <c r="B354" s="18" t="str">
        <f>IF(Productos!B354="","",Productos!B354)</f>
        <v/>
      </c>
      <c r="C354" s="18" t="str">
        <f>IF(Productos!$A354="","",Productos!H354)</f>
        <v/>
      </c>
      <c r="E354" s="18" t="str">
        <f t="shared" si="10"/>
        <v/>
      </c>
      <c r="F354" s="26" t="str">
        <f>IF(A354="","",IF(D354="",0,D354*Productos!G354))</f>
        <v/>
      </c>
      <c r="G354" s="26" t="str">
        <f>IF(A354="","",IF(D354="",0,D354*Productos!F354))</f>
        <v/>
      </c>
      <c r="H354" s="26" t="str">
        <f t="shared" si="11"/>
        <v/>
      </c>
      <c r="I354" t="str">
        <f>IF(A354="","",Productos!J354)</f>
        <v/>
      </c>
    </row>
    <row r="355" spans="1:9" hidden="1" x14ac:dyDescent="0.2">
      <c r="A355" s="18" t="str">
        <f>IF(Productos!A355="","",Productos!A355)</f>
        <v/>
      </c>
      <c r="B355" s="18" t="str">
        <f>IF(Productos!B355="","",Productos!B355)</f>
        <v/>
      </c>
      <c r="C355" s="18" t="str">
        <f>IF(Productos!$A355="","",Productos!H355)</f>
        <v/>
      </c>
      <c r="E355" s="18" t="str">
        <f t="shared" si="10"/>
        <v/>
      </c>
      <c r="F355" s="26" t="str">
        <f>IF(A355="","",IF(D355="",0,D355*Productos!G355))</f>
        <v/>
      </c>
      <c r="G355" s="26" t="str">
        <f>IF(A355="","",IF(D355="",0,D355*Productos!F355))</f>
        <v/>
      </c>
      <c r="H355" s="26" t="str">
        <f t="shared" si="11"/>
        <v/>
      </c>
      <c r="I355" t="str">
        <f>IF(A355="","",Productos!J355)</f>
        <v/>
      </c>
    </row>
    <row r="356" spans="1:9" hidden="1" x14ac:dyDescent="0.2">
      <c r="A356" s="18" t="str">
        <f>IF(Productos!A356="","",Productos!A356)</f>
        <v/>
      </c>
      <c r="B356" s="18" t="str">
        <f>IF(Productos!B356="","",Productos!B356)</f>
        <v/>
      </c>
      <c r="C356" s="18" t="str">
        <f>IF(Productos!$A356="","",Productos!H356)</f>
        <v/>
      </c>
      <c r="E356" s="18" t="str">
        <f t="shared" si="10"/>
        <v/>
      </c>
      <c r="F356" s="26" t="str">
        <f>IF(A356="","",IF(D356="",0,D356*Productos!G356))</f>
        <v/>
      </c>
      <c r="G356" s="26" t="str">
        <f>IF(A356="","",IF(D356="",0,D356*Productos!F356))</f>
        <v/>
      </c>
      <c r="H356" s="26" t="str">
        <f t="shared" si="11"/>
        <v/>
      </c>
      <c r="I356" t="str">
        <f>IF(A356="","",Productos!J356)</f>
        <v/>
      </c>
    </row>
    <row r="357" spans="1:9" hidden="1" x14ac:dyDescent="0.2">
      <c r="A357" s="18" t="str">
        <f>IF(Productos!A357="","",Productos!A357)</f>
        <v/>
      </c>
      <c r="B357" s="18" t="str">
        <f>IF(Productos!B357="","",Productos!B357)</f>
        <v/>
      </c>
      <c r="C357" s="18" t="str">
        <f>IF(Productos!$A357="","",Productos!H357)</f>
        <v/>
      </c>
      <c r="E357" s="18" t="str">
        <f t="shared" si="10"/>
        <v/>
      </c>
      <c r="F357" s="26" t="str">
        <f>IF(A357="","",IF(D357="",0,D357*Productos!G357))</f>
        <v/>
      </c>
      <c r="G357" s="26" t="str">
        <f>IF(A357="","",IF(D357="",0,D357*Productos!F357))</f>
        <v/>
      </c>
      <c r="H357" s="26" t="str">
        <f t="shared" si="11"/>
        <v/>
      </c>
      <c r="I357" t="str">
        <f>IF(A357="","",Productos!J357)</f>
        <v/>
      </c>
    </row>
    <row r="358" spans="1:9" hidden="1" x14ac:dyDescent="0.2">
      <c r="A358" s="18" t="str">
        <f>IF(Productos!A358="","",Productos!A358)</f>
        <v/>
      </c>
      <c r="B358" s="18" t="str">
        <f>IF(Productos!B358="","",Productos!B358)</f>
        <v/>
      </c>
      <c r="C358" s="18" t="str">
        <f>IF(Productos!$A358="","",Productos!H358)</f>
        <v/>
      </c>
      <c r="E358" s="18" t="str">
        <f t="shared" si="10"/>
        <v/>
      </c>
      <c r="F358" s="26" t="str">
        <f>IF(A358="","",IF(D358="",0,D358*Productos!G358))</f>
        <v/>
      </c>
      <c r="G358" s="26" t="str">
        <f>IF(A358="","",IF(D358="",0,D358*Productos!F358))</f>
        <v/>
      </c>
      <c r="H358" s="26" t="str">
        <f t="shared" si="11"/>
        <v/>
      </c>
      <c r="I358" t="str">
        <f>IF(A358="","",Productos!J358)</f>
        <v/>
      </c>
    </row>
    <row r="359" spans="1:9" hidden="1" x14ac:dyDescent="0.2">
      <c r="A359" s="18" t="str">
        <f>IF(Productos!A359="","",Productos!A359)</f>
        <v/>
      </c>
      <c r="B359" s="18" t="str">
        <f>IF(Productos!B359="","",Productos!B359)</f>
        <v/>
      </c>
      <c r="C359" s="18" t="str">
        <f>IF(Productos!$A359="","",Productos!H359)</f>
        <v/>
      </c>
      <c r="E359" s="18" t="str">
        <f t="shared" si="10"/>
        <v/>
      </c>
      <c r="F359" s="26" t="str">
        <f>IF(A359="","",IF(D359="",0,D359*Productos!G359))</f>
        <v/>
      </c>
      <c r="G359" s="26" t="str">
        <f>IF(A359="","",IF(D359="",0,D359*Productos!F359))</f>
        <v/>
      </c>
      <c r="H359" s="26" t="str">
        <f t="shared" si="11"/>
        <v/>
      </c>
      <c r="I359" t="str">
        <f>IF(A359="","",Productos!J359)</f>
        <v/>
      </c>
    </row>
    <row r="360" spans="1:9" hidden="1" x14ac:dyDescent="0.2">
      <c r="A360" s="18" t="str">
        <f>IF(Productos!A360="","",Productos!A360)</f>
        <v/>
      </c>
      <c r="B360" s="18" t="str">
        <f>IF(Productos!B360="","",Productos!B360)</f>
        <v/>
      </c>
      <c r="C360" s="18" t="str">
        <f>IF(Productos!$A360="","",Productos!H360)</f>
        <v/>
      </c>
      <c r="E360" s="18" t="str">
        <f t="shared" si="10"/>
        <v/>
      </c>
      <c r="F360" s="26" t="str">
        <f>IF(A360="","",IF(D360="",0,D360*Productos!G360))</f>
        <v/>
      </c>
      <c r="G360" s="26" t="str">
        <f>IF(A360="","",IF(D360="",0,D360*Productos!F360))</f>
        <v/>
      </c>
      <c r="H360" s="26" t="str">
        <f t="shared" si="11"/>
        <v/>
      </c>
      <c r="I360" t="str">
        <f>IF(A360="","",Productos!J360)</f>
        <v/>
      </c>
    </row>
    <row r="361" spans="1:9" hidden="1" x14ac:dyDescent="0.2">
      <c r="A361" s="18" t="str">
        <f>IF(Productos!A361="","",Productos!A361)</f>
        <v/>
      </c>
      <c r="B361" s="18" t="str">
        <f>IF(Productos!B361="","",Productos!B361)</f>
        <v/>
      </c>
      <c r="C361" s="18" t="str">
        <f>IF(Productos!$A361="","",Productos!H361)</f>
        <v/>
      </c>
      <c r="E361" s="18" t="str">
        <f t="shared" si="10"/>
        <v/>
      </c>
      <c r="F361" s="26" t="str">
        <f>IF(A361="","",IF(D361="",0,D361*Productos!G361))</f>
        <v/>
      </c>
      <c r="G361" s="26" t="str">
        <f>IF(A361="","",IF(D361="",0,D361*Productos!F361))</f>
        <v/>
      </c>
      <c r="H361" s="26" t="str">
        <f t="shared" si="11"/>
        <v/>
      </c>
      <c r="I361" t="str">
        <f>IF(A361="","",Productos!J361)</f>
        <v/>
      </c>
    </row>
    <row r="362" spans="1:9" hidden="1" x14ac:dyDescent="0.2">
      <c r="A362" s="18" t="str">
        <f>IF(Productos!A362="","",Productos!A362)</f>
        <v/>
      </c>
      <c r="B362" s="18" t="str">
        <f>IF(Productos!B362="","",Productos!B362)</f>
        <v/>
      </c>
      <c r="C362" s="18" t="str">
        <f>IF(Productos!$A362="","",Productos!H362)</f>
        <v/>
      </c>
      <c r="E362" s="18" t="str">
        <f t="shared" si="10"/>
        <v/>
      </c>
      <c r="F362" s="26" t="str">
        <f>IF(A362="","",IF(D362="",0,D362*Productos!G362))</f>
        <v/>
      </c>
      <c r="G362" s="26" t="str">
        <f>IF(A362="","",IF(D362="",0,D362*Productos!F362))</f>
        <v/>
      </c>
      <c r="H362" s="26" t="str">
        <f t="shared" si="11"/>
        <v/>
      </c>
      <c r="I362" t="str">
        <f>IF(A362="","",Productos!J362)</f>
        <v/>
      </c>
    </row>
    <row r="363" spans="1:9" hidden="1" x14ac:dyDescent="0.2">
      <c r="A363" s="18" t="str">
        <f>IF(Productos!A363="","",Productos!A363)</f>
        <v/>
      </c>
      <c r="B363" s="18" t="str">
        <f>IF(Productos!B363="","",Productos!B363)</f>
        <v/>
      </c>
      <c r="C363" s="18" t="str">
        <f>IF(Productos!$A363="","",Productos!H363)</f>
        <v/>
      </c>
      <c r="E363" s="18" t="str">
        <f t="shared" si="10"/>
        <v/>
      </c>
      <c r="F363" s="26" t="str">
        <f>IF(A363="","",IF(D363="",0,D363*Productos!G363))</f>
        <v/>
      </c>
      <c r="G363" s="26" t="str">
        <f>IF(A363="","",IF(D363="",0,D363*Productos!F363))</f>
        <v/>
      </c>
      <c r="H363" s="26" t="str">
        <f t="shared" si="11"/>
        <v/>
      </c>
      <c r="I363" t="str">
        <f>IF(A363="","",Productos!J363)</f>
        <v/>
      </c>
    </row>
    <row r="364" spans="1:9" hidden="1" x14ac:dyDescent="0.2">
      <c r="A364" s="18" t="str">
        <f>IF(Productos!A364="","",Productos!A364)</f>
        <v/>
      </c>
      <c r="B364" s="18" t="str">
        <f>IF(Productos!B364="","",Productos!B364)</f>
        <v/>
      </c>
      <c r="C364" s="18" t="str">
        <f>IF(Productos!$A364="","",Productos!H364)</f>
        <v/>
      </c>
      <c r="E364" s="18" t="str">
        <f t="shared" si="10"/>
        <v/>
      </c>
      <c r="F364" s="26" t="str">
        <f>IF(A364="","",IF(D364="",0,D364*Productos!G364))</f>
        <v/>
      </c>
      <c r="G364" s="26" t="str">
        <f>IF(A364="","",IF(D364="",0,D364*Productos!F364))</f>
        <v/>
      </c>
      <c r="H364" s="26" t="str">
        <f t="shared" si="11"/>
        <v/>
      </c>
      <c r="I364" t="str">
        <f>IF(A364="","",Productos!J364)</f>
        <v/>
      </c>
    </row>
    <row r="365" spans="1:9" hidden="1" x14ac:dyDescent="0.2">
      <c r="A365" s="18" t="str">
        <f>IF(Productos!A365="","",Productos!A365)</f>
        <v/>
      </c>
      <c r="B365" s="18" t="str">
        <f>IF(Productos!B365="","",Productos!B365)</f>
        <v/>
      </c>
      <c r="C365" s="18" t="str">
        <f>IF(Productos!$A365="","",Productos!H365)</f>
        <v/>
      </c>
      <c r="E365" s="18" t="str">
        <f t="shared" si="10"/>
        <v/>
      </c>
      <c r="F365" s="26" t="str">
        <f>IF(A365="","",IF(D365="",0,D365*Productos!G365))</f>
        <v/>
      </c>
      <c r="G365" s="26" t="str">
        <f>IF(A365="","",IF(D365="",0,D365*Productos!F365))</f>
        <v/>
      </c>
      <c r="H365" s="26" t="str">
        <f t="shared" si="11"/>
        <v/>
      </c>
      <c r="I365" t="str">
        <f>IF(A365="","",Productos!J365)</f>
        <v/>
      </c>
    </row>
    <row r="366" spans="1:9" hidden="1" x14ac:dyDescent="0.2">
      <c r="A366" s="18" t="str">
        <f>IF(Productos!A366="","",Productos!A366)</f>
        <v/>
      </c>
      <c r="B366" s="18" t="str">
        <f>IF(Productos!B366="","",Productos!B366)</f>
        <v/>
      </c>
      <c r="C366" s="18" t="str">
        <f>IF(Productos!$A366="","",Productos!H366)</f>
        <v/>
      </c>
      <c r="E366" s="18" t="str">
        <f t="shared" si="10"/>
        <v/>
      </c>
      <c r="F366" s="26" t="str">
        <f>IF(A366="","",IF(D366="",0,D366*Productos!G366))</f>
        <v/>
      </c>
      <c r="G366" s="26" t="str">
        <f>IF(A366="","",IF(D366="",0,D366*Productos!F366))</f>
        <v/>
      </c>
      <c r="H366" s="26" t="str">
        <f t="shared" si="11"/>
        <v/>
      </c>
      <c r="I366" t="str">
        <f>IF(A366="","",Productos!J366)</f>
        <v/>
      </c>
    </row>
    <row r="367" spans="1:9" hidden="1" x14ac:dyDescent="0.2">
      <c r="A367" s="18" t="str">
        <f>IF(Productos!A367="","",Productos!A367)</f>
        <v/>
      </c>
      <c r="B367" s="18" t="str">
        <f>IF(Productos!B367="","",Productos!B367)</f>
        <v/>
      </c>
      <c r="C367" s="18" t="str">
        <f>IF(Productos!$A367="","",Productos!H367)</f>
        <v/>
      </c>
      <c r="E367" s="18" t="str">
        <f t="shared" si="10"/>
        <v/>
      </c>
      <c r="F367" s="26" t="str">
        <f>IF(A367="","",IF(D367="",0,D367*Productos!G367))</f>
        <v/>
      </c>
      <c r="G367" s="26" t="str">
        <f>IF(A367="","",IF(D367="",0,D367*Productos!F367))</f>
        <v/>
      </c>
      <c r="H367" s="26" t="str">
        <f t="shared" si="11"/>
        <v/>
      </c>
      <c r="I367" t="str">
        <f>IF(A367="","",Productos!J367)</f>
        <v/>
      </c>
    </row>
    <row r="368" spans="1:9" hidden="1" x14ac:dyDescent="0.2">
      <c r="A368" s="18" t="str">
        <f>IF(Productos!A368="","",Productos!A368)</f>
        <v/>
      </c>
      <c r="B368" s="18" t="str">
        <f>IF(Productos!B368="","",Productos!B368)</f>
        <v/>
      </c>
      <c r="C368" s="18" t="str">
        <f>IF(Productos!$A368="","",Productos!H368)</f>
        <v/>
      </c>
      <c r="E368" s="18" t="str">
        <f t="shared" si="10"/>
        <v/>
      </c>
      <c r="F368" s="26" t="str">
        <f>IF(A368="","",IF(D368="",0,D368*Productos!G368))</f>
        <v/>
      </c>
      <c r="G368" s="26" t="str">
        <f>IF(A368="","",IF(D368="",0,D368*Productos!F368))</f>
        <v/>
      </c>
      <c r="H368" s="26" t="str">
        <f t="shared" si="11"/>
        <v/>
      </c>
      <c r="I368" t="str">
        <f>IF(A368="","",Productos!J368)</f>
        <v/>
      </c>
    </row>
    <row r="369" spans="1:9" hidden="1" x14ac:dyDescent="0.2">
      <c r="A369" s="18" t="str">
        <f>IF(Productos!A369="","",Productos!A369)</f>
        <v/>
      </c>
      <c r="B369" s="18" t="str">
        <f>IF(Productos!B369="","",Productos!B369)</f>
        <v/>
      </c>
      <c r="C369" s="18" t="str">
        <f>IF(Productos!$A369="","",Productos!H369)</f>
        <v/>
      </c>
      <c r="E369" s="18" t="str">
        <f t="shared" si="10"/>
        <v/>
      </c>
      <c r="F369" s="26" t="str">
        <f>IF(A369="","",IF(D369="",0,D369*Productos!G369))</f>
        <v/>
      </c>
      <c r="G369" s="26" t="str">
        <f>IF(A369="","",IF(D369="",0,D369*Productos!F369))</f>
        <v/>
      </c>
      <c r="H369" s="26" t="str">
        <f t="shared" si="11"/>
        <v/>
      </c>
      <c r="I369" t="str">
        <f>IF(A369="","",Productos!J369)</f>
        <v/>
      </c>
    </row>
    <row r="370" spans="1:9" hidden="1" x14ac:dyDescent="0.2">
      <c r="A370" s="18" t="str">
        <f>IF(Productos!A370="","",Productos!A370)</f>
        <v/>
      </c>
      <c r="B370" s="18" t="str">
        <f>IF(Productos!B370="","",Productos!B370)</f>
        <v/>
      </c>
      <c r="C370" s="18" t="str">
        <f>IF(Productos!$A370="","",Productos!H370)</f>
        <v/>
      </c>
      <c r="E370" s="18" t="str">
        <f t="shared" si="10"/>
        <v/>
      </c>
      <c r="F370" s="26" t="str">
        <f>IF(A370="","",IF(D370="",0,D370*Productos!G370))</f>
        <v/>
      </c>
      <c r="G370" s="26" t="str">
        <f>IF(A370="","",IF(D370="",0,D370*Productos!F370))</f>
        <v/>
      </c>
      <c r="H370" s="26" t="str">
        <f t="shared" si="11"/>
        <v/>
      </c>
      <c r="I370" t="str">
        <f>IF(A370="","",Productos!J370)</f>
        <v/>
      </c>
    </row>
    <row r="371" spans="1:9" hidden="1" x14ac:dyDescent="0.2">
      <c r="A371" s="18" t="str">
        <f>IF(Productos!A371="","",Productos!A371)</f>
        <v/>
      </c>
      <c r="B371" s="18" t="str">
        <f>IF(Productos!B371="","",Productos!B371)</f>
        <v/>
      </c>
      <c r="C371" s="18" t="str">
        <f>IF(Productos!$A371="","",Productos!H371)</f>
        <v/>
      </c>
      <c r="E371" s="18" t="str">
        <f t="shared" si="10"/>
        <v/>
      </c>
      <c r="F371" s="26" t="str">
        <f>IF(A371="","",IF(D371="",0,D371*Productos!G371))</f>
        <v/>
      </c>
      <c r="G371" s="26" t="str">
        <f>IF(A371="","",IF(D371="",0,D371*Productos!F371))</f>
        <v/>
      </c>
      <c r="H371" s="26" t="str">
        <f t="shared" si="11"/>
        <v/>
      </c>
      <c r="I371" t="str">
        <f>IF(A371="","",Productos!J371)</f>
        <v/>
      </c>
    </row>
    <row r="372" spans="1:9" hidden="1" x14ac:dyDescent="0.2">
      <c r="A372" s="18" t="str">
        <f>IF(Productos!A372="","",Productos!A372)</f>
        <v/>
      </c>
      <c r="B372" s="18" t="str">
        <f>IF(Productos!B372="","",Productos!B372)</f>
        <v/>
      </c>
      <c r="C372" s="18" t="str">
        <f>IF(Productos!$A372="","",Productos!H372)</f>
        <v/>
      </c>
      <c r="E372" s="18" t="str">
        <f t="shared" si="10"/>
        <v/>
      </c>
      <c r="F372" s="26" t="str">
        <f>IF(A372="","",IF(D372="",0,D372*Productos!G372))</f>
        <v/>
      </c>
      <c r="G372" s="26" t="str">
        <f>IF(A372="","",IF(D372="",0,D372*Productos!F372))</f>
        <v/>
      </c>
      <c r="H372" s="26" t="str">
        <f t="shared" si="11"/>
        <v/>
      </c>
      <c r="I372" t="str">
        <f>IF(A372="","",Productos!J372)</f>
        <v/>
      </c>
    </row>
    <row r="373" spans="1:9" hidden="1" x14ac:dyDescent="0.2">
      <c r="A373" s="18" t="str">
        <f>IF(Productos!A373="","",Productos!A373)</f>
        <v/>
      </c>
      <c r="B373" s="18" t="str">
        <f>IF(Productos!B373="","",Productos!B373)</f>
        <v/>
      </c>
      <c r="C373" s="18" t="str">
        <f>IF(Productos!$A373="","",Productos!H373)</f>
        <v/>
      </c>
      <c r="E373" s="18" t="str">
        <f t="shared" si="10"/>
        <v/>
      </c>
      <c r="F373" s="26" t="str">
        <f>IF(A373="","",IF(D373="",0,D373*Productos!G373))</f>
        <v/>
      </c>
      <c r="G373" s="26" t="str">
        <f>IF(A373="","",IF(D373="",0,D373*Productos!F373))</f>
        <v/>
      </c>
      <c r="H373" s="26" t="str">
        <f t="shared" si="11"/>
        <v/>
      </c>
      <c r="I373" t="str">
        <f>IF(A373="","",Productos!J373)</f>
        <v/>
      </c>
    </row>
    <row r="374" spans="1:9" hidden="1" x14ac:dyDescent="0.2">
      <c r="A374" s="18" t="str">
        <f>IF(Productos!A374="","",Productos!A374)</f>
        <v/>
      </c>
      <c r="B374" s="18" t="str">
        <f>IF(Productos!B374="","",Productos!B374)</f>
        <v/>
      </c>
      <c r="C374" s="18" t="str">
        <f>IF(Productos!$A374="","",Productos!H374)</f>
        <v/>
      </c>
      <c r="E374" s="18" t="str">
        <f t="shared" si="10"/>
        <v/>
      </c>
      <c r="F374" s="26" t="str">
        <f>IF(A374="","",IF(D374="",0,D374*Productos!G374))</f>
        <v/>
      </c>
      <c r="G374" s="26" t="str">
        <f>IF(A374="","",IF(D374="",0,D374*Productos!F374))</f>
        <v/>
      </c>
      <c r="H374" s="26" t="str">
        <f t="shared" si="11"/>
        <v/>
      </c>
      <c r="I374" t="str">
        <f>IF(A374="","",Productos!J374)</f>
        <v/>
      </c>
    </row>
    <row r="375" spans="1:9" hidden="1" x14ac:dyDescent="0.2">
      <c r="A375" s="18" t="str">
        <f>IF(Productos!A375="","",Productos!A375)</f>
        <v/>
      </c>
      <c r="B375" s="18" t="str">
        <f>IF(Productos!B375="","",Productos!B375)</f>
        <v/>
      </c>
      <c r="C375" s="18" t="str">
        <f>IF(Productos!$A375="","",Productos!H375)</f>
        <v/>
      </c>
      <c r="E375" s="18" t="str">
        <f t="shared" si="10"/>
        <v/>
      </c>
      <c r="F375" s="26" t="str">
        <f>IF(A375="","",IF(D375="",0,D375*Productos!G375))</f>
        <v/>
      </c>
      <c r="G375" s="26" t="str">
        <f>IF(A375="","",IF(D375="",0,D375*Productos!F375))</f>
        <v/>
      </c>
      <c r="H375" s="26" t="str">
        <f t="shared" si="11"/>
        <v/>
      </c>
      <c r="I375" t="str">
        <f>IF(A375="","",Productos!J375)</f>
        <v/>
      </c>
    </row>
    <row r="376" spans="1:9" hidden="1" x14ac:dyDescent="0.2">
      <c r="A376" s="18" t="str">
        <f>IF(Productos!A376="","",Productos!A376)</f>
        <v/>
      </c>
      <c r="B376" s="18" t="str">
        <f>IF(Productos!B376="","",Productos!B376)</f>
        <v/>
      </c>
      <c r="C376" s="18" t="str">
        <f>IF(Productos!$A376="","",Productos!H376)</f>
        <v/>
      </c>
      <c r="E376" s="18" t="str">
        <f t="shared" si="10"/>
        <v/>
      </c>
      <c r="F376" s="26" t="str">
        <f>IF(A376="","",IF(D376="",0,D376*Productos!G376))</f>
        <v/>
      </c>
      <c r="G376" s="26" t="str">
        <f>IF(A376="","",IF(D376="",0,D376*Productos!F376))</f>
        <v/>
      </c>
      <c r="H376" s="26" t="str">
        <f t="shared" si="11"/>
        <v/>
      </c>
      <c r="I376" t="str">
        <f>IF(A376="","",Productos!J376)</f>
        <v/>
      </c>
    </row>
    <row r="377" spans="1:9" hidden="1" x14ac:dyDescent="0.2">
      <c r="A377" s="18" t="str">
        <f>IF(Productos!A377="","",Productos!A377)</f>
        <v/>
      </c>
      <c r="B377" s="18" t="str">
        <f>IF(Productos!B377="","",Productos!B377)</f>
        <v/>
      </c>
      <c r="C377" s="18" t="str">
        <f>IF(Productos!$A377="","",Productos!H377)</f>
        <v/>
      </c>
      <c r="E377" s="18" t="str">
        <f t="shared" si="10"/>
        <v/>
      </c>
      <c r="F377" s="26" t="str">
        <f>IF(A377="","",IF(D377="",0,D377*Productos!G377))</f>
        <v/>
      </c>
      <c r="G377" s="26" t="str">
        <f>IF(A377="","",IF(D377="",0,D377*Productos!F377))</f>
        <v/>
      </c>
      <c r="H377" s="26" t="str">
        <f t="shared" si="11"/>
        <v/>
      </c>
      <c r="I377" t="str">
        <f>IF(A377="","",Productos!J377)</f>
        <v/>
      </c>
    </row>
    <row r="378" spans="1:9" hidden="1" x14ac:dyDescent="0.2">
      <c r="A378" s="18" t="str">
        <f>IF(Productos!A378="","",Productos!A378)</f>
        <v/>
      </c>
      <c r="B378" s="18" t="str">
        <f>IF(Productos!B378="","",Productos!B378)</f>
        <v/>
      </c>
      <c r="C378" s="18" t="str">
        <f>IF(Productos!$A378="","",Productos!H378)</f>
        <v/>
      </c>
      <c r="E378" s="18" t="str">
        <f t="shared" si="10"/>
        <v/>
      </c>
      <c r="F378" s="26" t="str">
        <f>IF(A378="","",IF(D378="",0,D378*Productos!G378))</f>
        <v/>
      </c>
      <c r="G378" s="26" t="str">
        <f>IF(A378="","",IF(D378="",0,D378*Productos!F378))</f>
        <v/>
      </c>
      <c r="H378" s="26" t="str">
        <f t="shared" si="11"/>
        <v/>
      </c>
      <c r="I378" t="str">
        <f>IF(A378="","",Productos!J378)</f>
        <v/>
      </c>
    </row>
    <row r="379" spans="1:9" hidden="1" x14ac:dyDescent="0.2">
      <c r="A379" s="18" t="str">
        <f>IF(Productos!A379="","",Productos!A379)</f>
        <v/>
      </c>
      <c r="B379" s="18" t="str">
        <f>IF(Productos!B379="","",Productos!B379)</f>
        <v/>
      </c>
      <c r="C379" s="18" t="str">
        <f>IF(Productos!$A379="","",Productos!H379)</f>
        <v/>
      </c>
      <c r="E379" s="18" t="str">
        <f t="shared" si="10"/>
        <v/>
      </c>
      <c r="F379" s="26" t="str">
        <f>IF(A379="","",IF(D379="",0,D379*Productos!G379))</f>
        <v/>
      </c>
      <c r="G379" s="26" t="str">
        <f>IF(A379="","",IF(D379="",0,D379*Productos!F379))</f>
        <v/>
      </c>
      <c r="H379" s="26" t="str">
        <f t="shared" si="11"/>
        <v/>
      </c>
      <c r="I379" t="str">
        <f>IF(A379="","",Productos!J379)</f>
        <v/>
      </c>
    </row>
    <row r="380" spans="1:9" hidden="1" x14ac:dyDescent="0.2">
      <c r="A380" s="18" t="str">
        <f>IF(Productos!A380="","",Productos!A380)</f>
        <v/>
      </c>
      <c r="B380" s="18" t="str">
        <f>IF(Productos!B380="","",Productos!B380)</f>
        <v/>
      </c>
      <c r="C380" s="18" t="str">
        <f>IF(Productos!$A380="","",Productos!H380)</f>
        <v/>
      </c>
      <c r="E380" s="18" t="str">
        <f t="shared" si="10"/>
        <v/>
      </c>
      <c r="F380" s="26" t="str">
        <f>IF(A380="","",IF(D380="",0,D380*Productos!G380))</f>
        <v/>
      </c>
      <c r="G380" s="26" t="str">
        <f>IF(A380="","",IF(D380="",0,D380*Productos!F380))</f>
        <v/>
      </c>
      <c r="H380" s="26" t="str">
        <f t="shared" si="11"/>
        <v/>
      </c>
      <c r="I380" t="str">
        <f>IF(A380="","",Productos!J380)</f>
        <v/>
      </c>
    </row>
    <row r="381" spans="1:9" hidden="1" x14ac:dyDescent="0.2">
      <c r="A381" s="18" t="str">
        <f>IF(Productos!A381="","",Productos!A381)</f>
        <v/>
      </c>
      <c r="B381" s="18" t="str">
        <f>IF(Productos!B381="","",Productos!B381)</f>
        <v/>
      </c>
      <c r="C381" s="18" t="str">
        <f>IF(Productos!$A381="","",Productos!H381)</f>
        <v/>
      </c>
      <c r="E381" s="18" t="str">
        <f t="shared" si="10"/>
        <v/>
      </c>
      <c r="F381" s="26" t="str">
        <f>IF(A381="","",IF(D381="",0,D381*Productos!G381))</f>
        <v/>
      </c>
      <c r="G381" s="26" t="str">
        <f>IF(A381="","",IF(D381="",0,D381*Productos!F381))</f>
        <v/>
      </c>
      <c r="H381" s="26" t="str">
        <f t="shared" si="11"/>
        <v/>
      </c>
      <c r="I381" t="str">
        <f>IF(A381="","",Productos!J381)</f>
        <v/>
      </c>
    </row>
    <row r="382" spans="1:9" hidden="1" x14ac:dyDescent="0.2">
      <c r="A382" s="18" t="str">
        <f>IF(Productos!A382="","",Productos!A382)</f>
        <v/>
      </c>
      <c r="B382" s="18" t="str">
        <f>IF(Productos!B382="","",Productos!B382)</f>
        <v/>
      </c>
      <c r="C382" s="18" t="str">
        <f>IF(Productos!$A382="","",Productos!H382)</f>
        <v/>
      </c>
      <c r="E382" s="18" t="str">
        <f t="shared" si="10"/>
        <v/>
      </c>
      <c r="F382" s="26" t="str">
        <f>IF(A382="","",IF(D382="",0,D382*Productos!G382))</f>
        <v/>
      </c>
      <c r="G382" s="26" t="str">
        <f>IF(A382="","",IF(D382="",0,D382*Productos!F382))</f>
        <v/>
      </c>
      <c r="H382" s="26" t="str">
        <f t="shared" si="11"/>
        <v/>
      </c>
      <c r="I382" t="str">
        <f>IF(A382="","",Productos!J382)</f>
        <v/>
      </c>
    </row>
    <row r="383" spans="1:9" hidden="1" x14ac:dyDescent="0.2">
      <c r="A383" s="18" t="str">
        <f>IF(Productos!A383="","",Productos!A383)</f>
        <v/>
      </c>
      <c r="B383" s="18" t="str">
        <f>IF(Productos!B383="","",Productos!B383)</f>
        <v/>
      </c>
      <c r="C383" s="18" t="str">
        <f>IF(Productos!$A383="","",Productos!H383)</f>
        <v/>
      </c>
      <c r="E383" s="18" t="str">
        <f t="shared" si="10"/>
        <v/>
      </c>
      <c r="F383" s="26" t="str">
        <f>IF(A383="","",IF(D383="",0,D383*Productos!G383))</f>
        <v/>
      </c>
      <c r="G383" s="26" t="str">
        <f>IF(A383="","",IF(D383="",0,D383*Productos!F383))</f>
        <v/>
      </c>
      <c r="H383" s="26" t="str">
        <f t="shared" si="11"/>
        <v/>
      </c>
      <c r="I383" t="str">
        <f>IF(A383="","",Productos!J383)</f>
        <v/>
      </c>
    </row>
    <row r="384" spans="1:9" hidden="1" x14ac:dyDescent="0.2">
      <c r="A384" s="18" t="str">
        <f>IF(Productos!A384="","",Productos!A384)</f>
        <v/>
      </c>
      <c r="B384" s="18" t="str">
        <f>IF(Productos!B384="","",Productos!B384)</f>
        <v/>
      </c>
      <c r="C384" s="18" t="str">
        <f>IF(Productos!$A384="","",Productos!H384)</f>
        <v/>
      </c>
      <c r="E384" s="18" t="str">
        <f t="shared" si="10"/>
        <v/>
      </c>
      <c r="F384" s="26" t="str">
        <f>IF(A384="","",IF(D384="",0,D384*Productos!G384))</f>
        <v/>
      </c>
      <c r="G384" s="26" t="str">
        <f>IF(A384="","",IF(D384="",0,D384*Productos!F384))</f>
        <v/>
      </c>
      <c r="H384" s="26" t="str">
        <f t="shared" si="11"/>
        <v/>
      </c>
      <c r="I384" t="str">
        <f>IF(A384="","",Productos!J384)</f>
        <v/>
      </c>
    </row>
    <row r="385" spans="1:9" hidden="1" x14ac:dyDescent="0.2">
      <c r="A385" s="18" t="str">
        <f>IF(Productos!A385="","",Productos!A385)</f>
        <v/>
      </c>
      <c r="B385" s="18" t="str">
        <f>IF(Productos!B385="","",Productos!B385)</f>
        <v/>
      </c>
      <c r="C385" s="18" t="str">
        <f>IF(Productos!$A385="","",Productos!H385)</f>
        <v/>
      </c>
      <c r="E385" s="18" t="str">
        <f t="shared" si="10"/>
        <v/>
      </c>
      <c r="F385" s="26" t="str">
        <f>IF(A385="","",IF(D385="",0,D385*Productos!G385))</f>
        <v/>
      </c>
      <c r="G385" s="26" t="str">
        <f>IF(A385="","",IF(D385="",0,D385*Productos!F385))</f>
        <v/>
      </c>
      <c r="H385" s="26" t="str">
        <f t="shared" si="11"/>
        <v/>
      </c>
      <c r="I385" t="str">
        <f>IF(A385="","",Productos!J385)</f>
        <v/>
      </c>
    </row>
    <row r="386" spans="1:9" hidden="1" x14ac:dyDescent="0.2">
      <c r="A386" s="18" t="str">
        <f>IF(Productos!A386="","",Productos!A386)</f>
        <v/>
      </c>
      <c r="B386" s="18" t="str">
        <f>IF(Productos!B386="","",Productos!B386)</f>
        <v/>
      </c>
      <c r="C386" s="18" t="str">
        <f>IF(Productos!$A386="","",Productos!H386)</f>
        <v/>
      </c>
      <c r="E386" s="18" t="str">
        <f t="shared" si="10"/>
        <v/>
      </c>
      <c r="F386" s="26" t="str">
        <f>IF(A386="","",IF(D386="",0,D386*Productos!G386))</f>
        <v/>
      </c>
      <c r="G386" s="26" t="str">
        <f>IF(A386="","",IF(D386="",0,D386*Productos!F386))</f>
        <v/>
      </c>
      <c r="H386" s="26" t="str">
        <f t="shared" si="11"/>
        <v/>
      </c>
      <c r="I386" t="str">
        <f>IF(A386="","",Productos!J386)</f>
        <v/>
      </c>
    </row>
    <row r="387" spans="1:9" hidden="1" x14ac:dyDescent="0.2">
      <c r="A387" s="18" t="str">
        <f>IF(Productos!A387="","",Productos!A387)</f>
        <v/>
      </c>
      <c r="B387" s="18" t="str">
        <f>IF(Productos!B387="","",Productos!B387)</f>
        <v/>
      </c>
      <c r="C387" s="18" t="str">
        <f>IF(Productos!$A387="","",Productos!H387)</f>
        <v/>
      </c>
      <c r="E387" s="18" t="str">
        <f t="shared" ref="E387:E450" si="12">IF(C387="","",C387-IF(D387="",0,D387))</f>
        <v/>
      </c>
      <c r="F387" s="26" t="str">
        <f>IF(A387="","",IF(D387="",0,D387*Productos!G387))</f>
        <v/>
      </c>
      <c r="G387" s="26" t="str">
        <f>IF(A387="","",IF(D387="",0,D387*Productos!F387))</f>
        <v/>
      </c>
      <c r="H387" s="26" t="str">
        <f t="shared" ref="H387:H450" si="13">IF(A387="","",F387-G387)</f>
        <v/>
      </c>
      <c r="I387" t="str">
        <f>IF(A387="","",Productos!J387)</f>
        <v/>
      </c>
    </row>
    <row r="388" spans="1:9" hidden="1" x14ac:dyDescent="0.2">
      <c r="A388" s="18" t="str">
        <f>IF(Productos!A388="","",Productos!A388)</f>
        <v/>
      </c>
      <c r="B388" s="18" t="str">
        <f>IF(Productos!B388="","",Productos!B388)</f>
        <v/>
      </c>
      <c r="C388" s="18" t="str">
        <f>IF(Productos!$A388="","",Productos!H388)</f>
        <v/>
      </c>
      <c r="E388" s="18" t="str">
        <f t="shared" si="12"/>
        <v/>
      </c>
      <c r="F388" s="26" t="str">
        <f>IF(A388="","",IF(D388="",0,D388*Productos!G388))</f>
        <v/>
      </c>
      <c r="G388" s="26" t="str">
        <f>IF(A388="","",IF(D388="",0,D388*Productos!F388))</f>
        <v/>
      </c>
      <c r="H388" s="26" t="str">
        <f t="shared" si="13"/>
        <v/>
      </c>
      <c r="I388" t="str">
        <f>IF(A388="","",Productos!J388)</f>
        <v/>
      </c>
    </row>
    <row r="389" spans="1:9" hidden="1" x14ac:dyDescent="0.2">
      <c r="A389" s="18" t="str">
        <f>IF(Productos!A389="","",Productos!A389)</f>
        <v/>
      </c>
      <c r="B389" s="18" t="str">
        <f>IF(Productos!B389="","",Productos!B389)</f>
        <v/>
      </c>
      <c r="C389" s="18" t="str">
        <f>IF(Productos!$A389="","",Productos!H389)</f>
        <v/>
      </c>
      <c r="E389" s="18" t="str">
        <f t="shared" si="12"/>
        <v/>
      </c>
      <c r="F389" s="26" t="str">
        <f>IF(A389="","",IF(D389="",0,D389*Productos!G389))</f>
        <v/>
      </c>
      <c r="G389" s="26" t="str">
        <f>IF(A389="","",IF(D389="",0,D389*Productos!F389))</f>
        <v/>
      </c>
      <c r="H389" s="26" t="str">
        <f t="shared" si="13"/>
        <v/>
      </c>
      <c r="I389" t="str">
        <f>IF(A389="","",Productos!J389)</f>
        <v/>
      </c>
    </row>
    <row r="390" spans="1:9" hidden="1" x14ac:dyDescent="0.2">
      <c r="A390" s="18" t="str">
        <f>IF(Productos!A390="","",Productos!A390)</f>
        <v/>
      </c>
      <c r="B390" s="18" t="str">
        <f>IF(Productos!B390="","",Productos!B390)</f>
        <v/>
      </c>
      <c r="C390" s="18" t="str">
        <f>IF(Productos!$A390="","",Productos!H390)</f>
        <v/>
      </c>
      <c r="E390" s="18" t="str">
        <f t="shared" si="12"/>
        <v/>
      </c>
      <c r="F390" s="26" t="str">
        <f>IF(A390="","",IF(D390="",0,D390*Productos!G390))</f>
        <v/>
      </c>
      <c r="G390" s="26" t="str">
        <f>IF(A390="","",IF(D390="",0,D390*Productos!F390))</f>
        <v/>
      </c>
      <c r="H390" s="26" t="str">
        <f t="shared" si="13"/>
        <v/>
      </c>
      <c r="I390" t="str">
        <f>IF(A390="","",Productos!J390)</f>
        <v/>
      </c>
    </row>
    <row r="391" spans="1:9" hidden="1" x14ac:dyDescent="0.2">
      <c r="A391" s="18" t="str">
        <f>IF(Productos!A391="","",Productos!A391)</f>
        <v/>
      </c>
      <c r="B391" s="18" t="str">
        <f>IF(Productos!B391="","",Productos!B391)</f>
        <v/>
      </c>
      <c r="C391" s="18" t="str">
        <f>IF(Productos!$A391="","",Productos!H391)</f>
        <v/>
      </c>
      <c r="E391" s="18" t="str">
        <f t="shared" si="12"/>
        <v/>
      </c>
      <c r="F391" s="26" t="str">
        <f>IF(A391="","",IF(D391="",0,D391*Productos!G391))</f>
        <v/>
      </c>
      <c r="G391" s="26" t="str">
        <f>IF(A391="","",IF(D391="",0,D391*Productos!F391))</f>
        <v/>
      </c>
      <c r="H391" s="26" t="str">
        <f t="shared" si="13"/>
        <v/>
      </c>
      <c r="I391" t="str">
        <f>IF(A391="","",Productos!J391)</f>
        <v/>
      </c>
    </row>
    <row r="392" spans="1:9" hidden="1" x14ac:dyDescent="0.2">
      <c r="A392" s="18" t="str">
        <f>IF(Productos!A392="","",Productos!A392)</f>
        <v/>
      </c>
      <c r="B392" s="18" t="str">
        <f>IF(Productos!B392="","",Productos!B392)</f>
        <v/>
      </c>
      <c r="C392" s="18" t="str">
        <f>IF(Productos!$A392="","",Productos!H392)</f>
        <v/>
      </c>
      <c r="E392" s="18" t="str">
        <f t="shared" si="12"/>
        <v/>
      </c>
      <c r="F392" s="26" t="str">
        <f>IF(A392="","",IF(D392="",0,D392*Productos!G392))</f>
        <v/>
      </c>
      <c r="G392" s="26" t="str">
        <f>IF(A392="","",IF(D392="",0,D392*Productos!F392))</f>
        <v/>
      </c>
      <c r="H392" s="26" t="str">
        <f t="shared" si="13"/>
        <v/>
      </c>
      <c r="I392" t="str">
        <f>IF(A392="","",Productos!J392)</f>
        <v/>
      </c>
    </row>
    <row r="393" spans="1:9" hidden="1" x14ac:dyDescent="0.2">
      <c r="A393" s="18" t="str">
        <f>IF(Productos!A393="","",Productos!A393)</f>
        <v/>
      </c>
      <c r="B393" s="18" t="str">
        <f>IF(Productos!B393="","",Productos!B393)</f>
        <v/>
      </c>
      <c r="C393" s="18" t="str">
        <f>IF(Productos!$A393="","",Productos!H393)</f>
        <v/>
      </c>
      <c r="E393" s="18" t="str">
        <f t="shared" si="12"/>
        <v/>
      </c>
      <c r="F393" s="26" t="str">
        <f>IF(A393="","",IF(D393="",0,D393*Productos!G393))</f>
        <v/>
      </c>
      <c r="G393" s="26" t="str">
        <f>IF(A393="","",IF(D393="",0,D393*Productos!F393))</f>
        <v/>
      </c>
      <c r="H393" s="26" t="str">
        <f t="shared" si="13"/>
        <v/>
      </c>
      <c r="I393" t="str">
        <f>IF(A393="","",Productos!J393)</f>
        <v/>
      </c>
    </row>
    <row r="394" spans="1:9" hidden="1" x14ac:dyDescent="0.2">
      <c r="A394" s="18" t="str">
        <f>IF(Productos!A394="","",Productos!A394)</f>
        <v/>
      </c>
      <c r="B394" s="18" t="str">
        <f>IF(Productos!B394="","",Productos!B394)</f>
        <v/>
      </c>
      <c r="C394" s="18" t="str">
        <f>IF(Productos!$A394="","",Productos!H394)</f>
        <v/>
      </c>
      <c r="E394" s="18" t="str">
        <f t="shared" si="12"/>
        <v/>
      </c>
      <c r="F394" s="26" t="str">
        <f>IF(A394="","",IF(D394="",0,D394*Productos!G394))</f>
        <v/>
      </c>
      <c r="G394" s="26" t="str">
        <f>IF(A394="","",IF(D394="",0,D394*Productos!F394))</f>
        <v/>
      </c>
      <c r="H394" s="26" t="str">
        <f t="shared" si="13"/>
        <v/>
      </c>
      <c r="I394" t="str">
        <f>IF(A394="","",Productos!J394)</f>
        <v/>
      </c>
    </row>
    <row r="395" spans="1:9" hidden="1" x14ac:dyDescent="0.2">
      <c r="A395" s="18" t="str">
        <f>IF(Productos!A395="","",Productos!A395)</f>
        <v/>
      </c>
      <c r="B395" s="18" t="str">
        <f>IF(Productos!B395="","",Productos!B395)</f>
        <v/>
      </c>
      <c r="C395" s="18" t="str">
        <f>IF(Productos!$A395="","",Productos!H395)</f>
        <v/>
      </c>
      <c r="E395" s="18" t="str">
        <f t="shared" si="12"/>
        <v/>
      </c>
      <c r="F395" s="26" t="str">
        <f>IF(A395="","",IF(D395="",0,D395*Productos!G395))</f>
        <v/>
      </c>
      <c r="G395" s="26" t="str">
        <f>IF(A395="","",IF(D395="",0,D395*Productos!F395))</f>
        <v/>
      </c>
      <c r="H395" s="26" t="str">
        <f t="shared" si="13"/>
        <v/>
      </c>
      <c r="I395" t="str">
        <f>IF(A395="","",Productos!J395)</f>
        <v/>
      </c>
    </row>
    <row r="396" spans="1:9" hidden="1" x14ac:dyDescent="0.2">
      <c r="A396" s="18" t="str">
        <f>IF(Productos!A396="","",Productos!A396)</f>
        <v/>
      </c>
      <c r="B396" s="18" t="str">
        <f>IF(Productos!B396="","",Productos!B396)</f>
        <v/>
      </c>
      <c r="C396" s="18" t="str">
        <f>IF(Productos!$A396="","",Productos!H396)</f>
        <v/>
      </c>
      <c r="E396" s="18" t="str">
        <f t="shared" si="12"/>
        <v/>
      </c>
      <c r="F396" s="26" t="str">
        <f>IF(A396="","",IF(D396="",0,D396*Productos!G396))</f>
        <v/>
      </c>
      <c r="G396" s="26" t="str">
        <f>IF(A396="","",IF(D396="",0,D396*Productos!F396))</f>
        <v/>
      </c>
      <c r="H396" s="26" t="str">
        <f t="shared" si="13"/>
        <v/>
      </c>
      <c r="I396" t="str">
        <f>IF(A396="","",Productos!J396)</f>
        <v/>
      </c>
    </row>
    <row r="397" spans="1:9" hidden="1" x14ac:dyDescent="0.2">
      <c r="A397" s="18" t="str">
        <f>IF(Productos!A397="","",Productos!A397)</f>
        <v/>
      </c>
      <c r="B397" s="18" t="str">
        <f>IF(Productos!B397="","",Productos!B397)</f>
        <v/>
      </c>
      <c r="C397" s="18" t="str">
        <f>IF(Productos!$A397="","",Productos!H397)</f>
        <v/>
      </c>
      <c r="E397" s="18" t="str">
        <f t="shared" si="12"/>
        <v/>
      </c>
      <c r="F397" s="26" t="str">
        <f>IF(A397="","",IF(D397="",0,D397*Productos!G397))</f>
        <v/>
      </c>
      <c r="G397" s="26" t="str">
        <f>IF(A397="","",IF(D397="",0,D397*Productos!F397))</f>
        <v/>
      </c>
      <c r="H397" s="26" t="str">
        <f t="shared" si="13"/>
        <v/>
      </c>
      <c r="I397" t="str">
        <f>IF(A397="","",Productos!J397)</f>
        <v/>
      </c>
    </row>
    <row r="398" spans="1:9" hidden="1" x14ac:dyDescent="0.2">
      <c r="A398" s="18" t="str">
        <f>IF(Productos!A398="","",Productos!A398)</f>
        <v/>
      </c>
      <c r="B398" s="18" t="str">
        <f>IF(Productos!B398="","",Productos!B398)</f>
        <v/>
      </c>
      <c r="C398" s="18" t="str">
        <f>IF(Productos!$A398="","",Productos!H398)</f>
        <v/>
      </c>
      <c r="E398" s="18" t="str">
        <f t="shared" si="12"/>
        <v/>
      </c>
      <c r="F398" s="26" t="str">
        <f>IF(A398="","",IF(D398="",0,D398*Productos!G398))</f>
        <v/>
      </c>
      <c r="G398" s="26" t="str">
        <f>IF(A398="","",IF(D398="",0,D398*Productos!F398))</f>
        <v/>
      </c>
      <c r="H398" s="26" t="str">
        <f t="shared" si="13"/>
        <v/>
      </c>
      <c r="I398" t="str">
        <f>IF(A398="","",Productos!J398)</f>
        <v/>
      </c>
    </row>
    <row r="399" spans="1:9" hidden="1" x14ac:dyDescent="0.2">
      <c r="A399" s="18" t="str">
        <f>IF(Productos!A399="","",Productos!A399)</f>
        <v/>
      </c>
      <c r="B399" s="18" t="str">
        <f>IF(Productos!B399="","",Productos!B399)</f>
        <v/>
      </c>
      <c r="C399" s="18" t="str">
        <f>IF(Productos!$A399="","",Productos!H399)</f>
        <v/>
      </c>
      <c r="E399" s="18" t="str">
        <f t="shared" si="12"/>
        <v/>
      </c>
      <c r="F399" s="26" t="str">
        <f>IF(A399="","",IF(D399="",0,D399*Productos!G399))</f>
        <v/>
      </c>
      <c r="G399" s="26" t="str">
        <f>IF(A399="","",IF(D399="",0,D399*Productos!F399))</f>
        <v/>
      </c>
      <c r="H399" s="26" t="str">
        <f t="shared" si="13"/>
        <v/>
      </c>
      <c r="I399" t="str">
        <f>IF(A399="","",Productos!J399)</f>
        <v/>
      </c>
    </row>
    <row r="400" spans="1:9" hidden="1" x14ac:dyDescent="0.2">
      <c r="A400" s="18" t="str">
        <f>IF(Productos!A400="","",Productos!A400)</f>
        <v/>
      </c>
      <c r="B400" s="18" t="str">
        <f>IF(Productos!B400="","",Productos!B400)</f>
        <v/>
      </c>
      <c r="C400" s="18" t="str">
        <f>IF(Productos!$A400="","",Productos!H400)</f>
        <v/>
      </c>
      <c r="E400" s="18" t="str">
        <f t="shared" si="12"/>
        <v/>
      </c>
      <c r="F400" s="26" t="str">
        <f>IF(A400="","",IF(D400="",0,D400*Productos!G400))</f>
        <v/>
      </c>
      <c r="G400" s="26" t="str">
        <f>IF(A400="","",IF(D400="",0,D400*Productos!F400))</f>
        <v/>
      </c>
      <c r="H400" s="26" t="str">
        <f t="shared" si="13"/>
        <v/>
      </c>
      <c r="I400" t="str">
        <f>IF(A400="","",Productos!J400)</f>
        <v/>
      </c>
    </row>
    <row r="401" spans="1:9" hidden="1" x14ac:dyDescent="0.2">
      <c r="A401" s="18" t="str">
        <f>IF(Productos!A401="","",Productos!A401)</f>
        <v/>
      </c>
      <c r="B401" s="18" t="str">
        <f>IF(Productos!B401="","",Productos!B401)</f>
        <v/>
      </c>
      <c r="C401" s="18" t="str">
        <f>IF(Productos!$A401="","",Productos!H401)</f>
        <v/>
      </c>
      <c r="E401" s="18" t="str">
        <f t="shared" si="12"/>
        <v/>
      </c>
      <c r="F401" s="26" t="str">
        <f>IF(A401="","",IF(D401="",0,D401*Productos!G401))</f>
        <v/>
      </c>
      <c r="G401" s="26" t="str">
        <f>IF(A401="","",IF(D401="",0,D401*Productos!F401))</f>
        <v/>
      </c>
      <c r="H401" s="26" t="str">
        <f t="shared" si="13"/>
        <v/>
      </c>
      <c r="I401" t="str">
        <f>IF(A401="","",Productos!J401)</f>
        <v/>
      </c>
    </row>
    <row r="402" spans="1:9" hidden="1" x14ac:dyDescent="0.2">
      <c r="A402" s="18" t="str">
        <f>IF(Productos!A402="","",Productos!A402)</f>
        <v/>
      </c>
      <c r="B402" s="18" t="str">
        <f>IF(Productos!B402="","",Productos!B402)</f>
        <v/>
      </c>
      <c r="C402" s="18" t="str">
        <f>IF(Productos!$A402="","",Productos!H402)</f>
        <v/>
      </c>
      <c r="E402" s="18" t="str">
        <f t="shared" si="12"/>
        <v/>
      </c>
      <c r="F402" s="26" t="str">
        <f>IF(A402="","",IF(D402="",0,D402*Productos!G402))</f>
        <v/>
      </c>
      <c r="G402" s="26" t="str">
        <f>IF(A402="","",IF(D402="",0,D402*Productos!F402))</f>
        <v/>
      </c>
      <c r="H402" s="26" t="str">
        <f t="shared" si="13"/>
        <v/>
      </c>
      <c r="I402" t="str">
        <f>IF(A402="","",Productos!J402)</f>
        <v/>
      </c>
    </row>
    <row r="403" spans="1:9" hidden="1" x14ac:dyDescent="0.2">
      <c r="A403" s="18" t="str">
        <f>IF(Productos!A403="","",Productos!A403)</f>
        <v/>
      </c>
      <c r="B403" s="18" t="str">
        <f>IF(Productos!B403="","",Productos!B403)</f>
        <v/>
      </c>
      <c r="C403" s="18" t="str">
        <f>IF(Productos!$A403="","",Productos!H403)</f>
        <v/>
      </c>
      <c r="E403" s="18" t="str">
        <f t="shared" si="12"/>
        <v/>
      </c>
      <c r="F403" s="26" t="str">
        <f>IF(A403="","",IF(D403="",0,D403*Productos!G403))</f>
        <v/>
      </c>
      <c r="G403" s="26" t="str">
        <f>IF(A403="","",IF(D403="",0,D403*Productos!F403))</f>
        <v/>
      </c>
      <c r="H403" s="26" t="str">
        <f t="shared" si="13"/>
        <v/>
      </c>
      <c r="I403" t="str">
        <f>IF(A403="","",Productos!J403)</f>
        <v/>
      </c>
    </row>
    <row r="404" spans="1:9" hidden="1" x14ac:dyDescent="0.2">
      <c r="A404" s="18" t="str">
        <f>IF(Productos!A404="","",Productos!A404)</f>
        <v/>
      </c>
      <c r="B404" s="18" t="str">
        <f>IF(Productos!B404="","",Productos!B404)</f>
        <v/>
      </c>
      <c r="C404" s="18" t="str">
        <f>IF(Productos!$A404="","",Productos!H404)</f>
        <v/>
      </c>
      <c r="E404" s="18" t="str">
        <f t="shared" si="12"/>
        <v/>
      </c>
      <c r="F404" s="26" t="str">
        <f>IF(A404="","",IF(D404="",0,D404*Productos!G404))</f>
        <v/>
      </c>
      <c r="G404" s="26" t="str">
        <f>IF(A404="","",IF(D404="",0,D404*Productos!F404))</f>
        <v/>
      </c>
      <c r="H404" s="26" t="str">
        <f t="shared" si="13"/>
        <v/>
      </c>
      <c r="I404" t="str">
        <f>IF(A404="","",Productos!J404)</f>
        <v/>
      </c>
    </row>
    <row r="405" spans="1:9" hidden="1" x14ac:dyDescent="0.2">
      <c r="A405" s="18" t="str">
        <f>IF(Productos!A405="","",Productos!A405)</f>
        <v/>
      </c>
      <c r="B405" s="18" t="str">
        <f>IF(Productos!B405="","",Productos!B405)</f>
        <v/>
      </c>
      <c r="C405" s="18" t="str">
        <f>IF(Productos!$A405="","",Productos!H405)</f>
        <v/>
      </c>
      <c r="E405" s="18" t="str">
        <f t="shared" si="12"/>
        <v/>
      </c>
      <c r="F405" s="26" t="str">
        <f>IF(A405="","",IF(D405="",0,D405*Productos!G405))</f>
        <v/>
      </c>
      <c r="G405" s="26" t="str">
        <f>IF(A405="","",IF(D405="",0,D405*Productos!F405))</f>
        <v/>
      </c>
      <c r="H405" s="26" t="str">
        <f t="shared" si="13"/>
        <v/>
      </c>
      <c r="I405" t="str">
        <f>IF(A405="","",Productos!J405)</f>
        <v/>
      </c>
    </row>
    <row r="406" spans="1:9" hidden="1" x14ac:dyDescent="0.2">
      <c r="A406" s="18" t="str">
        <f>IF(Productos!A406="","",Productos!A406)</f>
        <v/>
      </c>
      <c r="B406" s="18" t="str">
        <f>IF(Productos!B406="","",Productos!B406)</f>
        <v/>
      </c>
      <c r="C406" s="18" t="str">
        <f>IF(Productos!$A406="","",Productos!H406)</f>
        <v/>
      </c>
      <c r="E406" s="18" t="str">
        <f t="shared" si="12"/>
        <v/>
      </c>
      <c r="F406" s="26" t="str">
        <f>IF(A406="","",IF(D406="",0,D406*Productos!G406))</f>
        <v/>
      </c>
      <c r="G406" s="26" t="str">
        <f>IF(A406="","",IF(D406="",0,D406*Productos!F406))</f>
        <v/>
      </c>
      <c r="H406" s="26" t="str">
        <f t="shared" si="13"/>
        <v/>
      </c>
      <c r="I406" t="str">
        <f>IF(A406="","",Productos!J406)</f>
        <v/>
      </c>
    </row>
    <row r="407" spans="1:9" hidden="1" x14ac:dyDescent="0.2">
      <c r="A407" s="18" t="str">
        <f>IF(Productos!A407="","",Productos!A407)</f>
        <v/>
      </c>
      <c r="B407" s="18" t="str">
        <f>IF(Productos!B407="","",Productos!B407)</f>
        <v/>
      </c>
      <c r="C407" s="18" t="str">
        <f>IF(Productos!$A407="","",Productos!H407)</f>
        <v/>
      </c>
      <c r="E407" s="18" t="str">
        <f t="shared" si="12"/>
        <v/>
      </c>
      <c r="F407" s="26" t="str">
        <f>IF(A407="","",IF(D407="",0,D407*Productos!G407))</f>
        <v/>
      </c>
      <c r="G407" s="26" t="str">
        <f>IF(A407="","",IF(D407="",0,D407*Productos!F407))</f>
        <v/>
      </c>
      <c r="H407" s="26" t="str">
        <f t="shared" si="13"/>
        <v/>
      </c>
      <c r="I407" t="str">
        <f>IF(A407="","",Productos!J407)</f>
        <v/>
      </c>
    </row>
    <row r="408" spans="1:9" hidden="1" x14ac:dyDescent="0.2">
      <c r="A408" s="18" t="str">
        <f>IF(Productos!A408="","",Productos!A408)</f>
        <v/>
      </c>
      <c r="B408" s="18" t="str">
        <f>IF(Productos!B408="","",Productos!B408)</f>
        <v/>
      </c>
      <c r="C408" s="18" t="str">
        <f>IF(Productos!$A408="","",Productos!H408)</f>
        <v/>
      </c>
      <c r="E408" s="18" t="str">
        <f t="shared" si="12"/>
        <v/>
      </c>
      <c r="F408" s="26" t="str">
        <f>IF(A408="","",IF(D408="",0,D408*Productos!G408))</f>
        <v/>
      </c>
      <c r="G408" s="26" t="str">
        <f>IF(A408="","",IF(D408="",0,D408*Productos!F408))</f>
        <v/>
      </c>
      <c r="H408" s="26" t="str">
        <f t="shared" si="13"/>
        <v/>
      </c>
      <c r="I408" t="str">
        <f>IF(A408="","",Productos!J408)</f>
        <v/>
      </c>
    </row>
    <row r="409" spans="1:9" hidden="1" x14ac:dyDescent="0.2">
      <c r="A409" s="18" t="str">
        <f>IF(Productos!A409="","",Productos!A409)</f>
        <v/>
      </c>
      <c r="B409" s="18" t="str">
        <f>IF(Productos!B409="","",Productos!B409)</f>
        <v/>
      </c>
      <c r="C409" s="18" t="str">
        <f>IF(Productos!$A409="","",Productos!H409)</f>
        <v/>
      </c>
      <c r="E409" s="18" t="str">
        <f t="shared" si="12"/>
        <v/>
      </c>
      <c r="F409" s="26" t="str">
        <f>IF(A409="","",IF(D409="",0,D409*Productos!G409))</f>
        <v/>
      </c>
      <c r="G409" s="26" t="str">
        <f>IF(A409="","",IF(D409="",0,D409*Productos!F409))</f>
        <v/>
      </c>
      <c r="H409" s="26" t="str">
        <f t="shared" si="13"/>
        <v/>
      </c>
      <c r="I409" t="str">
        <f>IF(A409="","",Productos!J409)</f>
        <v/>
      </c>
    </row>
    <row r="410" spans="1:9" hidden="1" x14ac:dyDescent="0.2">
      <c r="A410" s="18" t="str">
        <f>IF(Productos!A410="","",Productos!A410)</f>
        <v/>
      </c>
      <c r="B410" s="18" t="str">
        <f>IF(Productos!B410="","",Productos!B410)</f>
        <v/>
      </c>
      <c r="C410" s="18" t="str">
        <f>IF(Productos!$A410="","",Productos!H410)</f>
        <v/>
      </c>
      <c r="E410" s="18" t="str">
        <f t="shared" si="12"/>
        <v/>
      </c>
      <c r="F410" s="26" t="str">
        <f>IF(A410="","",IF(D410="",0,D410*Productos!G410))</f>
        <v/>
      </c>
      <c r="G410" s="26" t="str">
        <f>IF(A410="","",IF(D410="",0,D410*Productos!F410))</f>
        <v/>
      </c>
      <c r="H410" s="26" t="str">
        <f t="shared" si="13"/>
        <v/>
      </c>
      <c r="I410" t="str">
        <f>IF(A410="","",Productos!J410)</f>
        <v/>
      </c>
    </row>
    <row r="411" spans="1:9" hidden="1" x14ac:dyDescent="0.2">
      <c r="A411" s="18" t="str">
        <f>IF(Productos!A411="","",Productos!A411)</f>
        <v/>
      </c>
      <c r="B411" s="18" t="str">
        <f>IF(Productos!B411="","",Productos!B411)</f>
        <v/>
      </c>
      <c r="C411" s="18" t="str">
        <f>IF(Productos!$A411="","",Productos!H411)</f>
        <v/>
      </c>
      <c r="E411" s="18" t="str">
        <f t="shared" si="12"/>
        <v/>
      </c>
      <c r="F411" s="26" t="str">
        <f>IF(A411="","",IF(D411="",0,D411*Productos!G411))</f>
        <v/>
      </c>
      <c r="G411" s="26" t="str">
        <f>IF(A411="","",IF(D411="",0,D411*Productos!F411))</f>
        <v/>
      </c>
      <c r="H411" s="26" t="str">
        <f t="shared" si="13"/>
        <v/>
      </c>
      <c r="I411" t="str">
        <f>IF(A411="","",Productos!J411)</f>
        <v/>
      </c>
    </row>
    <row r="412" spans="1:9" hidden="1" x14ac:dyDescent="0.2">
      <c r="A412" s="18" t="str">
        <f>IF(Productos!A412="","",Productos!A412)</f>
        <v/>
      </c>
      <c r="B412" s="18" t="str">
        <f>IF(Productos!B412="","",Productos!B412)</f>
        <v/>
      </c>
      <c r="C412" s="18" t="str">
        <f>IF(Productos!$A412="","",Productos!H412)</f>
        <v/>
      </c>
      <c r="E412" s="18" t="str">
        <f t="shared" si="12"/>
        <v/>
      </c>
      <c r="F412" s="26" t="str">
        <f>IF(A412="","",IF(D412="",0,D412*Productos!G412))</f>
        <v/>
      </c>
      <c r="G412" s="26" t="str">
        <f>IF(A412="","",IF(D412="",0,D412*Productos!F412))</f>
        <v/>
      </c>
      <c r="H412" s="26" t="str">
        <f t="shared" si="13"/>
        <v/>
      </c>
      <c r="I412" t="str">
        <f>IF(A412="","",Productos!J412)</f>
        <v/>
      </c>
    </row>
    <row r="413" spans="1:9" hidden="1" x14ac:dyDescent="0.2">
      <c r="A413" s="18" t="str">
        <f>IF(Productos!A413="","",Productos!A413)</f>
        <v/>
      </c>
      <c r="B413" s="18" t="str">
        <f>IF(Productos!B413="","",Productos!B413)</f>
        <v/>
      </c>
      <c r="C413" s="18" t="str">
        <f>IF(Productos!$A413="","",Productos!H413)</f>
        <v/>
      </c>
      <c r="E413" s="18" t="str">
        <f t="shared" si="12"/>
        <v/>
      </c>
      <c r="F413" s="26" t="str">
        <f>IF(A413="","",IF(D413="",0,D413*Productos!G413))</f>
        <v/>
      </c>
      <c r="G413" s="26" t="str">
        <f>IF(A413="","",IF(D413="",0,D413*Productos!F413))</f>
        <v/>
      </c>
      <c r="H413" s="26" t="str">
        <f t="shared" si="13"/>
        <v/>
      </c>
      <c r="I413" t="str">
        <f>IF(A413="","",Productos!J413)</f>
        <v/>
      </c>
    </row>
    <row r="414" spans="1:9" hidden="1" x14ac:dyDescent="0.2">
      <c r="A414" s="18" t="str">
        <f>IF(Productos!A414="","",Productos!A414)</f>
        <v/>
      </c>
      <c r="B414" s="18" t="str">
        <f>IF(Productos!B414="","",Productos!B414)</f>
        <v/>
      </c>
      <c r="C414" s="18" t="str">
        <f>IF(Productos!$A414="","",Productos!H414)</f>
        <v/>
      </c>
      <c r="E414" s="18" t="str">
        <f t="shared" si="12"/>
        <v/>
      </c>
      <c r="F414" s="26" t="str">
        <f>IF(A414="","",IF(D414="",0,D414*Productos!G414))</f>
        <v/>
      </c>
      <c r="G414" s="26" t="str">
        <f>IF(A414="","",IF(D414="",0,D414*Productos!F414))</f>
        <v/>
      </c>
      <c r="H414" s="26" t="str">
        <f t="shared" si="13"/>
        <v/>
      </c>
      <c r="I414" t="str">
        <f>IF(A414="","",Productos!J414)</f>
        <v/>
      </c>
    </row>
    <row r="415" spans="1:9" hidden="1" x14ac:dyDescent="0.2">
      <c r="A415" s="18" t="str">
        <f>IF(Productos!A415="","",Productos!A415)</f>
        <v/>
      </c>
      <c r="B415" s="18" t="str">
        <f>IF(Productos!B415="","",Productos!B415)</f>
        <v/>
      </c>
      <c r="C415" s="18" t="str">
        <f>IF(Productos!$A415="","",Productos!H415)</f>
        <v/>
      </c>
      <c r="E415" s="18" t="str">
        <f t="shared" si="12"/>
        <v/>
      </c>
      <c r="F415" s="26" t="str">
        <f>IF(A415="","",IF(D415="",0,D415*Productos!G415))</f>
        <v/>
      </c>
      <c r="G415" s="26" t="str">
        <f>IF(A415="","",IF(D415="",0,D415*Productos!F415))</f>
        <v/>
      </c>
      <c r="H415" s="26" t="str">
        <f t="shared" si="13"/>
        <v/>
      </c>
      <c r="I415" t="str">
        <f>IF(A415="","",Productos!J415)</f>
        <v/>
      </c>
    </row>
    <row r="416" spans="1:9" hidden="1" x14ac:dyDescent="0.2">
      <c r="A416" s="18" t="str">
        <f>IF(Productos!A416="","",Productos!A416)</f>
        <v/>
      </c>
      <c r="B416" s="18" t="str">
        <f>IF(Productos!B416="","",Productos!B416)</f>
        <v/>
      </c>
      <c r="C416" s="18" t="str">
        <f>IF(Productos!$A416="","",Productos!H416)</f>
        <v/>
      </c>
      <c r="E416" s="18" t="str">
        <f t="shared" si="12"/>
        <v/>
      </c>
      <c r="F416" s="26" t="str">
        <f>IF(A416="","",IF(D416="",0,D416*Productos!G416))</f>
        <v/>
      </c>
      <c r="G416" s="26" t="str">
        <f>IF(A416="","",IF(D416="",0,D416*Productos!F416))</f>
        <v/>
      </c>
      <c r="H416" s="26" t="str">
        <f t="shared" si="13"/>
        <v/>
      </c>
      <c r="I416" t="str">
        <f>IF(A416="","",Productos!J416)</f>
        <v/>
      </c>
    </row>
    <row r="417" spans="1:9" hidden="1" x14ac:dyDescent="0.2">
      <c r="A417" s="18" t="str">
        <f>IF(Productos!A417="","",Productos!A417)</f>
        <v/>
      </c>
      <c r="B417" s="18" t="str">
        <f>IF(Productos!B417="","",Productos!B417)</f>
        <v/>
      </c>
      <c r="C417" s="18" t="str">
        <f>IF(Productos!$A417="","",Productos!H417)</f>
        <v/>
      </c>
      <c r="E417" s="18" t="str">
        <f t="shared" si="12"/>
        <v/>
      </c>
      <c r="F417" s="26" t="str">
        <f>IF(A417="","",IF(D417="",0,D417*Productos!G417))</f>
        <v/>
      </c>
      <c r="G417" s="26" t="str">
        <f>IF(A417="","",IF(D417="",0,D417*Productos!F417))</f>
        <v/>
      </c>
      <c r="H417" s="26" t="str">
        <f t="shared" si="13"/>
        <v/>
      </c>
      <c r="I417" t="str">
        <f>IF(A417="","",Productos!J417)</f>
        <v/>
      </c>
    </row>
    <row r="418" spans="1:9" hidden="1" x14ac:dyDescent="0.2">
      <c r="A418" s="18" t="str">
        <f>IF(Productos!A418="","",Productos!A418)</f>
        <v/>
      </c>
      <c r="B418" s="18" t="str">
        <f>IF(Productos!B418="","",Productos!B418)</f>
        <v/>
      </c>
      <c r="C418" s="18" t="str">
        <f>IF(Productos!$A418="","",Productos!H418)</f>
        <v/>
      </c>
      <c r="E418" s="18" t="str">
        <f t="shared" si="12"/>
        <v/>
      </c>
      <c r="F418" s="26" t="str">
        <f>IF(A418="","",IF(D418="",0,D418*Productos!G418))</f>
        <v/>
      </c>
      <c r="G418" s="26" t="str">
        <f>IF(A418="","",IF(D418="",0,D418*Productos!F418))</f>
        <v/>
      </c>
      <c r="H418" s="26" t="str">
        <f t="shared" si="13"/>
        <v/>
      </c>
      <c r="I418" t="str">
        <f>IF(A418="","",Productos!J418)</f>
        <v/>
      </c>
    </row>
    <row r="419" spans="1:9" hidden="1" x14ac:dyDescent="0.2">
      <c r="A419" s="18" t="str">
        <f>IF(Productos!A419="","",Productos!A419)</f>
        <v/>
      </c>
      <c r="B419" s="18" t="str">
        <f>IF(Productos!B419="","",Productos!B419)</f>
        <v/>
      </c>
      <c r="C419" s="18" t="str">
        <f>IF(Productos!$A419="","",Productos!H419)</f>
        <v/>
      </c>
      <c r="E419" s="18" t="str">
        <f t="shared" si="12"/>
        <v/>
      </c>
      <c r="F419" s="26" t="str">
        <f>IF(A419="","",IF(D419="",0,D419*Productos!G419))</f>
        <v/>
      </c>
      <c r="G419" s="26" t="str">
        <f>IF(A419="","",IF(D419="",0,D419*Productos!F419))</f>
        <v/>
      </c>
      <c r="H419" s="26" t="str">
        <f t="shared" si="13"/>
        <v/>
      </c>
      <c r="I419" t="str">
        <f>IF(A419="","",Productos!J419)</f>
        <v/>
      </c>
    </row>
    <row r="420" spans="1:9" hidden="1" x14ac:dyDescent="0.2">
      <c r="A420" s="18" t="str">
        <f>IF(Productos!A420="","",Productos!A420)</f>
        <v/>
      </c>
      <c r="B420" s="18" t="str">
        <f>IF(Productos!B420="","",Productos!B420)</f>
        <v/>
      </c>
      <c r="C420" s="18" t="str">
        <f>IF(Productos!$A420="","",Productos!H420)</f>
        <v/>
      </c>
      <c r="E420" s="18" t="str">
        <f t="shared" si="12"/>
        <v/>
      </c>
      <c r="F420" s="26" t="str">
        <f>IF(A420="","",IF(D420="",0,D420*Productos!G420))</f>
        <v/>
      </c>
      <c r="G420" s="26" t="str">
        <f>IF(A420="","",IF(D420="",0,D420*Productos!F420))</f>
        <v/>
      </c>
      <c r="H420" s="26" t="str">
        <f t="shared" si="13"/>
        <v/>
      </c>
      <c r="I420" t="str">
        <f>IF(A420="","",Productos!J420)</f>
        <v/>
      </c>
    </row>
    <row r="421" spans="1:9" hidden="1" x14ac:dyDescent="0.2">
      <c r="A421" s="18" t="str">
        <f>IF(Productos!A421="","",Productos!A421)</f>
        <v/>
      </c>
      <c r="B421" s="18" t="str">
        <f>IF(Productos!B421="","",Productos!B421)</f>
        <v/>
      </c>
      <c r="C421" s="18" t="str">
        <f>IF(Productos!$A421="","",Productos!H421)</f>
        <v/>
      </c>
      <c r="E421" s="18" t="str">
        <f t="shared" si="12"/>
        <v/>
      </c>
      <c r="F421" s="26" t="str">
        <f>IF(A421="","",IF(D421="",0,D421*Productos!G421))</f>
        <v/>
      </c>
      <c r="G421" s="26" t="str">
        <f>IF(A421="","",IF(D421="",0,D421*Productos!F421))</f>
        <v/>
      </c>
      <c r="H421" s="26" t="str">
        <f t="shared" si="13"/>
        <v/>
      </c>
      <c r="I421" t="str">
        <f>IF(A421="","",Productos!J421)</f>
        <v/>
      </c>
    </row>
    <row r="422" spans="1:9" hidden="1" x14ac:dyDescent="0.2">
      <c r="A422" s="18" t="str">
        <f>IF(Productos!A422="","",Productos!A422)</f>
        <v/>
      </c>
      <c r="B422" s="18" t="str">
        <f>IF(Productos!B422="","",Productos!B422)</f>
        <v/>
      </c>
      <c r="C422" s="18" t="str">
        <f>IF(Productos!$A422="","",Productos!H422)</f>
        <v/>
      </c>
      <c r="E422" s="18" t="str">
        <f t="shared" si="12"/>
        <v/>
      </c>
      <c r="F422" s="26" t="str">
        <f>IF(A422="","",IF(D422="",0,D422*Productos!G422))</f>
        <v/>
      </c>
      <c r="G422" s="26" t="str">
        <f>IF(A422="","",IF(D422="",0,D422*Productos!F422))</f>
        <v/>
      </c>
      <c r="H422" s="26" t="str">
        <f t="shared" si="13"/>
        <v/>
      </c>
      <c r="I422" t="str">
        <f>IF(A422="","",Productos!J422)</f>
        <v/>
      </c>
    </row>
    <row r="423" spans="1:9" hidden="1" x14ac:dyDescent="0.2">
      <c r="A423" s="18" t="str">
        <f>IF(Productos!A423="","",Productos!A423)</f>
        <v/>
      </c>
      <c r="B423" s="18" t="str">
        <f>IF(Productos!B423="","",Productos!B423)</f>
        <v/>
      </c>
      <c r="C423" s="18" t="str">
        <f>IF(Productos!$A423="","",Productos!H423)</f>
        <v/>
      </c>
      <c r="E423" s="18" t="str">
        <f t="shared" si="12"/>
        <v/>
      </c>
      <c r="F423" s="26" t="str">
        <f>IF(A423="","",IF(D423="",0,D423*Productos!G423))</f>
        <v/>
      </c>
      <c r="G423" s="26" t="str">
        <f>IF(A423="","",IF(D423="",0,D423*Productos!F423))</f>
        <v/>
      </c>
      <c r="H423" s="26" t="str">
        <f t="shared" si="13"/>
        <v/>
      </c>
      <c r="I423" t="str">
        <f>IF(A423="","",Productos!J423)</f>
        <v/>
      </c>
    </row>
    <row r="424" spans="1:9" hidden="1" x14ac:dyDescent="0.2">
      <c r="A424" s="18" t="str">
        <f>IF(Productos!A424="","",Productos!A424)</f>
        <v/>
      </c>
      <c r="B424" s="18" t="str">
        <f>IF(Productos!B424="","",Productos!B424)</f>
        <v/>
      </c>
      <c r="C424" s="18" t="str">
        <f>IF(Productos!$A424="","",Productos!H424)</f>
        <v/>
      </c>
      <c r="E424" s="18" t="str">
        <f t="shared" si="12"/>
        <v/>
      </c>
      <c r="F424" s="26" t="str">
        <f>IF(A424="","",IF(D424="",0,D424*Productos!G424))</f>
        <v/>
      </c>
      <c r="G424" s="26" t="str">
        <f>IF(A424="","",IF(D424="",0,D424*Productos!F424))</f>
        <v/>
      </c>
      <c r="H424" s="26" t="str">
        <f t="shared" si="13"/>
        <v/>
      </c>
      <c r="I424" t="str">
        <f>IF(A424="","",Productos!J424)</f>
        <v/>
      </c>
    </row>
    <row r="425" spans="1:9" hidden="1" x14ac:dyDescent="0.2">
      <c r="A425" s="18" t="str">
        <f>IF(Productos!A425="","",Productos!A425)</f>
        <v/>
      </c>
      <c r="B425" s="18" t="str">
        <f>IF(Productos!B425="","",Productos!B425)</f>
        <v/>
      </c>
      <c r="C425" s="18" t="str">
        <f>IF(Productos!$A425="","",Productos!H425)</f>
        <v/>
      </c>
      <c r="E425" s="18" t="str">
        <f t="shared" si="12"/>
        <v/>
      </c>
      <c r="F425" s="26" t="str">
        <f>IF(A425="","",IF(D425="",0,D425*Productos!G425))</f>
        <v/>
      </c>
      <c r="G425" s="26" t="str">
        <f>IF(A425="","",IF(D425="",0,D425*Productos!F425))</f>
        <v/>
      </c>
      <c r="H425" s="26" t="str">
        <f t="shared" si="13"/>
        <v/>
      </c>
      <c r="I425" t="str">
        <f>IF(A425="","",Productos!J425)</f>
        <v/>
      </c>
    </row>
    <row r="426" spans="1:9" hidden="1" x14ac:dyDescent="0.2">
      <c r="A426" s="18" t="str">
        <f>IF(Productos!A426="","",Productos!A426)</f>
        <v/>
      </c>
      <c r="B426" s="18" t="str">
        <f>IF(Productos!B426="","",Productos!B426)</f>
        <v/>
      </c>
      <c r="C426" s="18" t="str">
        <f>IF(Productos!$A426="","",Productos!H426)</f>
        <v/>
      </c>
      <c r="E426" s="18" t="str">
        <f t="shared" si="12"/>
        <v/>
      </c>
      <c r="F426" s="26" t="str">
        <f>IF(A426="","",IF(D426="",0,D426*Productos!G426))</f>
        <v/>
      </c>
      <c r="G426" s="26" t="str">
        <f>IF(A426="","",IF(D426="",0,D426*Productos!F426))</f>
        <v/>
      </c>
      <c r="H426" s="26" t="str">
        <f t="shared" si="13"/>
        <v/>
      </c>
      <c r="I426" t="str">
        <f>IF(A426="","",Productos!J426)</f>
        <v/>
      </c>
    </row>
    <row r="427" spans="1:9" hidden="1" x14ac:dyDescent="0.2">
      <c r="A427" s="18" t="str">
        <f>IF(Productos!A427="","",Productos!A427)</f>
        <v/>
      </c>
      <c r="B427" s="18" t="str">
        <f>IF(Productos!B427="","",Productos!B427)</f>
        <v/>
      </c>
      <c r="C427" s="18" t="str">
        <f>IF(Productos!$A427="","",Productos!H427)</f>
        <v/>
      </c>
      <c r="E427" s="18" t="str">
        <f t="shared" si="12"/>
        <v/>
      </c>
      <c r="F427" s="26" t="str">
        <f>IF(A427="","",IF(D427="",0,D427*Productos!G427))</f>
        <v/>
      </c>
      <c r="G427" s="26" t="str">
        <f>IF(A427="","",IF(D427="",0,D427*Productos!F427))</f>
        <v/>
      </c>
      <c r="H427" s="26" t="str">
        <f t="shared" si="13"/>
        <v/>
      </c>
      <c r="I427" t="str">
        <f>IF(A427="","",Productos!J427)</f>
        <v/>
      </c>
    </row>
    <row r="428" spans="1:9" hidden="1" x14ac:dyDescent="0.2">
      <c r="A428" s="18" t="str">
        <f>IF(Productos!A428="","",Productos!A428)</f>
        <v/>
      </c>
      <c r="B428" s="18" t="str">
        <f>IF(Productos!B428="","",Productos!B428)</f>
        <v/>
      </c>
      <c r="C428" s="18" t="str">
        <f>IF(Productos!$A428="","",Productos!H428)</f>
        <v/>
      </c>
      <c r="E428" s="18" t="str">
        <f t="shared" si="12"/>
        <v/>
      </c>
      <c r="F428" s="26" t="str">
        <f>IF(A428="","",IF(D428="",0,D428*Productos!G428))</f>
        <v/>
      </c>
      <c r="G428" s="26" t="str">
        <f>IF(A428="","",IF(D428="",0,D428*Productos!F428))</f>
        <v/>
      </c>
      <c r="H428" s="26" t="str">
        <f t="shared" si="13"/>
        <v/>
      </c>
      <c r="I428" t="str">
        <f>IF(A428="","",Productos!J428)</f>
        <v/>
      </c>
    </row>
    <row r="429" spans="1:9" hidden="1" x14ac:dyDescent="0.2">
      <c r="A429" s="18" t="str">
        <f>IF(Productos!A429="","",Productos!A429)</f>
        <v/>
      </c>
      <c r="B429" s="18" t="str">
        <f>IF(Productos!B429="","",Productos!B429)</f>
        <v/>
      </c>
      <c r="C429" s="18" t="str">
        <f>IF(Productos!$A429="","",Productos!H429)</f>
        <v/>
      </c>
      <c r="E429" s="18" t="str">
        <f t="shared" si="12"/>
        <v/>
      </c>
      <c r="F429" s="26" t="str">
        <f>IF(A429="","",IF(D429="",0,D429*Productos!G429))</f>
        <v/>
      </c>
      <c r="G429" s="26" t="str">
        <f>IF(A429="","",IF(D429="",0,D429*Productos!F429))</f>
        <v/>
      </c>
      <c r="H429" s="26" t="str">
        <f t="shared" si="13"/>
        <v/>
      </c>
      <c r="I429" t="str">
        <f>IF(A429="","",Productos!J429)</f>
        <v/>
      </c>
    </row>
    <row r="430" spans="1:9" hidden="1" x14ac:dyDescent="0.2">
      <c r="A430" s="18" t="str">
        <f>IF(Productos!A430="","",Productos!A430)</f>
        <v/>
      </c>
      <c r="B430" s="18" t="str">
        <f>IF(Productos!B430="","",Productos!B430)</f>
        <v/>
      </c>
      <c r="C430" s="18" t="str">
        <f>IF(Productos!$A430="","",Productos!H430)</f>
        <v/>
      </c>
      <c r="E430" s="18" t="str">
        <f t="shared" si="12"/>
        <v/>
      </c>
      <c r="F430" s="26" t="str">
        <f>IF(A430="","",IF(D430="",0,D430*Productos!G430))</f>
        <v/>
      </c>
      <c r="G430" s="26" t="str">
        <f>IF(A430="","",IF(D430="",0,D430*Productos!F430))</f>
        <v/>
      </c>
      <c r="H430" s="26" t="str">
        <f t="shared" si="13"/>
        <v/>
      </c>
      <c r="I430" t="str">
        <f>IF(A430="","",Productos!J430)</f>
        <v/>
      </c>
    </row>
    <row r="431" spans="1:9" hidden="1" x14ac:dyDescent="0.2">
      <c r="A431" s="18" t="str">
        <f>IF(Productos!A431="","",Productos!A431)</f>
        <v/>
      </c>
      <c r="B431" s="18" t="str">
        <f>IF(Productos!B431="","",Productos!B431)</f>
        <v/>
      </c>
      <c r="C431" s="18" t="str">
        <f>IF(Productos!$A431="","",Productos!H431)</f>
        <v/>
      </c>
      <c r="E431" s="18" t="str">
        <f t="shared" si="12"/>
        <v/>
      </c>
      <c r="F431" s="26" t="str">
        <f>IF(A431="","",IF(D431="",0,D431*Productos!G431))</f>
        <v/>
      </c>
      <c r="G431" s="26" t="str">
        <f>IF(A431="","",IF(D431="",0,D431*Productos!F431))</f>
        <v/>
      </c>
      <c r="H431" s="26" t="str">
        <f t="shared" si="13"/>
        <v/>
      </c>
      <c r="I431" t="str">
        <f>IF(A431="","",Productos!J431)</f>
        <v/>
      </c>
    </row>
    <row r="432" spans="1:9" hidden="1" x14ac:dyDescent="0.2">
      <c r="A432" s="18" t="str">
        <f>IF(Productos!A432="","",Productos!A432)</f>
        <v/>
      </c>
      <c r="B432" s="18" t="str">
        <f>IF(Productos!B432="","",Productos!B432)</f>
        <v/>
      </c>
      <c r="C432" s="18" t="str">
        <f>IF(Productos!$A432="","",Productos!H432)</f>
        <v/>
      </c>
      <c r="E432" s="18" t="str">
        <f t="shared" si="12"/>
        <v/>
      </c>
      <c r="F432" s="26" t="str">
        <f>IF(A432="","",IF(D432="",0,D432*Productos!G432))</f>
        <v/>
      </c>
      <c r="G432" s="26" t="str">
        <f>IF(A432="","",IF(D432="",0,D432*Productos!F432))</f>
        <v/>
      </c>
      <c r="H432" s="26" t="str">
        <f t="shared" si="13"/>
        <v/>
      </c>
      <c r="I432" t="str">
        <f>IF(A432="","",Productos!J432)</f>
        <v/>
      </c>
    </row>
    <row r="433" spans="1:9" hidden="1" x14ac:dyDescent="0.2">
      <c r="A433" s="18" t="str">
        <f>IF(Productos!A433="","",Productos!A433)</f>
        <v/>
      </c>
      <c r="B433" s="18" t="str">
        <f>IF(Productos!B433="","",Productos!B433)</f>
        <v/>
      </c>
      <c r="C433" s="18" t="str">
        <f>IF(Productos!$A433="","",Productos!H433)</f>
        <v/>
      </c>
      <c r="E433" s="18" t="str">
        <f t="shared" si="12"/>
        <v/>
      </c>
      <c r="F433" s="26" t="str">
        <f>IF(A433="","",IF(D433="",0,D433*Productos!G433))</f>
        <v/>
      </c>
      <c r="G433" s="26" t="str">
        <f>IF(A433="","",IF(D433="",0,D433*Productos!F433))</f>
        <v/>
      </c>
      <c r="H433" s="26" t="str">
        <f t="shared" si="13"/>
        <v/>
      </c>
      <c r="I433" t="str">
        <f>IF(A433="","",Productos!J433)</f>
        <v/>
      </c>
    </row>
    <row r="434" spans="1:9" hidden="1" x14ac:dyDescent="0.2">
      <c r="A434" s="18" t="str">
        <f>IF(Productos!A434="","",Productos!A434)</f>
        <v/>
      </c>
      <c r="B434" s="18" t="str">
        <f>IF(Productos!B434="","",Productos!B434)</f>
        <v/>
      </c>
      <c r="C434" s="18" t="str">
        <f>IF(Productos!$A434="","",Productos!H434)</f>
        <v/>
      </c>
      <c r="E434" s="18" t="str">
        <f t="shared" si="12"/>
        <v/>
      </c>
      <c r="F434" s="26" t="str">
        <f>IF(A434="","",IF(D434="",0,D434*Productos!G434))</f>
        <v/>
      </c>
      <c r="G434" s="26" t="str">
        <f>IF(A434="","",IF(D434="",0,D434*Productos!F434))</f>
        <v/>
      </c>
      <c r="H434" s="26" t="str">
        <f t="shared" si="13"/>
        <v/>
      </c>
      <c r="I434" t="str">
        <f>IF(A434="","",Productos!J434)</f>
        <v/>
      </c>
    </row>
    <row r="435" spans="1:9" hidden="1" x14ac:dyDescent="0.2">
      <c r="A435" s="18" t="str">
        <f>IF(Productos!A435="","",Productos!A435)</f>
        <v/>
      </c>
      <c r="B435" s="18" t="str">
        <f>IF(Productos!B435="","",Productos!B435)</f>
        <v/>
      </c>
      <c r="C435" s="18" t="str">
        <f>IF(Productos!$A435="","",Productos!H435)</f>
        <v/>
      </c>
      <c r="E435" s="18" t="str">
        <f t="shared" si="12"/>
        <v/>
      </c>
      <c r="F435" s="26" t="str">
        <f>IF(A435="","",IF(D435="",0,D435*Productos!G435))</f>
        <v/>
      </c>
      <c r="G435" s="26" t="str">
        <f>IF(A435="","",IF(D435="",0,D435*Productos!F435))</f>
        <v/>
      </c>
      <c r="H435" s="26" t="str">
        <f t="shared" si="13"/>
        <v/>
      </c>
      <c r="I435" t="str">
        <f>IF(A435="","",Productos!J435)</f>
        <v/>
      </c>
    </row>
    <row r="436" spans="1:9" hidden="1" x14ac:dyDescent="0.2">
      <c r="A436" s="18" t="str">
        <f>IF(Productos!A436="","",Productos!A436)</f>
        <v/>
      </c>
      <c r="B436" s="18" t="str">
        <f>IF(Productos!B436="","",Productos!B436)</f>
        <v/>
      </c>
      <c r="C436" s="18" t="str">
        <f>IF(Productos!$A436="","",Productos!H436)</f>
        <v/>
      </c>
      <c r="E436" s="18" t="str">
        <f t="shared" si="12"/>
        <v/>
      </c>
      <c r="F436" s="26" t="str">
        <f>IF(A436="","",IF(D436="",0,D436*Productos!G436))</f>
        <v/>
      </c>
      <c r="G436" s="26" t="str">
        <f>IF(A436="","",IF(D436="",0,D436*Productos!F436))</f>
        <v/>
      </c>
      <c r="H436" s="26" t="str">
        <f t="shared" si="13"/>
        <v/>
      </c>
      <c r="I436" t="str">
        <f>IF(A436="","",Productos!J436)</f>
        <v/>
      </c>
    </row>
    <row r="437" spans="1:9" hidden="1" x14ac:dyDescent="0.2">
      <c r="A437" s="18" t="str">
        <f>IF(Productos!A437="","",Productos!A437)</f>
        <v/>
      </c>
      <c r="B437" s="18" t="str">
        <f>IF(Productos!B437="","",Productos!B437)</f>
        <v/>
      </c>
      <c r="C437" s="18" t="str">
        <f>IF(Productos!$A437="","",Productos!H437)</f>
        <v/>
      </c>
      <c r="E437" s="18" t="str">
        <f t="shared" si="12"/>
        <v/>
      </c>
      <c r="F437" s="26" t="str">
        <f>IF(A437="","",IF(D437="",0,D437*Productos!G437))</f>
        <v/>
      </c>
      <c r="G437" s="26" t="str">
        <f>IF(A437="","",IF(D437="",0,D437*Productos!F437))</f>
        <v/>
      </c>
      <c r="H437" s="26" t="str">
        <f t="shared" si="13"/>
        <v/>
      </c>
      <c r="I437" t="str">
        <f>IF(A437="","",Productos!J437)</f>
        <v/>
      </c>
    </row>
    <row r="438" spans="1:9" hidden="1" x14ac:dyDescent="0.2">
      <c r="A438" s="18" t="str">
        <f>IF(Productos!A438="","",Productos!A438)</f>
        <v/>
      </c>
      <c r="B438" s="18" t="str">
        <f>IF(Productos!B438="","",Productos!B438)</f>
        <v/>
      </c>
      <c r="C438" s="18" t="str">
        <f>IF(Productos!$A438="","",Productos!H438)</f>
        <v/>
      </c>
      <c r="E438" s="18" t="str">
        <f t="shared" si="12"/>
        <v/>
      </c>
      <c r="F438" s="26" t="str">
        <f>IF(A438="","",IF(D438="",0,D438*Productos!G438))</f>
        <v/>
      </c>
      <c r="G438" s="26" t="str">
        <f>IF(A438="","",IF(D438="",0,D438*Productos!F438))</f>
        <v/>
      </c>
      <c r="H438" s="26" t="str">
        <f t="shared" si="13"/>
        <v/>
      </c>
      <c r="I438" t="str">
        <f>IF(A438="","",Productos!J438)</f>
        <v/>
      </c>
    </row>
    <row r="439" spans="1:9" hidden="1" x14ac:dyDescent="0.2">
      <c r="A439" s="18" t="str">
        <f>IF(Productos!A439="","",Productos!A439)</f>
        <v/>
      </c>
      <c r="B439" s="18" t="str">
        <f>IF(Productos!B439="","",Productos!B439)</f>
        <v/>
      </c>
      <c r="C439" s="18" t="str">
        <f>IF(Productos!$A439="","",Productos!H439)</f>
        <v/>
      </c>
      <c r="E439" s="18" t="str">
        <f t="shared" si="12"/>
        <v/>
      </c>
      <c r="F439" s="26" t="str">
        <f>IF(A439="","",IF(D439="",0,D439*Productos!G439))</f>
        <v/>
      </c>
      <c r="G439" s="26" t="str">
        <f>IF(A439="","",IF(D439="",0,D439*Productos!F439))</f>
        <v/>
      </c>
      <c r="H439" s="26" t="str">
        <f t="shared" si="13"/>
        <v/>
      </c>
      <c r="I439" t="str">
        <f>IF(A439="","",Productos!J439)</f>
        <v/>
      </c>
    </row>
    <row r="440" spans="1:9" hidden="1" x14ac:dyDescent="0.2">
      <c r="A440" s="18" t="str">
        <f>IF(Productos!A440="","",Productos!A440)</f>
        <v/>
      </c>
      <c r="B440" s="18" t="str">
        <f>IF(Productos!B440="","",Productos!B440)</f>
        <v/>
      </c>
      <c r="C440" s="18" t="str">
        <f>IF(Productos!$A440="","",Productos!H440)</f>
        <v/>
      </c>
      <c r="E440" s="18" t="str">
        <f t="shared" si="12"/>
        <v/>
      </c>
      <c r="F440" s="26" t="str">
        <f>IF(A440="","",IF(D440="",0,D440*Productos!G440))</f>
        <v/>
      </c>
      <c r="G440" s="26" t="str">
        <f>IF(A440="","",IF(D440="",0,D440*Productos!F440))</f>
        <v/>
      </c>
      <c r="H440" s="26" t="str">
        <f t="shared" si="13"/>
        <v/>
      </c>
      <c r="I440" t="str">
        <f>IF(A440="","",Productos!J440)</f>
        <v/>
      </c>
    </row>
    <row r="441" spans="1:9" hidden="1" x14ac:dyDescent="0.2">
      <c r="A441" s="18" t="str">
        <f>IF(Productos!A441="","",Productos!A441)</f>
        <v/>
      </c>
      <c r="B441" s="18" t="str">
        <f>IF(Productos!B441="","",Productos!B441)</f>
        <v/>
      </c>
      <c r="C441" s="18" t="str">
        <f>IF(Productos!$A441="","",Productos!H441)</f>
        <v/>
      </c>
      <c r="E441" s="18" t="str">
        <f t="shared" si="12"/>
        <v/>
      </c>
      <c r="F441" s="26" t="str">
        <f>IF(A441="","",IF(D441="",0,D441*Productos!G441))</f>
        <v/>
      </c>
      <c r="G441" s="26" t="str">
        <f>IF(A441="","",IF(D441="",0,D441*Productos!F441))</f>
        <v/>
      </c>
      <c r="H441" s="26" t="str">
        <f t="shared" si="13"/>
        <v/>
      </c>
      <c r="I441" t="str">
        <f>IF(A441="","",Productos!J441)</f>
        <v/>
      </c>
    </row>
    <row r="442" spans="1:9" hidden="1" x14ac:dyDescent="0.2">
      <c r="A442" s="18" t="str">
        <f>IF(Productos!A442="","",Productos!A442)</f>
        <v/>
      </c>
      <c r="B442" s="18" t="str">
        <f>IF(Productos!B442="","",Productos!B442)</f>
        <v/>
      </c>
      <c r="C442" s="18" t="str">
        <f>IF(Productos!$A442="","",Productos!H442)</f>
        <v/>
      </c>
      <c r="E442" s="18" t="str">
        <f t="shared" si="12"/>
        <v/>
      </c>
      <c r="F442" s="26" t="str">
        <f>IF(A442="","",IF(D442="",0,D442*Productos!G442))</f>
        <v/>
      </c>
      <c r="G442" s="26" t="str">
        <f>IF(A442="","",IF(D442="",0,D442*Productos!F442))</f>
        <v/>
      </c>
      <c r="H442" s="26" t="str">
        <f t="shared" si="13"/>
        <v/>
      </c>
      <c r="I442" t="str">
        <f>IF(A442="","",Productos!J442)</f>
        <v/>
      </c>
    </row>
    <row r="443" spans="1:9" hidden="1" x14ac:dyDescent="0.2">
      <c r="A443" s="18" t="str">
        <f>IF(Productos!A443="","",Productos!A443)</f>
        <v/>
      </c>
      <c r="B443" s="18" t="str">
        <f>IF(Productos!B443="","",Productos!B443)</f>
        <v/>
      </c>
      <c r="C443" s="18" t="str">
        <f>IF(Productos!$A443="","",Productos!H443)</f>
        <v/>
      </c>
      <c r="E443" s="18" t="str">
        <f t="shared" si="12"/>
        <v/>
      </c>
      <c r="F443" s="26" t="str">
        <f>IF(A443="","",IF(D443="",0,D443*Productos!G443))</f>
        <v/>
      </c>
      <c r="G443" s="26" t="str">
        <f>IF(A443="","",IF(D443="",0,D443*Productos!F443))</f>
        <v/>
      </c>
      <c r="H443" s="26" t="str">
        <f t="shared" si="13"/>
        <v/>
      </c>
      <c r="I443" t="str">
        <f>IF(A443="","",Productos!J443)</f>
        <v/>
      </c>
    </row>
    <row r="444" spans="1:9" hidden="1" x14ac:dyDescent="0.2">
      <c r="A444" s="18" t="str">
        <f>IF(Productos!A444="","",Productos!A444)</f>
        <v/>
      </c>
      <c r="B444" s="18" t="str">
        <f>IF(Productos!B444="","",Productos!B444)</f>
        <v/>
      </c>
      <c r="C444" s="18" t="str">
        <f>IF(Productos!$A444="","",Productos!H444)</f>
        <v/>
      </c>
      <c r="E444" s="18" t="str">
        <f t="shared" si="12"/>
        <v/>
      </c>
      <c r="F444" s="26" t="str">
        <f>IF(A444="","",IF(D444="",0,D444*Productos!G444))</f>
        <v/>
      </c>
      <c r="G444" s="26" t="str">
        <f>IF(A444="","",IF(D444="",0,D444*Productos!F444))</f>
        <v/>
      </c>
      <c r="H444" s="26" t="str">
        <f t="shared" si="13"/>
        <v/>
      </c>
      <c r="I444" t="str">
        <f>IF(A444="","",Productos!J444)</f>
        <v/>
      </c>
    </row>
    <row r="445" spans="1:9" hidden="1" x14ac:dyDescent="0.2">
      <c r="A445" s="18" t="str">
        <f>IF(Productos!A445="","",Productos!A445)</f>
        <v/>
      </c>
      <c r="B445" s="18" t="str">
        <f>IF(Productos!B445="","",Productos!B445)</f>
        <v/>
      </c>
      <c r="C445" s="18" t="str">
        <f>IF(Productos!$A445="","",Productos!H445)</f>
        <v/>
      </c>
      <c r="E445" s="18" t="str">
        <f t="shared" si="12"/>
        <v/>
      </c>
      <c r="F445" s="26" t="str">
        <f>IF(A445="","",IF(D445="",0,D445*Productos!G445))</f>
        <v/>
      </c>
      <c r="G445" s="26" t="str">
        <f>IF(A445="","",IF(D445="",0,D445*Productos!F445))</f>
        <v/>
      </c>
      <c r="H445" s="26" t="str">
        <f t="shared" si="13"/>
        <v/>
      </c>
      <c r="I445" t="str">
        <f>IF(A445="","",Productos!J445)</f>
        <v/>
      </c>
    </row>
    <row r="446" spans="1:9" hidden="1" x14ac:dyDescent="0.2">
      <c r="A446" s="18" t="str">
        <f>IF(Productos!A446="","",Productos!A446)</f>
        <v/>
      </c>
      <c r="B446" s="18" t="str">
        <f>IF(Productos!B446="","",Productos!B446)</f>
        <v/>
      </c>
      <c r="C446" s="18" t="str">
        <f>IF(Productos!$A446="","",Productos!H446)</f>
        <v/>
      </c>
      <c r="E446" s="18" t="str">
        <f t="shared" si="12"/>
        <v/>
      </c>
      <c r="F446" s="26" t="str">
        <f>IF(A446="","",IF(D446="",0,D446*Productos!G446))</f>
        <v/>
      </c>
      <c r="G446" s="26" t="str">
        <f>IF(A446="","",IF(D446="",0,D446*Productos!F446))</f>
        <v/>
      </c>
      <c r="H446" s="26" t="str">
        <f t="shared" si="13"/>
        <v/>
      </c>
      <c r="I446" t="str">
        <f>IF(A446="","",Productos!J446)</f>
        <v/>
      </c>
    </row>
    <row r="447" spans="1:9" hidden="1" x14ac:dyDescent="0.2">
      <c r="A447" s="18" t="str">
        <f>IF(Productos!A447="","",Productos!A447)</f>
        <v/>
      </c>
      <c r="B447" s="18" t="str">
        <f>IF(Productos!B447="","",Productos!B447)</f>
        <v/>
      </c>
      <c r="C447" s="18" t="str">
        <f>IF(Productos!$A447="","",Productos!H447)</f>
        <v/>
      </c>
      <c r="E447" s="18" t="str">
        <f t="shared" si="12"/>
        <v/>
      </c>
      <c r="F447" s="26" t="str">
        <f>IF(A447="","",IF(D447="",0,D447*Productos!G447))</f>
        <v/>
      </c>
      <c r="G447" s="26" t="str">
        <f>IF(A447="","",IF(D447="",0,D447*Productos!F447))</f>
        <v/>
      </c>
      <c r="H447" s="26" t="str">
        <f t="shared" si="13"/>
        <v/>
      </c>
      <c r="I447" t="str">
        <f>IF(A447="","",Productos!J447)</f>
        <v/>
      </c>
    </row>
    <row r="448" spans="1:9" hidden="1" x14ac:dyDescent="0.2">
      <c r="A448" s="18" t="str">
        <f>IF(Productos!A448="","",Productos!A448)</f>
        <v/>
      </c>
      <c r="B448" s="18" t="str">
        <f>IF(Productos!B448="","",Productos!B448)</f>
        <v/>
      </c>
      <c r="C448" s="18" t="str">
        <f>IF(Productos!$A448="","",Productos!H448)</f>
        <v/>
      </c>
      <c r="E448" s="18" t="str">
        <f t="shared" si="12"/>
        <v/>
      </c>
      <c r="F448" s="26" t="str">
        <f>IF(A448="","",IF(D448="",0,D448*Productos!G448))</f>
        <v/>
      </c>
      <c r="G448" s="26" t="str">
        <f>IF(A448="","",IF(D448="",0,D448*Productos!F448))</f>
        <v/>
      </c>
      <c r="H448" s="26" t="str">
        <f t="shared" si="13"/>
        <v/>
      </c>
      <c r="I448" t="str">
        <f>IF(A448="","",Productos!J448)</f>
        <v/>
      </c>
    </row>
    <row r="449" spans="1:9" hidden="1" x14ac:dyDescent="0.2">
      <c r="A449" s="18" t="str">
        <f>IF(Productos!A449="","",Productos!A449)</f>
        <v/>
      </c>
      <c r="B449" s="18" t="str">
        <f>IF(Productos!B449="","",Productos!B449)</f>
        <v/>
      </c>
      <c r="C449" s="18" t="str">
        <f>IF(Productos!$A449="","",Productos!H449)</f>
        <v/>
      </c>
      <c r="E449" s="18" t="str">
        <f t="shared" si="12"/>
        <v/>
      </c>
      <c r="F449" s="26" t="str">
        <f>IF(A449="","",IF(D449="",0,D449*Productos!G449))</f>
        <v/>
      </c>
      <c r="G449" s="26" t="str">
        <f>IF(A449="","",IF(D449="",0,D449*Productos!F449))</f>
        <v/>
      </c>
      <c r="H449" s="26" t="str">
        <f t="shared" si="13"/>
        <v/>
      </c>
      <c r="I449" t="str">
        <f>IF(A449="","",Productos!J449)</f>
        <v/>
      </c>
    </row>
    <row r="450" spans="1:9" hidden="1" x14ac:dyDescent="0.2">
      <c r="A450" s="18" t="str">
        <f>IF(Productos!A450="","",Productos!A450)</f>
        <v/>
      </c>
      <c r="B450" s="18" t="str">
        <f>IF(Productos!B450="","",Productos!B450)</f>
        <v/>
      </c>
      <c r="C450" s="18" t="str">
        <f>IF(Productos!$A450="","",Productos!H450)</f>
        <v/>
      </c>
      <c r="E450" s="18" t="str">
        <f t="shared" si="12"/>
        <v/>
      </c>
      <c r="F450" s="26" t="str">
        <f>IF(A450="","",IF(D450="",0,D450*Productos!G450))</f>
        <v/>
      </c>
      <c r="G450" s="26" t="str">
        <f>IF(A450="","",IF(D450="",0,D450*Productos!F450))</f>
        <v/>
      </c>
      <c r="H450" s="26" t="str">
        <f t="shared" si="13"/>
        <v/>
      </c>
      <c r="I450" t="str">
        <f>IF(A450="","",Productos!J450)</f>
        <v/>
      </c>
    </row>
    <row r="451" spans="1:9" hidden="1" x14ac:dyDescent="0.2">
      <c r="A451" s="18" t="str">
        <f>IF(Productos!A451="","",Productos!A451)</f>
        <v/>
      </c>
      <c r="B451" s="18" t="str">
        <f>IF(Productos!B451="","",Productos!B451)</f>
        <v/>
      </c>
      <c r="C451" s="18" t="str">
        <f>IF(Productos!$A451="","",Productos!H451)</f>
        <v/>
      </c>
      <c r="E451" s="18" t="str">
        <f t="shared" ref="E451:E514" si="14">IF(C451="","",C451-IF(D451="",0,D451))</f>
        <v/>
      </c>
      <c r="F451" s="26" t="str">
        <f>IF(A451="","",IF(D451="",0,D451*Productos!G451))</f>
        <v/>
      </c>
      <c r="G451" s="26" t="str">
        <f>IF(A451="","",IF(D451="",0,D451*Productos!F451))</f>
        <v/>
      </c>
      <c r="H451" s="26" t="str">
        <f t="shared" ref="H451:H514" si="15">IF(A451="","",F451-G451)</f>
        <v/>
      </c>
      <c r="I451" t="str">
        <f>IF(A451="","",Productos!J451)</f>
        <v/>
      </c>
    </row>
    <row r="452" spans="1:9" hidden="1" x14ac:dyDescent="0.2">
      <c r="A452" s="18" t="str">
        <f>IF(Productos!A452="","",Productos!A452)</f>
        <v/>
      </c>
      <c r="B452" s="18" t="str">
        <f>IF(Productos!B452="","",Productos!B452)</f>
        <v/>
      </c>
      <c r="C452" s="18" t="str">
        <f>IF(Productos!$A452="","",Productos!H452)</f>
        <v/>
      </c>
      <c r="E452" s="18" t="str">
        <f t="shared" si="14"/>
        <v/>
      </c>
      <c r="F452" s="26" t="str">
        <f>IF(A452="","",IF(D452="",0,D452*Productos!G452))</f>
        <v/>
      </c>
      <c r="G452" s="26" t="str">
        <f>IF(A452="","",IF(D452="",0,D452*Productos!F452))</f>
        <v/>
      </c>
      <c r="H452" s="26" t="str">
        <f t="shared" si="15"/>
        <v/>
      </c>
      <c r="I452" t="str">
        <f>IF(A452="","",Productos!J452)</f>
        <v/>
      </c>
    </row>
    <row r="453" spans="1:9" hidden="1" x14ac:dyDescent="0.2">
      <c r="A453" s="18" t="str">
        <f>IF(Productos!A453="","",Productos!A453)</f>
        <v/>
      </c>
      <c r="B453" s="18" t="str">
        <f>IF(Productos!B453="","",Productos!B453)</f>
        <v/>
      </c>
      <c r="C453" s="18" t="str">
        <f>IF(Productos!$A453="","",Productos!H453)</f>
        <v/>
      </c>
      <c r="E453" s="18" t="str">
        <f t="shared" si="14"/>
        <v/>
      </c>
      <c r="F453" s="26" t="str">
        <f>IF(A453="","",IF(D453="",0,D453*Productos!G453))</f>
        <v/>
      </c>
      <c r="G453" s="26" t="str">
        <f>IF(A453="","",IF(D453="",0,D453*Productos!F453))</f>
        <v/>
      </c>
      <c r="H453" s="26" t="str">
        <f t="shared" si="15"/>
        <v/>
      </c>
      <c r="I453" t="str">
        <f>IF(A453="","",Productos!J453)</f>
        <v/>
      </c>
    </row>
    <row r="454" spans="1:9" hidden="1" x14ac:dyDescent="0.2">
      <c r="A454" s="18" t="str">
        <f>IF(Productos!A454="","",Productos!A454)</f>
        <v/>
      </c>
      <c r="B454" s="18" t="str">
        <f>IF(Productos!B454="","",Productos!B454)</f>
        <v/>
      </c>
      <c r="C454" s="18" t="str">
        <f>IF(Productos!$A454="","",Productos!H454)</f>
        <v/>
      </c>
      <c r="E454" s="18" t="str">
        <f t="shared" si="14"/>
        <v/>
      </c>
      <c r="F454" s="26" t="str">
        <f>IF(A454="","",IF(D454="",0,D454*Productos!G454))</f>
        <v/>
      </c>
      <c r="G454" s="26" t="str">
        <f>IF(A454="","",IF(D454="",0,D454*Productos!F454))</f>
        <v/>
      </c>
      <c r="H454" s="26" t="str">
        <f t="shared" si="15"/>
        <v/>
      </c>
      <c r="I454" t="str">
        <f>IF(A454="","",Productos!J454)</f>
        <v/>
      </c>
    </row>
    <row r="455" spans="1:9" hidden="1" x14ac:dyDescent="0.2">
      <c r="A455" s="18" t="str">
        <f>IF(Productos!A455="","",Productos!A455)</f>
        <v/>
      </c>
      <c r="B455" s="18" t="str">
        <f>IF(Productos!B455="","",Productos!B455)</f>
        <v/>
      </c>
      <c r="C455" s="18" t="str">
        <f>IF(Productos!$A455="","",Productos!H455)</f>
        <v/>
      </c>
      <c r="E455" s="18" t="str">
        <f t="shared" si="14"/>
        <v/>
      </c>
      <c r="F455" s="26" t="str">
        <f>IF(A455="","",IF(D455="",0,D455*Productos!G455))</f>
        <v/>
      </c>
      <c r="G455" s="26" t="str">
        <f>IF(A455="","",IF(D455="",0,D455*Productos!F455))</f>
        <v/>
      </c>
      <c r="H455" s="26" t="str">
        <f t="shared" si="15"/>
        <v/>
      </c>
      <c r="I455" t="str">
        <f>IF(A455="","",Productos!J455)</f>
        <v/>
      </c>
    </row>
    <row r="456" spans="1:9" hidden="1" x14ac:dyDescent="0.2">
      <c r="A456" s="18" t="str">
        <f>IF(Productos!A456="","",Productos!A456)</f>
        <v/>
      </c>
      <c r="B456" s="18" t="str">
        <f>IF(Productos!B456="","",Productos!B456)</f>
        <v/>
      </c>
      <c r="C456" s="18" t="str">
        <f>IF(Productos!$A456="","",Productos!H456)</f>
        <v/>
      </c>
      <c r="E456" s="18" t="str">
        <f t="shared" si="14"/>
        <v/>
      </c>
      <c r="F456" s="26" t="str">
        <f>IF(A456="","",IF(D456="",0,D456*Productos!G456))</f>
        <v/>
      </c>
      <c r="G456" s="26" t="str">
        <f>IF(A456="","",IF(D456="",0,D456*Productos!F456))</f>
        <v/>
      </c>
      <c r="H456" s="26" t="str">
        <f t="shared" si="15"/>
        <v/>
      </c>
      <c r="I456" t="str">
        <f>IF(A456="","",Productos!J456)</f>
        <v/>
      </c>
    </row>
    <row r="457" spans="1:9" hidden="1" x14ac:dyDescent="0.2">
      <c r="A457" s="18" t="str">
        <f>IF(Productos!A457="","",Productos!A457)</f>
        <v/>
      </c>
      <c r="B457" s="18" t="str">
        <f>IF(Productos!B457="","",Productos!B457)</f>
        <v/>
      </c>
      <c r="C457" s="18" t="str">
        <f>IF(Productos!$A457="","",Productos!H457)</f>
        <v/>
      </c>
      <c r="E457" s="18" t="str">
        <f t="shared" si="14"/>
        <v/>
      </c>
      <c r="F457" s="26" t="str">
        <f>IF(A457="","",IF(D457="",0,D457*Productos!G457))</f>
        <v/>
      </c>
      <c r="G457" s="26" t="str">
        <f>IF(A457="","",IF(D457="",0,D457*Productos!F457))</f>
        <v/>
      </c>
      <c r="H457" s="26" t="str">
        <f t="shared" si="15"/>
        <v/>
      </c>
      <c r="I457" t="str">
        <f>IF(A457="","",Productos!J457)</f>
        <v/>
      </c>
    </row>
    <row r="458" spans="1:9" hidden="1" x14ac:dyDescent="0.2">
      <c r="A458" s="18" t="str">
        <f>IF(Productos!A458="","",Productos!A458)</f>
        <v/>
      </c>
      <c r="B458" s="18" t="str">
        <f>IF(Productos!B458="","",Productos!B458)</f>
        <v/>
      </c>
      <c r="C458" s="18" t="str">
        <f>IF(Productos!$A458="","",Productos!H458)</f>
        <v/>
      </c>
      <c r="E458" s="18" t="str">
        <f t="shared" si="14"/>
        <v/>
      </c>
      <c r="F458" s="26" t="str">
        <f>IF(A458="","",IF(D458="",0,D458*Productos!G458))</f>
        <v/>
      </c>
      <c r="G458" s="26" t="str">
        <f>IF(A458="","",IF(D458="",0,D458*Productos!F458))</f>
        <v/>
      </c>
      <c r="H458" s="26" t="str">
        <f t="shared" si="15"/>
        <v/>
      </c>
      <c r="I458" t="str">
        <f>IF(A458="","",Productos!J458)</f>
        <v/>
      </c>
    </row>
    <row r="459" spans="1:9" hidden="1" x14ac:dyDescent="0.2">
      <c r="A459" s="18" t="str">
        <f>IF(Productos!A459="","",Productos!A459)</f>
        <v/>
      </c>
      <c r="B459" s="18" t="str">
        <f>IF(Productos!B459="","",Productos!B459)</f>
        <v/>
      </c>
      <c r="C459" s="18" t="str">
        <f>IF(Productos!$A459="","",Productos!H459)</f>
        <v/>
      </c>
      <c r="E459" s="18" t="str">
        <f t="shared" si="14"/>
        <v/>
      </c>
      <c r="F459" s="26" t="str">
        <f>IF(A459="","",IF(D459="",0,D459*Productos!G459))</f>
        <v/>
      </c>
      <c r="G459" s="26" t="str">
        <f>IF(A459="","",IF(D459="",0,D459*Productos!F459))</f>
        <v/>
      </c>
      <c r="H459" s="26" t="str">
        <f t="shared" si="15"/>
        <v/>
      </c>
      <c r="I459" t="str">
        <f>IF(A459="","",Productos!J459)</f>
        <v/>
      </c>
    </row>
    <row r="460" spans="1:9" hidden="1" x14ac:dyDescent="0.2">
      <c r="A460" s="18" t="str">
        <f>IF(Productos!A460="","",Productos!A460)</f>
        <v/>
      </c>
      <c r="B460" s="18" t="str">
        <f>IF(Productos!B460="","",Productos!B460)</f>
        <v/>
      </c>
      <c r="C460" s="18" t="str">
        <f>IF(Productos!$A460="","",Productos!H460)</f>
        <v/>
      </c>
      <c r="E460" s="18" t="str">
        <f t="shared" si="14"/>
        <v/>
      </c>
      <c r="F460" s="26" t="str">
        <f>IF(A460="","",IF(D460="",0,D460*Productos!G460))</f>
        <v/>
      </c>
      <c r="G460" s="26" t="str">
        <f>IF(A460="","",IF(D460="",0,D460*Productos!F460))</f>
        <v/>
      </c>
      <c r="H460" s="26" t="str">
        <f t="shared" si="15"/>
        <v/>
      </c>
      <c r="I460" t="str">
        <f>IF(A460="","",Productos!J460)</f>
        <v/>
      </c>
    </row>
    <row r="461" spans="1:9" hidden="1" x14ac:dyDescent="0.2">
      <c r="A461" s="18" t="str">
        <f>IF(Productos!A461="","",Productos!A461)</f>
        <v/>
      </c>
      <c r="B461" s="18" t="str">
        <f>IF(Productos!B461="","",Productos!B461)</f>
        <v/>
      </c>
      <c r="C461" s="18" t="str">
        <f>IF(Productos!$A461="","",Productos!H461)</f>
        <v/>
      </c>
      <c r="E461" s="18" t="str">
        <f t="shared" si="14"/>
        <v/>
      </c>
      <c r="F461" s="26" t="str">
        <f>IF(A461="","",IF(D461="",0,D461*Productos!G461))</f>
        <v/>
      </c>
      <c r="G461" s="26" t="str">
        <f>IF(A461="","",IF(D461="",0,D461*Productos!F461))</f>
        <v/>
      </c>
      <c r="H461" s="26" t="str">
        <f t="shared" si="15"/>
        <v/>
      </c>
      <c r="I461" t="str">
        <f>IF(A461="","",Productos!J461)</f>
        <v/>
      </c>
    </row>
    <row r="462" spans="1:9" hidden="1" x14ac:dyDescent="0.2">
      <c r="A462" s="18" t="str">
        <f>IF(Productos!A462="","",Productos!A462)</f>
        <v/>
      </c>
      <c r="B462" s="18" t="str">
        <f>IF(Productos!B462="","",Productos!B462)</f>
        <v/>
      </c>
      <c r="C462" s="18" t="str">
        <f>IF(Productos!$A462="","",Productos!H462)</f>
        <v/>
      </c>
      <c r="E462" s="18" t="str">
        <f t="shared" si="14"/>
        <v/>
      </c>
      <c r="F462" s="26" t="str">
        <f>IF(A462="","",IF(D462="",0,D462*Productos!G462))</f>
        <v/>
      </c>
      <c r="G462" s="26" t="str">
        <f>IF(A462="","",IF(D462="",0,D462*Productos!F462))</f>
        <v/>
      </c>
      <c r="H462" s="26" t="str">
        <f t="shared" si="15"/>
        <v/>
      </c>
      <c r="I462" t="str">
        <f>IF(A462="","",Productos!J462)</f>
        <v/>
      </c>
    </row>
    <row r="463" spans="1:9" hidden="1" x14ac:dyDescent="0.2">
      <c r="A463" s="18" t="str">
        <f>IF(Productos!A463="","",Productos!A463)</f>
        <v/>
      </c>
      <c r="B463" s="18" t="str">
        <f>IF(Productos!B463="","",Productos!B463)</f>
        <v/>
      </c>
      <c r="C463" s="18" t="str">
        <f>IF(Productos!$A463="","",Productos!H463)</f>
        <v/>
      </c>
      <c r="E463" s="18" t="str">
        <f t="shared" si="14"/>
        <v/>
      </c>
      <c r="F463" s="26" t="str">
        <f>IF(A463="","",IF(D463="",0,D463*Productos!G463))</f>
        <v/>
      </c>
      <c r="G463" s="26" t="str">
        <f>IF(A463="","",IF(D463="",0,D463*Productos!F463))</f>
        <v/>
      </c>
      <c r="H463" s="26" t="str">
        <f t="shared" si="15"/>
        <v/>
      </c>
      <c r="I463" t="str">
        <f>IF(A463="","",Productos!J463)</f>
        <v/>
      </c>
    </row>
    <row r="464" spans="1:9" hidden="1" x14ac:dyDescent="0.2">
      <c r="A464" s="18" t="str">
        <f>IF(Productos!A464="","",Productos!A464)</f>
        <v/>
      </c>
      <c r="B464" s="18" t="str">
        <f>IF(Productos!B464="","",Productos!B464)</f>
        <v/>
      </c>
      <c r="C464" s="18" t="str">
        <f>IF(Productos!$A464="","",Productos!H464)</f>
        <v/>
      </c>
      <c r="E464" s="18" t="str">
        <f t="shared" si="14"/>
        <v/>
      </c>
      <c r="F464" s="26" t="str">
        <f>IF(A464="","",IF(D464="",0,D464*Productos!G464))</f>
        <v/>
      </c>
      <c r="G464" s="26" t="str">
        <f>IF(A464="","",IF(D464="",0,D464*Productos!F464))</f>
        <v/>
      </c>
      <c r="H464" s="26" t="str">
        <f t="shared" si="15"/>
        <v/>
      </c>
      <c r="I464" t="str">
        <f>IF(A464="","",Productos!J464)</f>
        <v/>
      </c>
    </row>
    <row r="465" spans="1:9" hidden="1" x14ac:dyDescent="0.2">
      <c r="A465" s="18" t="str">
        <f>IF(Productos!A465="","",Productos!A465)</f>
        <v/>
      </c>
      <c r="B465" s="18" t="str">
        <f>IF(Productos!B465="","",Productos!B465)</f>
        <v/>
      </c>
      <c r="C465" s="18" t="str">
        <f>IF(Productos!$A465="","",Productos!H465)</f>
        <v/>
      </c>
      <c r="E465" s="18" t="str">
        <f t="shared" si="14"/>
        <v/>
      </c>
      <c r="F465" s="26" t="str">
        <f>IF(A465="","",IF(D465="",0,D465*Productos!G465))</f>
        <v/>
      </c>
      <c r="G465" s="26" t="str">
        <f>IF(A465="","",IF(D465="",0,D465*Productos!F465))</f>
        <v/>
      </c>
      <c r="H465" s="26" t="str">
        <f t="shared" si="15"/>
        <v/>
      </c>
      <c r="I465" t="str">
        <f>IF(A465="","",Productos!J465)</f>
        <v/>
      </c>
    </row>
    <row r="466" spans="1:9" hidden="1" x14ac:dyDescent="0.2">
      <c r="A466" s="18" t="str">
        <f>IF(Productos!A466="","",Productos!A466)</f>
        <v/>
      </c>
      <c r="B466" s="18" t="str">
        <f>IF(Productos!B466="","",Productos!B466)</f>
        <v/>
      </c>
      <c r="C466" s="18" t="str">
        <f>IF(Productos!$A466="","",Productos!H466)</f>
        <v/>
      </c>
      <c r="E466" s="18" t="str">
        <f t="shared" si="14"/>
        <v/>
      </c>
      <c r="F466" s="26" t="str">
        <f>IF(A466="","",IF(D466="",0,D466*Productos!G466))</f>
        <v/>
      </c>
      <c r="G466" s="26" t="str">
        <f>IF(A466="","",IF(D466="",0,D466*Productos!F466))</f>
        <v/>
      </c>
      <c r="H466" s="26" t="str">
        <f t="shared" si="15"/>
        <v/>
      </c>
      <c r="I466" t="str">
        <f>IF(A466="","",Productos!J466)</f>
        <v/>
      </c>
    </row>
    <row r="467" spans="1:9" hidden="1" x14ac:dyDescent="0.2">
      <c r="A467" s="18" t="str">
        <f>IF(Productos!A467="","",Productos!A467)</f>
        <v/>
      </c>
      <c r="B467" s="18" t="str">
        <f>IF(Productos!B467="","",Productos!B467)</f>
        <v/>
      </c>
      <c r="C467" s="18" t="str">
        <f>IF(Productos!$A467="","",Productos!H467)</f>
        <v/>
      </c>
      <c r="E467" s="18" t="str">
        <f t="shared" si="14"/>
        <v/>
      </c>
      <c r="F467" s="26" t="str">
        <f>IF(A467="","",IF(D467="",0,D467*Productos!G467))</f>
        <v/>
      </c>
      <c r="G467" s="26" t="str">
        <f>IF(A467="","",IF(D467="",0,D467*Productos!F467))</f>
        <v/>
      </c>
      <c r="H467" s="26" t="str">
        <f t="shared" si="15"/>
        <v/>
      </c>
      <c r="I467" t="str">
        <f>IF(A467="","",Productos!J467)</f>
        <v/>
      </c>
    </row>
    <row r="468" spans="1:9" hidden="1" x14ac:dyDescent="0.2">
      <c r="A468" s="18" t="str">
        <f>IF(Productos!A468="","",Productos!A468)</f>
        <v/>
      </c>
      <c r="B468" s="18" t="str">
        <f>IF(Productos!B468="","",Productos!B468)</f>
        <v/>
      </c>
      <c r="C468" s="18" t="str">
        <f>IF(Productos!$A468="","",Productos!H468)</f>
        <v/>
      </c>
      <c r="E468" s="18" t="str">
        <f t="shared" si="14"/>
        <v/>
      </c>
      <c r="F468" s="26" t="str">
        <f>IF(A468="","",IF(D468="",0,D468*Productos!G468))</f>
        <v/>
      </c>
      <c r="G468" s="26" t="str">
        <f>IF(A468="","",IF(D468="",0,D468*Productos!F468))</f>
        <v/>
      </c>
      <c r="H468" s="26" t="str">
        <f t="shared" si="15"/>
        <v/>
      </c>
      <c r="I468" t="str">
        <f>IF(A468="","",Productos!J468)</f>
        <v/>
      </c>
    </row>
    <row r="469" spans="1:9" hidden="1" x14ac:dyDescent="0.2">
      <c r="A469" s="18" t="str">
        <f>IF(Productos!A469="","",Productos!A469)</f>
        <v/>
      </c>
      <c r="B469" s="18" t="str">
        <f>IF(Productos!B469="","",Productos!B469)</f>
        <v/>
      </c>
      <c r="C469" s="18" t="str">
        <f>IF(Productos!$A469="","",Productos!H469)</f>
        <v/>
      </c>
      <c r="E469" s="18" t="str">
        <f t="shared" si="14"/>
        <v/>
      </c>
      <c r="F469" s="26" t="str">
        <f>IF(A469="","",IF(D469="",0,D469*Productos!G469))</f>
        <v/>
      </c>
      <c r="G469" s="26" t="str">
        <f>IF(A469="","",IF(D469="",0,D469*Productos!F469))</f>
        <v/>
      </c>
      <c r="H469" s="26" t="str">
        <f t="shared" si="15"/>
        <v/>
      </c>
      <c r="I469" t="str">
        <f>IF(A469="","",Productos!J469)</f>
        <v/>
      </c>
    </row>
    <row r="470" spans="1:9" hidden="1" x14ac:dyDescent="0.2">
      <c r="A470" s="18" t="str">
        <f>IF(Productos!A470="","",Productos!A470)</f>
        <v/>
      </c>
      <c r="B470" s="18" t="str">
        <f>IF(Productos!B470="","",Productos!B470)</f>
        <v/>
      </c>
      <c r="C470" s="18" t="str">
        <f>IF(Productos!$A470="","",Productos!H470)</f>
        <v/>
      </c>
      <c r="E470" s="18" t="str">
        <f t="shared" si="14"/>
        <v/>
      </c>
      <c r="F470" s="26" t="str">
        <f>IF(A470="","",IF(D470="",0,D470*Productos!G470))</f>
        <v/>
      </c>
      <c r="G470" s="26" t="str">
        <f>IF(A470="","",IF(D470="",0,D470*Productos!F470))</f>
        <v/>
      </c>
      <c r="H470" s="26" t="str">
        <f t="shared" si="15"/>
        <v/>
      </c>
      <c r="I470" t="str">
        <f>IF(A470="","",Productos!J470)</f>
        <v/>
      </c>
    </row>
    <row r="471" spans="1:9" hidden="1" x14ac:dyDescent="0.2">
      <c r="A471" s="18" t="str">
        <f>IF(Productos!A471="","",Productos!A471)</f>
        <v/>
      </c>
      <c r="B471" s="18" t="str">
        <f>IF(Productos!B471="","",Productos!B471)</f>
        <v/>
      </c>
      <c r="C471" s="18" t="str">
        <f>IF(Productos!$A471="","",Productos!H471)</f>
        <v/>
      </c>
      <c r="E471" s="18" t="str">
        <f t="shared" si="14"/>
        <v/>
      </c>
      <c r="F471" s="26" t="str">
        <f>IF(A471="","",IF(D471="",0,D471*Productos!G471))</f>
        <v/>
      </c>
      <c r="G471" s="26" t="str">
        <f>IF(A471="","",IF(D471="",0,D471*Productos!F471))</f>
        <v/>
      </c>
      <c r="H471" s="26" t="str">
        <f t="shared" si="15"/>
        <v/>
      </c>
      <c r="I471" t="str">
        <f>IF(A471="","",Productos!J471)</f>
        <v/>
      </c>
    </row>
    <row r="472" spans="1:9" hidden="1" x14ac:dyDescent="0.2">
      <c r="A472" s="18" t="str">
        <f>IF(Productos!A472="","",Productos!A472)</f>
        <v/>
      </c>
      <c r="B472" s="18" t="str">
        <f>IF(Productos!B472="","",Productos!B472)</f>
        <v/>
      </c>
      <c r="C472" s="18" t="str">
        <f>IF(Productos!$A472="","",Productos!H472)</f>
        <v/>
      </c>
      <c r="E472" s="18" t="str">
        <f t="shared" si="14"/>
        <v/>
      </c>
      <c r="F472" s="26" t="str">
        <f>IF(A472="","",IF(D472="",0,D472*Productos!G472))</f>
        <v/>
      </c>
      <c r="G472" s="26" t="str">
        <f>IF(A472="","",IF(D472="",0,D472*Productos!F472))</f>
        <v/>
      </c>
      <c r="H472" s="26" t="str">
        <f t="shared" si="15"/>
        <v/>
      </c>
      <c r="I472" t="str">
        <f>IF(A472="","",Productos!J472)</f>
        <v/>
      </c>
    </row>
    <row r="473" spans="1:9" hidden="1" x14ac:dyDescent="0.2">
      <c r="A473" s="18" t="str">
        <f>IF(Productos!A473="","",Productos!A473)</f>
        <v/>
      </c>
      <c r="B473" s="18" t="str">
        <f>IF(Productos!B473="","",Productos!B473)</f>
        <v/>
      </c>
      <c r="C473" s="18" t="str">
        <f>IF(Productos!$A473="","",Productos!H473)</f>
        <v/>
      </c>
      <c r="E473" s="18" t="str">
        <f t="shared" si="14"/>
        <v/>
      </c>
      <c r="F473" s="26" t="str">
        <f>IF(A473="","",IF(D473="",0,D473*Productos!G473))</f>
        <v/>
      </c>
      <c r="G473" s="26" t="str">
        <f>IF(A473="","",IF(D473="",0,D473*Productos!F473))</f>
        <v/>
      </c>
      <c r="H473" s="26" t="str">
        <f t="shared" si="15"/>
        <v/>
      </c>
      <c r="I473" t="str">
        <f>IF(A473="","",Productos!J473)</f>
        <v/>
      </c>
    </row>
    <row r="474" spans="1:9" hidden="1" x14ac:dyDescent="0.2">
      <c r="A474" s="18" t="str">
        <f>IF(Productos!A474="","",Productos!A474)</f>
        <v/>
      </c>
      <c r="B474" s="18" t="str">
        <f>IF(Productos!B474="","",Productos!B474)</f>
        <v/>
      </c>
      <c r="C474" s="18" t="str">
        <f>IF(Productos!$A474="","",Productos!H474)</f>
        <v/>
      </c>
      <c r="E474" s="18" t="str">
        <f t="shared" si="14"/>
        <v/>
      </c>
      <c r="F474" s="26" t="str">
        <f>IF(A474="","",IF(D474="",0,D474*Productos!G474))</f>
        <v/>
      </c>
      <c r="G474" s="26" t="str">
        <f>IF(A474="","",IF(D474="",0,D474*Productos!F474))</f>
        <v/>
      </c>
      <c r="H474" s="26" t="str">
        <f t="shared" si="15"/>
        <v/>
      </c>
      <c r="I474" t="str">
        <f>IF(A474="","",Productos!J474)</f>
        <v/>
      </c>
    </row>
    <row r="475" spans="1:9" hidden="1" x14ac:dyDescent="0.2">
      <c r="A475" s="18" t="str">
        <f>IF(Productos!A475="","",Productos!A475)</f>
        <v/>
      </c>
      <c r="B475" s="18" t="str">
        <f>IF(Productos!B475="","",Productos!B475)</f>
        <v/>
      </c>
      <c r="C475" s="18" t="str">
        <f>IF(Productos!$A475="","",Productos!H475)</f>
        <v/>
      </c>
      <c r="E475" s="18" t="str">
        <f t="shared" si="14"/>
        <v/>
      </c>
      <c r="F475" s="26" t="str">
        <f>IF(A475="","",IF(D475="",0,D475*Productos!G475))</f>
        <v/>
      </c>
      <c r="G475" s="26" t="str">
        <f>IF(A475="","",IF(D475="",0,D475*Productos!F475))</f>
        <v/>
      </c>
      <c r="H475" s="26" t="str">
        <f t="shared" si="15"/>
        <v/>
      </c>
      <c r="I475" t="str">
        <f>IF(A475="","",Productos!J475)</f>
        <v/>
      </c>
    </row>
    <row r="476" spans="1:9" hidden="1" x14ac:dyDescent="0.2">
      <c r="A476" s="18" t="str">
        <f>IF(Productos!A476="","",Productos!A476)</f>
        <v/>
      </c>
      <c r="B476" s="18" t="str">
        <f>IF(Productos!B476="","",Productos!B476)</f>
        <v/>
      </c>
      <c r="C476" s="18" t="str">
        <f>IF(Productos!$A476="","",Productos!H476)</f>
        <v/>
      </c>
      <c r="E476" s="18" t="str">
        <f t="shared" si="14"/>
        <v/>
      </c>
      <c r="F476" s="26" t="str">
        <f>IF(A476="","",IF(D476="",0,D476*Productos!G476))</f>
        <v/>
      </c>
      <c r="G476" s="26" t="str">
        <f>IF(A476="","",IF(D476="",0,D476*Productos!F476))</f>
        <v/>
      </c>
      <c r="H476" s="26" t="str">
        <f t="shared" si="15"/>
        <v/>
      </c>
      <c r="I476" t="str">
        <f>IF(A476="","",Productos!J476)</f>
        <v/>
      </c>
    </row>
    <row r="477" spans="1:9" hidden="1" x14ac:dyDescent="0.2">
      <c r="A477" s="18" t="str">
        <f>IF(Productos!A477="","",Productos!A477)</f>
        <v/>
      </c>
      <c r="B477" s="18" t="str">
        <f>IF(Productos!B477="","",Productos!B477)</f>
        <v/>
      </c>
      <c r="C477" s="18" t="str">
        <f>IF(Productos!$A477="","",Productos!H477)</f>
        <v/>
      </c>
      <c r="E477" s="18" t="str">
        <f t="shared" si="14"/>
        <v/>
      </c>
      <c r="F477" s="26" t="str">
        <f>IF(A477="","",IF(D477="",0,D477*Productos!G477))</f>
        <v/>
      </c>
      <c r="G477" s="26" t="str">
        <f>IF(A477="","",IF(D477="",0,D477*Productos!F477))</f>
        <v/>
      </c>
      <c r="H477" s="26" t="str">
        <f t="shared" si="15"/>
        <v/>
      </c>
      <c r="I477" t="str">
        <f>IF(A477="","",Productos!J477)</f>
        <v/>
      </c>
    </row>
    <row r="478" spans="1:9" hidden="1" x14ac:dyDescent="0.2">
      <c r="A478" s="18" t="str">
        <f>IF(Productos!A478="","",Productos!A478)</f>
        <v/>
      </c>
      <c r="B478" s="18" t="str">
        <f>IF(Productos!B478="","",Productos!B478)</f>
        <v/>
      </c>
      <c r="C478" s="18" t="str">
        <f>IF(Productos!$A478="","",Productos!H478)</f>
        <v/>
      </c>
      <c r="E478" s="18" t="str">
        <f t="shared" si="14"/>
        <v/>
      </c>
      <c r="F478" s="26" t="str">
        <f>IF(A478="","",IF(D478="",0,D478*Productos!G478))</f>
        <v/>
      </c>
      <c r="G478" s="26" t="str">
        <f>IF(A478="","",IF(D478="",0,D478*Productos!F478))</f>
        <v/>
      </c>
      <c r="H478" s="26" t="str">
        <f t="shared" si="15"/>
        <v/>
      </c>
      <c r="I478" t="str">
        <f>IF(A478="","",Productos!J478)</f>
        <v/>
      </c>
    </row>
    <row r="479" spans="1:9" hidden="1" x14ac:dyDescent="0.2">
      <c r="A479" s="18" t="str">
        <f>IF(Productos!A479="","",Productos!A479)</f>
        <v/>
      </c>
      <c r="B479" s="18" t="str">
        <f>IF(Productos!B479="","",Productos!B479)</f>
        <v/>
      </c>
      <c r="C479" s="18" t="str">
        <f>IF(Productos!$A479="","",Productos!H479)</f>
        <v/>
      </c>
      <c r="E479" s="18" t="str">
        <f t="shared" si="14"/>
        <v/>
      </c>
      <c r="F479" s="26" t="str">
        <f>IF(A479="","",IF(D479="",0,D479*Productos!G479))</f>
        <v/>
      </c>
      <c r="G479" s="26" t="str">
        <f>IF(A479="","",IF(D479="",0,D479*Productos!F479))</f>
        <v/>
      </c>
      <c r="H479" s="26" t="str">
        <f t="shared" si="15"/>
        <v/>
      </c>
      <c r="I479" t="str">
        <f>IF(A479="","",Productos!J479)</f>
        <v/>
      </c>
    </row>
    <row r="480" spans="1:9" hidden="1" x14ac:dyDescent="0.2">
      <c r="A480" s="18" t="str">
        <f>IF(Productos!A480="","",Productos!A480)</f>
        <v/>
      </c>
      <c r="B480" s="18" t="str">
        <f>IF(Productos!B480="","",Productos!B480)</f>
        <v/>
      </c>
      <c r="C480" s="18" t="str">
        <f>IF(Productos!$A480="","",Productos!H480)</f>
        <v/>
      </c>
      <c r="E480" s="18" t="str">
        <f t="shared" si="14"/>
        <v/>
      </c>
      <c r="F480" s="26" t="str">
        <f>IF(A480="","",IF(D480="",0,D480*Productos!G480))</f>
        <v/>
      </c>
      <c r="G480" s="26" t="str">
        <f>IF(A480="","",IF(D480="",0,D480*Productos!F480))</f>
        <v/>
      </c>
      <c r="H480" s="26" t="str">
        <f t="shared" si="15"/>
        <v/>
      </c>
      <c r="I480" t="str">
        <f>IF(A480="","",Productos!J480)</f>
        <v/>
      </c>
    </row>
    <row r="481" spans="1:9" hidden="1" x14ac:dyDescent="0.2">
      <c r="A481" s="18" t="str">
        <f>IF(Productos!A481="","",Productos!A481)</f>
        <v/>
      </c>
      <c r="B481" s="18" t="str">
        <f>IF(Productos!B481="","",Productos!B481)</f>
        <v/>
      </c>
      <c r="C481" s="18" t="str">
        <f>IF(Productos!$A481="","",Productos!H481)</f>
        <v/>
      </c>
      <c r="E481" s="18" t="str">
        <f t="shared" si="14"/>
        <v/>
      </c>
      <c r="F481" s="26" t="str">
        <f>IF(A481="","",IF(D481="",0,D481*Productos!G481))</f>
        <v/>
      </c>
      <c r="G481" s="26" t="str">
        <f>IF(A481="","",IF(D481="",0,D481*Productos!F481))</f>
        <v/>
      </c>
      <c r="H481" s="26" t="str">
        <f t="shared" si="15"/>
        <v/>
      </c>
      <c r="I481" t="str">
        <f>IF(A481="","",Productos!J481)</f>
        <v/>
      </c>
    </row>
    <row r="482" spans="1:9" hidden="1" x14ac:dyDescent="0.2">
      <c r="A482" s="18" t="str">
        <f>IF(Productos!A482="","",Productos!A482)</f>
        <v/>
      </c>
      <c r="B482" s="18" t="str">
        <f>IF(Productos!B482="","",Productos!B482)</f>
        <v/>
      </c>
      <c r="C482" s="18" t="str">
        <f>IF(Productos!$A482="","",Productos!H482)</f>
        <v/>
      </c>
      <c r="E482" s="18" t="str">
        <f t="shared" si="14"/>
        <v/>
      </c>
      <c r="F482" s="26" t="str">
        <f>IF(A482="","",IF(D482="",0,D482*Productos!G482))</f>
        <v/>
      </c>
      <c r="G482" s="26" t="str">
        <f>IF(A482="","",IF(D482="",0,D482*Productos!F482))</f>
        <v/>
      </c>
      <c r="H482" s="26" t="str">
        <f t="shared" si="15"/>
        <v/>
      </c>
      <c r="I482" t="str">
        <f>IF(A482="","",Productos!J482)</f>
        <v/>
      </c>
    </row>
    <row r="483" spans="1:9" hidden="1" x14ac:dyDescent="0.2">
      <c r="A483" s="18" t="str">
        <f>IF(Productos!A483="","",Productos!A483)</f>
        <v/>
      </c>
      <c r="B483" s="18" t="str">
        <f>IF(Productos!B483="","",Productos!B483)</f>
        <v/>
      </c>
      <c r="C483" s="18" t="str">
        <f>IF(Productos!$A483="","",Productos!H483)</f>
        <v/>
      </c>
      <c r="E483" s="18" t="str">
        <f t="shared" si="14"/>
        <v/>
      </c>
      <c r="F483" s="26" t="str">
        <f>IF(A483="","",IF(D483="",0,D483*Productos!G483))</f>
        <v/>
      </c>
      <c r="G483" s="26" t="str">
        <f>IF(A483="","",IF(D483="",0,D483*Productos!F483))</f>
        <v/>
      </c>
      <c r="H483" s="26" t="str">
        <f t="shared" si="15"/>
        <v/>
      </c>
      <c r="I483" t="str">
        <f>IF(A483="","",Productos!J483)</f>
        <v/>
      </c>
    </row>
    <row r="484" spans="1:9" hidden="1" x14ac:dyDescent="0.2">
      <c r="A484" s="18" t="str">
        <f>IF(Productos!A484="","",Productos!A484)</f>
        <v/>
      </c>
      <c r="B484" s="18" t="str">
        <f>IF(Productos!B484="","",Productos!B484)</f>
        <v/>
      </c>
      <c r="C484" s="18" t="str">
        <f>IF(Productos!$A484="","",Productos!H484)</f>
        <v/>
      </c>
      <c r="E484" s="18" t="str">
        <f t="shared" si="14"/>
        <v/>
      </c>
      <c r="F484" s="26" t="str">
        <f>IF(A484="","",IF(D484="",0,D484*Productos!G484))</f>
        <v/>
      </c>
      <c r="G484" s="26" t="str">
        <f>IF(A484="","",IF(D484="",0,D484*Productos!F484))</f>
        <v/>
      </c>
      <c r="H484" s="26" t="str">
        <f t="shared" si="15"/>
        <v/>
      </c>
      <c r="I484" t="str">
        <f>IF(A484="","",Productos!J484)</f>
        <v/>
      </c>
    </row>
    <row r="485" spans="1:9" hidden="1" x14ac:dyDescent="0.2">
      <c r="A485" s="18" t="str">
        <f>IF(Productos!A485="","",Productos!A485)</f>
        <v/>
      </c>
      <c r="B485" s="18" t="str">
        <f>IF(Productos!B485="","",Productos!B485)</f>
        <v/>
      </c>
      <c r="C485" s="18" t="str">
        <f>IF(Productos!$A485="","",Productos!H485)</f>
        <v/>
      </c>
      <c r="E485" s="18" t="str">
        <f t="shared" si="14"/>
        <v/>
      </c>
      <c r="F485" s="26" t="str">
        <f>IF(A485="","",IF(D485="",0,D485*Productos!G485))</f>
        <v/>
      </c>
      <c r="G485" s="26" t="str">
        <f>IF(A485="","",IF(D485="",0,D485*Productos!F485))</f>
        <v/>
      </c>
      <c r="H485" s="26" t="str">
        <f t="shared" si="15"/>
        <v/>
      </c>
      <c r="I485" t="str">
        <f>IF(A485="","",Productos!J485)</f>
        <v/>
      </c>
    </row>
    <row r="486" spans="1:9" hidden="1" x14ac:dyDescent="0.2">
      <c r="A486" s="18" t="str">
        <f>IF(Productos!A486="","",Productos!A486)</f>
        <v/>
      </c>
      <c r="B486" s="18" t="str">
        <f>IF(Productos!B486="","",Productos!B486)</f>
        <v/>
      </c>
      <c r="C486" s="18" t="str">
        <f>IF(Productos!$A486="","",Productos!H486)</f>
        <v/>
      </c>
      <c r="E486" s="18" t="str">
        <f t="shared" si="14"/>
        <v/>
      </c>
      <c r="F486" s="26" t="str">
        <f>IF(A486="","",IF(D486="",0,D486*Productos!G486))</f>
        <v/>
      </c>
      <c r="G486" s="26" t="str">
        <f>IF(A486="","",IF(D486="",0,D486*Productos!F486))</f>
        <v/>
      </c>
      <c r="H486" s="26" t="str">
        <f t="shared" si="15"/>
        <v/>
      </c>
      <c r="I486" t="str">
        <f>IF(A486="","",Productos!J486)</f>
        <v/>
      </c>
    </row>
    <row r="487" spans="1:9" hidden="1" x14ac:dyDescent="0.2">
      <c r="A487" s="18" t="str">
        <f>IF(Productos!A487="","",Productos!A487)</f>
        <v/>
      </c>
      <c r="B487" s="18" t="str">
        <f>IF(Productos!B487="","",Productos!B487)</f>
        <v/>
      </c>
      <c r="C487" s="18" t="str">
        <f>IF(Productos!$A487="","",Productos!H487)</f>
        <v/>
      </c>
      <c r="E487" s="18" t="str">
        <f t="shared" si="14"/>
        <v/>
      </c>
      <c r="F487" s="26" t="str">
        <f>IF(A487="","",IF(D487="",0,D487*Productos!G487))</f>
        <v/>
      </c>
      <c r="G487" s="26" t="str">
        <f>IF(A487="","",IF(D487="",0,D487*Productos!F487))</f>
        <v/>
      </c>
      <c r="H487" s="26" t="str">
        <f t="shared" si="15"/>
        <v/>
      </c>
      <c r="I487" t="str">
        <f>IF(A487="","",Productos!J487)</f>
        <v/>
      </c>
    </row>
    <row r="488" spans="1:9" hidden="1" x14ac:dyDescent="0.2">
      <c r="A488" s="18" t="str">
        <f>IF(Productos!A488="","",Productos!A488)</f>
        <v/>
      </c>
      <c r="B488" s="18" t="str">
        <f>IF(Productos!B488="","",Productos!B488)</f>
        <v/>
      </c>
      <c r="C488" s="18" t="str">
        <f>IF(Productos!$A488="","",Productos!H488)</f>
        <v/>
      </c>
      <c r="E488" s="18" t="str">
        <f t="shared" si="14"/>
        <v/>
      </c>
      <c r="F488" s="26" t="str">
        <f>IF(A488="","",IF(D488="",0,D488*Productos!G488))</f>
        <v/>
      </c>
      <c r="G488" s="26" t="str">
        <f>IF(A488="","",IF(D488="",0,D488*Productos!F488))</f>
        <v/>
      </c>
      <c r="H488" s="26" t="str">
        <f t="shared" si="15"/>
        <v/>
      </c>
      <c r="I488" t="str">
        <f>IF(A488="","",Productos!J488)</f>
        <v/>
      </c>
    </row>
    <row r="489" spans="1:9" hidden="1" x14ac:dyDescent="0.2">
      <c r="A489" s="18" t="str">
        <f>IF(Productos!A489="","",Productos!A489)</f>
        <v/>
      </c>
      <c r="B489" s="18" t="str">
        <f>IF(Productos!B489="","",Productos!B489)</f>
        <v/>
      </c>
      <c r="C489" s="18" t="str">
        <f>IF(Productos!$A489="","",Productos!H489)</f>
        <v/>
      </c>
      <c r="E489" s="18" t="str">
        <f t="shared" si="14"/>
        <v/>
      </c>
      <c r="F489" s="26" t="str">
        <f>IF(A489="","",IF(D489="",0,D489*Productos!G489))</f>
        <v/>
      </c>
      <c r="G489" s="26" t="str">
        <f>IF(A489="","",IF(D489="",0,D489*Productos!F489))</f>
        <v/>
      </c>
      <c r="H489" s="26" t="str">
        <f t="shared" si="15"/>
        <v/>
      </c>
      <c r="I489" t="str">
        <f>IF(A489="","",Productos!J489)</f>
        <v/>
      </c>
    </row>
    <row r="490" spans="1:9" hidden="1" x14ac:dyDescent="0.2">
      <c r="A490" s="18" t="str">
        <f>IF(Productos!A490="","",Productos!A490)</f>
        <v/>
      </c>
      <c r="B490" s="18" t="str">
        <f>IF(Productos!B490="","",Productos!B490)</f>
        <v/>
      </c>
      <c r="C490" s="18" t="str">
        <f>IF(Productos!$A490="","",Productos!H490)</f>
        <v/>
      </c>
      <c r="E490" s="18" t="str">
        <f t="shared" si="14"/>
        <v/>
      </c>
      <c r="F490" s="26" t="str">
        <f>IF(A490="","",IF(D490="",0,D490*Productos!G490))</f>
        <v/>
      </c>
      <c r="G490" s="26" t="str">
        <f>IF(A490="","",IF(D490="",0,D490*Productos!F490))</f>
        <v/>
      </c>
      <c r="H490" s="26" t="str">
        <f t="shared" si="15"/>
        <v/>
      </c>
      <c r="I490" t="str">
        <f>IF(A490="","",Productos!J490)</f>
        <v/>
      </c>
    </row>
    <row r="491" spans="1:9" hidden="1" x14ac:dyDescent="0.2">
      <c r="A491" s="18" t="str">
        <f>IF(Productos!A491="","",Productos!A491)</f>
        <v/>
      </c>
      <c r="B491" s="18" t="str">
        <f>IF(Productos!B491="","",Productos!B491)</f>
        <v/>
      </c>
      <c r="C491" s="18" t="str">
        <f>IF(Productos!$A491="","",Productos!H491)</f>
        <v/>
      </c>
      <c r="E491" s="18" t="str">
        <f t="shared" si="14"/>
        <v/>
      </c>
      <c r="F491" s="26" t="str">
        <f>IF(A491="","",IF(D491="",0,D491*Productos!G491))</f>
        <v/>
      </c>
      <c r="G491" s="26" t="str">
        <f>IF(A491="","",IF(D491="",0,D491*Productos!F491))</f>
        <v/>
      </c>
      <c r="H491" s="26" t="str">
        <f t="shared" si="15"/>
        <v/>
      </c>
      <c r="I491" t="str">
        <f>IF(A491="","",Productos!J491)</f>
        <v/>
      </c>
    </row>
    <row r="492" spans="1:9" hidden="1" x14ac:dyDescent="0.2">
      <c r="A492" s="18" t="str">
        <f>IF(Productos!A492="","",Productos!A492)</f>
        <v/>
      </c>
      <c r="B492" s="18" t="str">
        <f>IF(Productos!B492="","",Productos!B492)</f>
        <v/>
      </c>
      <c r="C492" s="18" t="str">
        <f>IF(Productos!$A492="","",Productos!H492)</f>
        <v/>
      </c>
      <c r="E492" s="18" t="str">
        <f t="shared" si="14"/>
        <v/>
      </c>
      <c r="F492" s="26" t="str">
        <f>IF(A492="","",IF(D492="",0,D492*Productos!G492))</f>
        <v/>
      </c>
      <c r="G492" s="26" t="str">
        <f>IF(A492="","",IF(D492="",0,D492*Productos!F492))</f>
        <v/>
      </c>
      <c r="H492" s="26" t="str">
        <f t="shared" si="15"/>
        <v/>
      </c>
      <c r="I492" t="str">
        <f>IF(A492="","",Productos!J492)</f>
        <v/>
      </c>
    </row>
    <row r="493" spans="1:9" hidden="1" x14ac:dyDescent="0.2">
      <c r="A493" s="18" t="str">
        <f>IF(Productos!A493="","",Productos!A493)</f>
        <v/>
      </c>
      <c r="B493" s="18" t="str">
        <f>IF(Productos!B493="","",Productos!B493)</f>
        <v/>
      </c>
      <c r="C493" s="18" t="str">
        <f>IF(Productos!$A493="","",Productos!H493)</f>
        <v/>
      </c>
      <c r="E493" s="18" t="str">
        <f t="shared" si="14"/>
        <v/>
      </c>
      <c r="F493" s="26" t="str">
        <f>IF(A493="","",IF(D493="",0,D493*Productos!G493))</f>
        <v/>
      </c>
      <c r="G493" s="26" t="str">
        <f>IF(A493="","",IF(D493="",0,D493*Productos!F493))</f>
        <v/>
      </c>
      <c r="H493" s="26" t="str">
        <f t="shared" si="15"/>
        <v/>
      </c>
      <c r="I493" t="str">
        <f>IF(A493="","",Productos!J493)</f>
        <v/>
      </c>
    </row>
    <row r="494" spans="1:9" hidden="1" x14ac:dyDescent="0.2">
      <c r="A494" s="18" t="str">
        <f>IF(Productos!A494="","",Productos!A494)</f>
        <v/>
      </c>
      <c r="B494" s="18" t="str">
        <f>IF(Productos!B494="","",Productos!B494)</f>
        <v/>
      </c>
      <c r="C494" s="18" t="str">
        <f>IF(Productos!$A494="","",Productos!H494)</f>
        <v/>
      </c>
      <c r="E494" s="18" t="str">
        <f t="shared" si="14"/>
        <v/>
      </c>
      <c r="F494" s="26" t="str">
        <f>IF(A494="","",IF(D494="",0,D494*Productos!G494))</f>
        <v/>
      </c>
      <c r="G494" s="26" t="str">
        <f>IF(A494="","",IF(D494="",0,D494*Productos!F494))</f>
        <v/>
      </c>
      <c r="H494" s="26" t="str">
        <f t="shared" si="15"/>
        <v/>
      </c>
      <c r="I494" t="str">
        <f>IF(A494="","",Productos!J494)</f>
        <v/>
      </c>
    </row>
    <row r="495" spans="1:9" hidden="1" x14ac:dyDescent="0.2">
      <c r="A495" s="18" t="str">
        <f>IF(Productos!A495="","",Productos!A495)</f>
        <v/>
      </c>
      <c r="B495" s="18" t="str">
        <f>IF(Productos!B495="","",Productos!B495)</f>
        <v/>
      </c>
      <c r="C495" s="18" t="str">
        <f>IF(Productos!$A495="","",Productos!H495)</f>
        <v/>
      </c>
      <c r="E495" s="18" t="str">
        <f t="shared" si="14"/>
        <v/>
      </c>
      <c r="F495" s="26" t="str">
        <f>IF(A495="","",IF(D495="",0,D495*Productos!G495))</f>
        <v/>
      </c>
      <c r="G495" s="26" t="str">
        <f>IF(A495="","",IF(D495="",0,D495*Productos!F495))</f>
        <v/>
      </c>
      <c r="H495" s="26" t="str">
        <f t="shared" si="15"/>
        <v/>
      </c>
      <c r="I495" t="str">
        <f>IF(A495="","",Productos!J495)</f>
        <v/>
      </c>
    </row>
    <row r="496" spans="1:9" hidden="1" x14ac:dyDescent="0.2">
      <c r="A496" s="18" t="str">
        <f>IF(Productos!A496="","",Productos!A496)</f>
        <v/>
      </c>
      <c r="B496" s="18" t="str">
        <f>IF(Productos!B496="","",Productos!B496)</f>
        <v/>
      </c>
      <c r="C496" s="18" t="str">
        <f>IF(Productos!$A496="","",Productos!H496)</f>
        <v/>
      </c>
      <c r="E496" s="18" t="str">
        <f t="shared" si="14"/>
        <v/>
      </c>
      <c r="F496" s="26" t="str">
        <f>IF(A496="","",IF(D496="",0,D496*Productos!G496))</f>
        <v/>
      </c>
      <c r="G496" s="26" t="str">
        <f>IF(A496="","",IF(D496="",0,D496*Productos!F496))</f>
        <v/>
      </c>
      <c r="H496" s="26" t="str">
        <f t="shared" si="15"/>
        <v/>
      </c>
      <c r="I496" t="str">
        <f>IF(A496="","",Productos!J496)</f>
        <v/>
      </c>
    </row>
    <row r="497" spans="1:9" hidden="1" x14ac:dyDescent="0.2">
      <c r="A497" s="18" t="str">
        <f>IF(Productos!A497="","",Productos!A497)</f>
        <v/>
      </c>
      <c r="B497" s="18" t="str">
        <f>IF(Productos!B497="","",Productos!B497)</f>
        <v/>
      </c>
      <c r="C497" s="18" t="str">
        <f>IF(Productos!$A497="","",Productos!H497)</f>
        <v/>
      </c>
      <c r="E497" s="18" t="str">
        <f t="shared" si="14"/>
        <v/>
      </c>
      <c r="F497" s="26" t="str">
        <f>IF(A497="","",IF(D497="",0,D497*Productos!G497))</f>
        <v/>
      </c>
      <c r="G497" s="26" t="str">
        <f>IF(A497="","",IF(D497="",0,D497*Productos!F497))</f>
        <v/>
      </c>
      <c r="H497" s="26" t="str">
        <f t="shared" si="15"/>
        <v/>
      </c>
      <c r="I497" t="str">
        <f>IF(A497="","",Productos!J497)</f>
        <v/>
      </c>
    </row>
    <row r="498" spans="1:9" hidden="1" x14ac:dyDescent="0.2">
      <c r="A498" s="18" t="str">
        <f>IF(Productos!A498="","",Productos!A498)</f>
        <v/>
      </c>
      <c r="B498" s="18" t="str">
        <f>IF(Productos!B498="","",Productos!B498)</f>
        <v/>
      </c>
      <c r="C498" s="18" t="str">
        <f>IF(Productos!$A498="","",Productos!H498)</f>
        <v/>
      </c>
      <c r="E498" s="18" t="str">
        <f t="shared" si="14"/>
        <v/>
      </c>
      <c r="F498" s="26" t="str">
        <f>IF(A498="","",IF(D498="",0,D498*Productos!G498))</f>
        <v/>
      </c>
      <c r="G498" s="26" t="str">
        <f>IF(A498="","",IF(D498="",0,D498*Productos!F498))</f>
        <v/>
      </c>
      <c r="H498" s="26" t="str">
        <f t="shared" si="15"/>
        <v/>
      </c>
      <c r="I498" t="str">
        <f>IF(A498="","",Productos!J498)</f>
        <v/>
      </c>
    </row>
    <row r="499" spans="1:9" hidden="1" x14ac:dyDescent="0.2">
      <c r="A499" s="18" t="str">
        <f>IF(Productos!A499="","",Productos!A499)</f>
        <v/>
      </c>
      <c r="B499" s="18" t="str">
        <f>IF(Productos!B499="","",Productos!B499)</f>
        <v/>
      </c>
      <c r="C499" s="18" t="str">
        <f>IF(Productos!$A499="","",Productos!H499)</f>
        <v/>
      </c>
      <c r="E499" s="18" t="str">
        <f t="shared" si="14"/>
        <v/>
      </c>
      <c r="F499" s="26" t="str">
        <f>IF(A499="","",IF(D499="",0,D499*Productos!G499))</f>
        <v/>
      </c>
      <c r="G499" s="26" t="str">
        <f>IF(A499="","",IF(D499="",0,D499*Productos!F499))</f>
        <v/>
      </c>
      <c r="H499" s="26" t="str">
        <f t="shared" si="15"/>
        <v/>
      </c>
      <c r="I499" t="str">
        <f>IF(A499="","",Productos!J499)</f>
        <v/>
      </c>
    </row>
    <row r="500" spans="1:9" hidden="1" x14ac:dyDescent="0.2">
      <c r="A500" s="18" t="str">
        <f>IF(Productos!A500="","",Productos!A500)</f>
        <v/>
      </c>
      <c r="B500" s="18" t="str">
        <f>IF(Productos!B500="","",Productos!B500)</f>
        <v/>
      </c>
      <c r="C500" s="18" t="str">
        <f>IF(Productos!$A500="","",Productos!H500)</f>
        <v/>
      </c>
      <c r="E500" s="18" t="str">
        <f t="shared" si="14"/>
        <v/>
      </c>
      <c r="F500" s="26" t="str">
        <f>IF(A500="","",IF(D500="",0,D500*Productos!G500))</f>
        <v/>
      </c>
      <c r="G500" s="26" t="str">
        <f>IF(A500="","",IF(D500="",0,D500*Productos!F500))</f>
        <v/>
      </c>
      <c r="H500" s="26" t="str">
        <f t="shared" si="15"/>
        <v/>
      </c>
      <c r="I500" t="str">
        <f>IF(A500="","",Productos!J500)</f>
        <v/>
      </c>
    </row>
    <row r="501" spans="1:9" hidden="1" x14ac:dyDescent="0.2">
      <c r="A501" s="18" t="str">
        <f>IF(Productos!A501="","",Productos!A501)</f>
        <v/>
      </c>
      <c r="B501" s="18" t="str">
        <f>IF(Productos!B501="","",Productos!B501)</f>
        <v/>
      </c>
      <c r="C501" s="18" t="str">
        <f>IF(Productos!$A501="","",Productos!H501)</f>
        <v/>
      </c>
      <c r="E501" s="18" t="str">
        <f t="shared" si="14"/>
        <v/>
      </c>
      <c r="F501" s="26" t="str">
        <f>IF(A501="","",IF(D501="",0,D501*Productos!G501))</f>
        <v/>
      </c>
      <c r="G501" s="26" t="str">
        <f>IF(A501="","",IF(D501="",0,D501*Productos!F501))</f>
        <v/>
      </c>
      <c r="H501" s="26" t="str">
        <f t="shared" si="15"/>
        <v/>
      </c>
      <c r="I501" t="str">
        <f>IF(A501="","",Productos!J501)</f>
        <v/>
      </c>
    </row>
    <row r="502" spans="1:9" x14ac:dyDescent="0.2">
      <c r="B502" s="44"/>
    </row>
    <row r="503" spans="1:9" x14ac:dyDescent="0.2">
      <c r="A503" s="18" t="str">
        <f>IF(Productos!A503="","",Productos!A503)</f>
        <v/>
      </c>
      <c r="B503" s="18" t="str">
        <f>IF(Productos!B503="","",Productos!B503)</f>
        <v/>
      </c>
      <c r="C503" s="18" t="str">
        <f>IF(Productos!$A503="","",Productos!H503)</f>
        <v/>
      </c>
      <c r="E503" s="18" t="str">
        <f t="shared" si="14"/>
        <v/>
      </c>
      <c r="F503" s="26" t="str">
        <f>IF(A503="","",IF(D503="",0,D503*Productos!G503))</f>
        <v/>
      </c>
      <c r="G503" s="26" t="str">
        <f>IF(A503="","",IF(D503="",0,D503*Productos!F503))</f>
        <v/>
      </c>
      <c r="H503" s="26" t="str">
        <f t="shared" si="15"/>
        <v/>
      </c>
      <c r="I503" t="str">
        <f>IF(A503="","",Productos!J503)</f>
        <v/>
      </c>
    </row>
    <row r="504" spans="1:9" x14ac:dyDescent="0.2">
      <c r="A504" s="18" t="str">
        <f>IF(Productos!A504="","",Productos!A504)</f>
        <v/>
      </c>
      <c r="B504" s="18" t="str">
        <f>IF(Productos!B504="","",Productos!B504)</f>
        <v/>
      </c>
      <c r="C504" s="18" t="str">
        <f>IF(Productos!$A504="","",Productos!H504)</f>
        <v/>
      </c>
      <c r="E504" s="18" t="str">
        <f t="shared" si="14"/>
        <v/>
      </c>
      <c r="F504" s="26" t="str">
        <f>IF(A504="","",IF(D504="",0,D504*Productos!G504))</f>
        <v/>
      </c>
      <c r="G504" s="26" t="str">
        <f>IF(A504="","",IF(D504="",0,D504*Productos!F504))</f>
        <v/>
      </c>
      <c r="H504" s="26" t="str">
        <f t="shared" si="15"/>
        <v/>
      </c>
      <c r="I504" t="str">
        <f>IF(A504="","",Productos!J504)</f>
        <v/>
      </c>
    </row>
    <row r="505" spans="1:9" x14ac:dyDescent="0.2">
      <c r="A505" s="18" t="str">
        <f>IF(Productos!A505="","",Productos!A505)</f>
        <v/>
      </c>
      <c r="B505" s="18" t="str">
        <f>IF(Productos!B505="","",Productos!B505)</f>
        <v/>
      </c>
      <c r="C505" s="18" t="str">
        <f>IF(Productos!$A505="","",Productos!H505)</f>
        <v/>
      </c>
      <c r="E505" s="18" t="str">
        <f t="shared" si="14"/>
        <v/>
      </c>
      <c r="F505" s="26" t="str">
        <f>IF(A505="","",IF(D505="",0,D505*Productos!G505))</f>
        <v/>
      </c>
      <c r="G505" s="26" t="str">
        <f>IF(A505="","",IF(D505="",0,D505*Productos!F505))</f>
        <v/>
      </c>
      <c r="H505" s="26" t="str">
        <f t="shared" si="15"/>
        <v/>
      </c>
      <c r="I505" t="str">
        <f>IF(A505="","",Productos!J505)</f>
        <v/>
      </c>
    </row>
    <row r="506" spans="1:9" x14ac:dyDescent="0.2">
      <c r="A506" s="18" t="str">
        <f>IF(Productos!A506="","",Productos!A506)</f>
        <v/>
      </c>
      <c r="B506" s="18" t="str">
        <f>IF(Productos!B506="","",Productos!B506)</f>
        <v/>
      </c>
      <c r="C506" s="18" t="str">
        <f>IF(Productos!$A506="","",Productos!H506)</f>
        <v/>
      </c>
      <c r="E506" s="18" t="str">
        <f t="shared" si="14"/>
        <v/>
      </c>
      <c r="F506" s="26" t="str">
        <f>IF(A506="","",IF(D506="",0,D506*Productos!G506))</f>
        <v/>
      </c>
      <c r="G506" s="26" t="str">
        <f>IF(A506="","",IF(D506="",0,D506*Productos!F506))</f>
        <v/>
      </c>
      <c r="H506" s="26" t="str">
        <f t="shared" si="15"/>
        <v/>
      </c>
      <c r="I506" t="str">
        <f>IF(A506="","",Productos!J506)</f>
        <v/>
      </c>
    </row>
    <row r="507" spans="1:9" x14ac:dyDescent="0.2">
      <c r="A507" s="18" t="str">
        <f>IF(Productos!A507="","",Productos!A507)</f>
        <v/>
      </c>
      <c r="B507" s="18" t="str">
        <f>IF(Productos!B507="","",Productos!B507)</f>
        <v/>
      </c>
      <c r="C507" s="18" t="str">
        <f>IF(Productos!$A507="","",Productos!H507)</f>
        <v/>
      </c>
      <c r="E507" s="18" t="str">
        <f t="shared" si="14"/>
        <v/>
      </c>
      <c r="F507" s="26" t="str">
        <f>IF(A507="","",IF(D507="",0,D507*Productos!G507))</f>
        <v/>
      </c>
      <c r="G507" s="26" t="str">
        <f>IF(A507="","",IF(D507="",0,D507*Productos!F507))</f>
        <v/>
      </c>
      <c r="H507" s="26" t="str">
        <f t="shared" si="15"/>
        <v/>
      </c>
      <c r="I507" t="str">
        <f>IF(A507="","",Productos!J507)</f>
        <v/>
      </c>
    </row>
    <row r="508" spans="1:9" x14ac:dyDescent="0.2">
      <c r="A508" s="18" t="str">
        <f>IF(Productos!A508="","",Productos!A508)</f>
        <v/>
      </c>
      <c r="B508" s="18" t="str">
        <f>IF(Productos!B508="","",Productos!B508)</f>
        <v/>
      </c>
      <c r="C508" s="18" t="str">
        <f>IF(Productos!$A508="","",Productos!H508)</f>
        <v/>
      </c>
      <c r="E508" s="18" t="str">
        <f t="shared" si="14"/>
        <v/>
      </c>
      <c r="F508" s="26" t="str">
        <f>IF(A508="","",IF(D508="",0,D508*Productos!G508))</f>
        <v/>
      </c>
      <c r="G508" s="26" t="str">
        <f>IF(A508="","",IF(D508="",0,D508*Productos!F508))</f>
        <v/>
      </c>
      <c r="H508" s="26" t="str">
        <f t="shared" si="15"/>
        <v/>
      </c>
      <c r="I508" t="str">
        <f>IF(A508="","",Productos!J508)</f>
        <v/>
      </c>
    </row>
    <row r="509" spans="1:9" x14ac:dyDescent="0.2">
      <c r="A509" s="18" t="str">
        <f>IF(Productos!A509="","",Productos!A509)</f>
        <v/>
      </c>
      <c r="B509" s="18" t="str">
        <f>IF(Productos!B509="","",Productos!B509)</f>
        <v/>
      </c>
      <c r="C509" s="18" t="str">
        <f>IF(Productos!$A509="","",Productos!H509)</f>
        <v/>
      </c>
      <c r="E509" s="18" t="str">
        <f t="shared" si="14"/>
        <v/>
      </c>
      <c r="F509" s="26" t="str">
        <f>IF(A509="","",IF(D509="",0,D509*Productos!G509))</f>
        <v/>
      </c>
      <c r="G509" s="26" t="str">
        <f>IF(A509="","",IF(D509="",0,D509*Productos!F509))</f>
        <v/>
      </c>
      <c r="H509" s="26" t="str">
        <f t="shared" si="15"/>
        <v/>
      </c>
      <c r="I509" t="str">
        <f>IF(A509="","",Productos!J509)</f>
        <v/>
      </c>
    </row>
    <row r="510" spans="1:9" x14ac:dyDescent="0.2">
      <c r="A510" s="18" t="str">
        <f>IF(Productos!A510="","",Productos!A510)</f>
        <v/>
      </c>
      <c r="B510" s="18" t="str">
        <f>IF(Productos!B510="","",Productos!B510)</f>
        <v/>
      </c>
      <c r="C510" s="18" t="str">
        <f>IF(Productos!$A510="","",Productos!H510)</f>
        <v/>
      </c>
      <c r="E510" s="18" t="str">
        <f t="shared" si="14"/>
        <v/>
      </c>
      <c r="F510" s="26" t="str">
        <f>IF(A510="","",IF(D510="",0,D510*Productos!G510))</f>
        <v/>
      </c>
      <c r="G510" s="26" t="str">
        <f>IF(A510="","",IF(D510="",0,D510*Productos!F510))</f>
        <v/>
      </c>
      <c r="H510" s="26" t="str">
        <f t="shared" si="15"/>
        <v/>
      </c>
      <c r="I510" t="str">
        <f>IF(A510="","",Productos!J510)</f>
        <v/>
      </c>
    </row>
    <row r="511" spans="1:9" x14ac:dyDescent="0.2">
      <c r="A511" s="18" t="str">
        <f>IF(Productos!A511="","",Productos!A511)</f>
        <v/>
      </c>
      <c r="B511" s="18" t="str">
        <f>IF(Productos!B511="","",Productos!B511)</f>
        <v/>
      </c>
      <c r="C511" s="18" t="str">
        <f>IF(Productos!$A511="","",Productos!H511)</f>
        <v/>
      </c>
      <c r="E511" s="18" t="str">
        <f t="shared" si="14"/>
        <v/>
      </c>
      <c r="F511" s="26" t="str">
        <f>IF(A511="","",IF(D511="",0,D511*Productos!G511))</f>
        <v/>
      </c>
      <c r="G511" s="26" t="str">
        <f>IF(A511="","",IF(D511="",0,D511*Productos!F511))</f>
        <v/>
      </c>
      <c r="H511" s="26" t="str">
        <f t="shared" si="15"/>
        <v/>
      </c>
      <c r="I511" t="str">
        <f>IF(A511="","",Productos!J511)</f>
        <v/>
      </c>
    </row>
    <row r="512" spans="1:9" x14ac:dyDescent="0.2">
      <c r="A512" s="18" t="str">
        <f>IF(Productos!A512="","",Productos!A512)</f>
        <v/>
      </c>
      <c r="B512" s="18" t="str">
        <f>IF(Productos!B512="","",Productos!B512)</f>
        <v/>
      </c>
      <c r="C512" s="18" t="str">
        <f>IF(Productos!$A512="","",Productos!H512)</f>
        <v/>
      </c>
      <c r="E512" s="18" t="str">
        <f t="shared" si="14"/>
        <v/>
      </c>
      <c r="F512" s="26" t="str">
        <f>IF(A512="","",IF(D512="",0,D512*Productos!G512))</f>
        <v/>
      </c>
      <c r="G512" s="26" t="str">
        <f>IF(A512="","",IF(D512="",0,D512*Productos!F512))</f>
        <v/>
      </c>
      <c r="H512" s="26" t="str">
        <f t="shared" si="15"/>
        <v/>
      </c>
      <c r="I512" t="str">
        <f>IF(A512="","",Productos!J512)</f>
        <v/>
      </c>
    </row>
    <row r="513" spans="1:9" x14ac:dyDescent="0.2">
      <c r="A513" s="18" t="str">
        <f>IF(Productos!A513="","",Productos!A513)</f>
        <v/>
      </c>
      <c r="B513" s="18" t="str">
        <f>IF(Productos!B513="","",Productos!B513)</f>
        <v/>
      </c>
      <c r="C513" s="18" t="str">
        <f>IF(Productos!$A513="","",Productos!H513)</f>
        <v/>
      </c>
      <c r="E513" s="18" t="str">
        <f t="shared" si="14"/>
        <v/>
      </c>
      <c r="F513" s="26" t="str">
        <f>IF(A513="","",IF(D513="",0,D513*Productos!G513))</f>
        <v/>
      </c>
      <c r="G513" s="26" t="str">
        <f>IF(A513="","",IF(D513="",0,D513*Productos!F513))</f>
        <v/>
      </c>
      <c r="H513" s="26" t="str">
        <f t="shared" si="15"/>
        <v/>
      </c>
      <c r="I513" t="str">
        <f>IF(A513="","",Productos!J513)</f>
        <v/>
      </c>
    </row>
    <row r="514" spans="1:9" x14ac:dyDescent="0.2">
      <c r="A514" s="18" t="str">
        <f>IF(Productos!A514="","",Productos!A514)</f>
        <v/>
      </c>
      <c r="B514" s="18" t="str">
        <f>IF(Productos!B514="","",Productos!B514)</f>
        <v/>
      </c>
      <c r="C514" s="18" t="str">
        <f>IF(Productos!$A514="","",Productos!H514)</f>
        <v/>
      </c>
      <c r="E514" s="18" t="str">
        <f t="shared" si="14"/>
        <v/>
      </c>
      <c r="F514" s="26" t="str">
        <f>IF(A514="","",IF(D514="",0,D514*Productos!G514))</f>
        <v/>
      </c>
      <c r="G514" s="26" t="str">
        <f>IF(A514="","",IF(D514="",0,D514*Productos!F514))</f>
        <v/>
      </c>
      <c r="H514" s="26" t="str">
        <f t="shared" si="15"/>
        <v/>
      </c>
      <c r="I514" t="str">
        <f>IF(A514="","",Productos!J514)</f>
        <v/>
      </c>
    </row>
    <row r="515" spans="1:9" x14ac:dyDescent="0.2">
      <c r="A515" s="18" t="str">
        <f>IF(Productos!A515="","",Productos!A515)</f>
        <v/>
      </c>
      <c r="B515" s="18" t="str">
        <f>IF(Productos!B515="","",Productos!B515)</f>
        <v/>
      </c>
      <c r="C515" s="18" t="str">
        <f>IF(Productos!$A515="","",Productos!H515)</f>
        <v/>
      </c>
      <c r="E515" s="18" t="str">
        <f t="shared" ref="E515:E578" si="16">IF(C515="","",C515-IF(D515="",0,D515))</f>
        <v/>
      </c>
      <c r="F515" s="26" t="str">
        <f>IF(A515="","",IF(D515="",0,D515*Productos!G515))</f>
        <v/>
      </c>
      <c r="G515" s="26" t="str">
        <f>IF(A515="","",IF(D515="",0,D515*Productos!F515))</f>
        <v/>
      </c>
      <c r="H515" s="26" t="str">
        <f t="shared" ref="H515:H578" si="17">IF(A515="","",F515-G515)</f>
        <v/>
      </c>
      <c r="I515" t="str">
        <f>IF(A515="","",Productos!J515)</f>
        <v/>
      </c>
    </row>
    <row r="516" spans="1:9" x14ac:dyDescent="0.2">
      <c r="A516" s="18" t="str">
        <f>IF(Productos!A516="","",Productos!A516)</f>
        <v/>
      </c>
      <c r="B516" s="18" t="str">
        <f>IF(Productos!B516="","",Productos!B516)</f>
        <v/>
      </c>
      <c r="C516" s="18" t="str">
        <f>IF(Productos!$A516="","",Productos!H516)</f>
        <v/>
      </c>
      <c r="E516" s="18" t="str">
        <f t="shared" si="16"/>
        <v/>
      </c>
      <c r="F516" s="26" t="str">
        <f>IF(A516="","",IF(D516="",0,D516*Productos!G516))</f>
        <v/>
      </c>
      <c r="G516" s="26" t="str">
        <f>IF(A516="","",IF(D516="",0,D516*Productos!F516))</f>
        <v/>
      </c>
      <c r="H516" s="26" t="str">
        <f t="shared" si="17"/>
        <v/>
      </c>
      <c r="I516" t="str">
        <f>IF(A516="","",Productos!J516)</f>
        <v/>
      </c>
    </row>
    <row r="517" spans="1:9" x14ac:dyDescent="0.2">
      <c r="A517" s="18" t="str">
        <f>IF(Productos!A517="","",Productos!A517)</f>
        <v/>
      </c>
      <c r="B517" s="18" t="str">
        <f>IF(Productos!B517="","",Productos!B517)</f>
        <v/>
      </c>
      <c r="C517" s="18" t="str">
        <f>IF(Productos!$A517="","",Productos!H517)</f>
        <v/>
      </c>
      <c r="E517" s="18" t="str">
        <f t="shared" si="16"/>
        <v/>
      </c>
      <c r="F517" s="26" t="str">
        <f>IF(A517="","",IF(D517="",0,D517*Productos!G517))</f>
        <v/>
      </c>
      <c r="G517" s="26" t="str">
        <f>IF(A517="","",IF(D517="",0,D517*Productos!F517))</f>
        <v/>
      </c>
      <c r="H517" s="26" t="str">
        <f t="shared" si="17"/>
        <v/>
      </c>
      <c r="I517" t="str">
        <f>IF(A517="","",Productos!J517)</f>
        <v/>
      </c>
    </row>
    <row r="518" spans="1:9" x14ac:dyDescent="0.2">
      <c r="A518" s="18" t="str">
        <f>IF(Productos!A518="","",Productos!A518)</f>
        <v/>
      </c>
      <c r="B518" s="18" t="str">
        <f>IF(Productos!B518="","",Productos!B518)</f>
        <v/>
      </c>
      <c r="C518" s="18" t="str">
        <f>IF(Productos!$A518="","",Productos!H518)</f>
        <v/>
      </c>
      <c r="E518" s="18" t="str">
        <f t="shared" si="16"/>
        <v/>
      </c>
      <c r="F518" s="26" t="str">
        <f>IF(A518="","",IF(D518="",0,D518*Productos!G518))</f>
        <v/>
      </c>
      <c r="G518" s="26" t="str">
        <f>IF(A518="","",IF(D518="",0,D518*Productos!F518))</f>
        <v/>
      </c>
      <c r="H518" s="26" t="str">
        <f t="shared" si="17"/>
        <v/>
      </c>
      <c r="I518" t="str">
        <f>IF(A518="","",Productos!J518)</f>
        <v/>
      </c>
    </row>
    <row r="519" spans="1:9" x14ac:dyDescent="0.2">
      <c r="A519" s="18" t="str">
        <f>IF(Productos!A519="","",Productos!A519)</f>
        <v/>
      </c>
      <c r="B519" s="18" t="str">
        <f>IF(Productos!B519="","",Productos!B519)</f>
        <v/>
      </c>
      <c r="C519" s="18" t="str">
        <f>IF(Productos!$A519="","",Productos!H519)</f>
        <v/>
      </c>
      <c r="E519" s="18" t="str">
        <f t="shared" si="16"/>
        <v/>
      </c>
      <c r="F519" s="26" t="str">
        <f>IF(A519="","",IF(D519="",0,D519*Productos!G519))</f>
        <v/>
      </c>
      <c r="G519" s="26" t="str">
        <f>IF(A519="","",IF(D519="",0,D519*Productos!F519))</f>
        <v/>
      </c>
      <c r="H519" s="26" t="str">
        <f t="shared" si="17"/>
        <v/>
      </c>
      <c r="I519" t="str">
        <f>IF(A519="","",Productos!J519)</f>
        <v/>
      </c>
    </row>
    <row r="520" spans="1:9" x14ac:dyDescent="0.2">
      <c r="A520" s="18" t="str">
        <f>IF(Productos!A520="","",Productos!A520)</f>
        <v/>
      </c>
      <c r="B520" s="18" t="str">
        <f>IF(Productos!B520="","",Productos!B520)</f>
        <v/>
      </c>
      <c r="C520" s="18" t="str">
        <f>IF(Productos!$A520="","",Productos!H520)</f>
        <v/>
      </c>
      <c r="E520" s="18" t="str">
        <f t="shared" si="16"/>
        <v/>
      </c>
      <c r="F520" s="26" t="str">
        <f>IF(A520="","",IF(D520="",0,D520*Productos!G520))</f>
        <v/>
      </c>
      <c r="G520" s="26" t="str">
        <f>IF(A520="","",IF(D520="",0,D520*Productos!F520))</f>
        <v/>
      </c>
      <c r="H520" s="26" t="str">
        <f t="shared" si="17"/>
        <v/>
      </c>
      <c r="I520" t="str">
        <f>IF(A520="","",Productos!J520)</f>
        <v/>
      </c>
    </row>
    <row r="521" spans="1:9" x14ac:dyDescent="0.2">
      <c r="A521" s="18" t="str">
        <f>IF(Productos!A521="","",Productos!A521)</f>
        <v/>
      </c>
      <c r="B521" s="18" t="str">
        <f>IF(Productos!B521="","",Productos!B521)</f>
        <v/>
      </c>
      <c r="C521" s="18" t="str">
        <f>IF(Productos!$A521="","",Productos!H521)</f>
        <v/>
      </c>
      <c r="E521" s="18" t="str">
        <f t="shared" si="16"/>
        <v/>
      </c>
      <c r="F521" s="26" t="str">
        <f>IF(A521="","",IF(D521="",0,D521*Productos!G521))</f>
        <v/>
      </c>
      <c r="G521" s="26" t="str">
        <f>IF(A521="","",IF(D521="",0,D521*Productos!F521))</f>
        <v/>
      </c>
      <c r="H521" s="26" t="str">
        <f t="shared" si="17"/>
        <v/>
      </c>
      <c r="I521" t="str">
        <f>IF(A521="","",Productos!J521)</f>
        <v/>
      </c>
    </row>
    <row r="522" spans="1:9" x14ac:dyDescent="0.2">
      <c r="A522" s="18" t="str">
        <f>IF(Productos!A522="","",Productos!A522)</f>
        <v/>
      </c>
      <c r="B522" s="18" t="str">
        <f>IF(Productos!B522="","",Productos!B522)</f>
        <v/>
      </c>
      <c r="C522" s="18" t="str">
        <f>IF(Productos!$A522="","",Productos!H522)</f>
        <v/>
      </c>
      <c r="E522" s="18" t="str">
        <f t="shared" si="16"/>
        <v/>
      </c>
      <c r="F522" s="26" t="str">
        <f>IF(A522="","",IF(D522="",0,D522*Productos!G522))</f>
        <v/>
      </c>
      <c r="G522" s="26" t="str">
        <f>IF(A522="","",IF(D522="",0,D522*Productos!F522))</f>
        <v/>
      </c>
      <c r="H522" s="26" t="str">
        <f t="shared" si="17"/>
        <v/>
      </c>
      <c r="I522" t="str">
        <f>IF(A522="","",Productos!J522)</f>
        <v/>
      </c>
    </row>
    <row r="523" spans="1:9" x14ac:dyDescent="0.2">
      <c r="A523" s="18" t="str">
        <f>IF(Productos!A523="","",Productos!A523)</f>
        <v/>
      </c>
      <c r="B523" s="18" t="str">
        <f>IF(Productos!B523="","",Productos!B523)</f>
        <v/>
      </c>
      <c r="C523" s="18" t="str">
        <f>IF(Productos!$A523="","",Productos!H523)</f>
        <v/>
      </c>
      <c r="E523" s="18" t="str">
        <f t="shared" si="16"/>
        <v/>
      </c>
      <c r="F523" s="26" t="str">
        <f>IF(A523="","",IF(D523="",0,D523*Productos!G523))</f>
        <v/>
      </c>
      <c r="G523" s="26" t="str">
        <f>IF(A523="","",IF(D523="",0,D523*Productos!F523))</f>
        <v/>
      </c>
      <c r="H523" s="26" t="str">
        <f t="shared" si="17"/>
        <v/>
      </c>
      <c r="I523" t="str">
        <f>IF(A523="","",Productos!J523)</f>
        <v/>
      </c>
    </row>
    <row r="524" spans="1:9" x14ac:dyDescent="0.2">
      <c r="A524" s="18" t="str">
        <f>IF(Productos!A524="","",Productos!A524)</f>
        <v/>
      </c>
      <c r="B524" s="18" t="str">
        <f>IF(Productos!B524="","",Productos!B524)</f>
        <v/>
      </c>
      <c r="C524" s="18" t="str">
        <f>IF(Productos!$A524="","",Productos!H524)</f>
        <v/>
      </c>
      <c r="E524" s="18" t="str">
        <f t="shared" si="16"/>
        <v/>
      </c>
      <c r="F524" s="26" t="str">
        <f>IF(A524="","",IF(D524="",0,D524*Productos!G524))</f>
        <v/>
      </c>
      <c r="G524" s="26" t="str">
        <f>IF(A524="","",IF(D524="",0,D524*Productos!F524))</f>
        <v/>
      </c>
      <c r="H524" s="26" t="str">
        <f t="shared" si="17"/>
        <v/>
      </c>
      <c r="I524" t="str">
        <f>IF(A524="","",Productos!J524)</f>
        <v/>
      </c>
    </row>
    <row r="525" spans="1:9" x14ac:dyDescent="0.2">
      <c r="A525" s="18" t="str">
        <f>IF(Productos!A525="","",Productos!A525)</f>
        <v/>
      </c>
      <c r="B525" s="18" t="str">
        <f>IF(Productos!B525="","",Productos!B525)</f>
        <v/>
      </c>
      <c r="C525" s="18" t="str">
        <f>IF(Productos!$A525="","",Productos!H525)</f>
        <v/>
      </c>
      <c r="E525" s="18" t="str">
        <f t="shared" si="16"/>
        <v/>
      </c>
      <c r="F525" s="26" t="str">
        <f>IF(A525="","",IF(D525="",0,D525*Productos!G525))</f>
        <v/>
      </c>
      <c r="G525" s="26" t="str">
        <f>IF(A525="","",IF(D525="",0,D525*Productos!F525))</f>
        <v/>
      </c>
      <c r="H525" s="26" t="str">
        <f t="shared" si="17"/>
        <v/>
      </c>
      <c r="I525" t="str">
        <f>IF(A525="","",Productos!J525)</f>
        <v/>
      </c>
    </row>
    <row r="526" spans="1:9" x14ac:dyDescent="0.2">
      <c r="A526" s="18" t="str">
        <f>IF(Productos!A526="","",Productos!A526)</f>
        <v/>
      </c>
      <c r="B526" s="18" t="str">
        <f>IF(Productos!B526="","",Productos!B526)</f>
        <v/>
      </c>
      <c r="C526" s="18" t="str">
        <f>IF(Productos!$A526="","",Productos!H526)</f>
        <v/>
      </c>
      <c r="E526" s="18" t="str">
        <f t="shared" si="16"/>
        <v/>
      </c>
      <c r="F526" s="26" t="str">
        <f>IF(A526="","",IF(D526="",0,D526*Productos!G526))</f>
        <v/>
      </c>
      <c r="G526" s="26" t="str">
        <f>IF(A526="","",IF(D526="",0,D526*Productos!F526))</f>
        <v/>
      </c>
      <c r="H526" s="26" t="str">
        <f t="shared" si="17"/>
        <v/>
      </c>
      <c r="I526" t="str">
        <f>IF(A526="","",Productos!J526)</f>
        <v/>
      </c>
    </row>
    <row r="527" spans="1:9" x14ac:dyDescent="0.2">
      <c r="A527" s="18" t="str">
        <f>IF(Productos!A527="","",Productos!A527)</f>
        <v/>
      </c>
      <c r="B527" s="18" t="str">
        <f>IF(Productos!B527="","",Productos!B527)</f>
        <v/>
      </c>
      <c r="C527" s="18" t="str">
        <f>IF(Productos!$A527="","",Productos!H527)</f>
        <v/>
      </c>
      <c r="E527" s="18" t="str">
        <f t="shared" si="16"/>
        <v/>
      </c>
      <c r="F527" s="26" t="str">
        <f>IF(A527="","",IF(D527="",0,D527*Productos!G527))</f>
        <v/>
      </c>
      <c r="G527" s="26" t="str">
        <f>IF(A527="","",IF(D527="",0,D527*Productos!F527))</f>
        <v/>
      </c>
      <c r="H527" s="26" t="str">
        <f t="shared" si="17"/>
        <v/>
      </c>
      <c r="I527" t="str">
        <f>IF(A527="","",Productos!J527)</f>
        <v/>
      </c>
    </row>
    <row r="528" spans="1:9" x14ac:dyDescent="0.2">
      <c r="A528" s="18" t="str">
        <f>IF(Productos!A528="","",Productos!A528)</f>
        <v/>
      </c>
      <c r="B528" s="18" t="str">
        <f>IF(Productos!B528="","",Productos!B528)</f>
        <v/>
      </c>
      <c r="C528" s="18" t="str">
        <f>IF(Productos!$A528="","",Productos!H528)</f>
        <v/>
      </c>
      <c r="E528" s="18" t="str">
        <f t="shared" si="16"/>
        <v/>
      </c>
      <c r="F528" s="26" t="str">
        <f>IF(A528="","",IF(D528="",0,D528*Productos!G528))</f>
        <v/>
      </c>
      <c r="G528" s="26" t="str">
        <f>IF(A528="","",IF(D528="",0,D528*Productos!F528))</f>
        <v/>
      </c>
      <c r="H528" s="26" t="str">
        <f t="shared" si="17"/>
        <v/>
      </c>
      <c r="I528" t="str">
        <f>IF(A528="","",Productos!J528)</f>
        <v/>
      </c>
    </row>
    <row r="529" spans="1:9" x14ac:dyDescent="0.2">
      <c r="A529" s="18" t="str">
        <f>IF(Productos!A529="","",Productos!A529)</f>
        <v/>
      </c>
      <c r="B529" s="18" t="str">
        <f>IF(Productos!B529="","",Productos!B529)</f>
        <v/>
      </c>
      <c r="C529" s="18" t="str">
        <f>IF(Productos!$A529="","",Productos!H529)</f>
        <v/>
      </c>
      <c r="E529" s="18" t="str">
        <f t="shared" si="16"/>
        <v/>
      </c>
      <c r="F529" s="26" t="str">
        <f>IF(A529="","",IF(D529="",0,D529*Productos!G529))</f>
        <v/>
      </c>
      <c r="G529" s="26" t="str">
        <f>IF(A529="","",IF(D529="",0,D529*Productos!F529))</f>
        <v/>
      </c>
      <c r="H529" s="26" t="str">
        <f t="shared" si="17"/>
        <v/>
      </c>
      <c r="I529" t="str">
        <f>IF(A529="","",Productos!J529)</f>
        <v/>
      </c>
    </row>
    <row r="530" spans="1:9" x14ac:dyDescent="0.2">
      <c r="A530" s="18" t="str">
        <f>IF(Productos!A530="","",Productos!A530)</f>
        <v/>
      </c>
      <c r="B530" s="18" t="str">
        <f>IF(Productos!B530="","",Productos!B530)</f>
        <v/>
      </c>
      <c r="C530" s="18" t="str">
        <f>IF(Productos!$A530="","",Productos!H530)</f>
        <v/>
      </c>
      <c r="E530" s="18" t="str">
        <f t="shared" si="16"/>
        <v/>
      </c>
      <c r="F530" s="26" t="str">
        <f>IF(A530="","",IF(D530="",0,D530*Productos!G530))</f>
        <v/>
      </c>
      <c r="G530" s="26" t="str">
        <f>IF(A530="","",IF(D530="",0,D530*Productos!F530))</f>
        <v/>
      </c>
      <c r="H530" s="26" t="str">
        <f t="shared" si="17"/>
        <v/>
      </c>
      <c r="I530" t="str">
        <f>IF(A530="","",Productos!J530)</f>
        <v/>
      </c>
    </row>
    <row r="531" spans="1:9" x14ac:dyDescent="0.2">
      <c r="A531" s="18" t="str">
        <f>IF(Productos!A531="","",Productos!A531)</f>
        <v/>
      </c>
      <c r="B531" s="18" t="str">
        <f>IF(Productos!B531="","",Productos!B531)</f>
        <v/>
      </c>
      <c r="C531" s="18" t="str">
        <f>IF(Productos!$A531="","",Productos!H531)</f>
        <v/>
      </c>
      <c r="E531" s="18" t="str">
        <f t="shared" si="16"/>
        <v/>
      </c>
      <c r="F531" s="26" t="str">
        <f>IF(A531="","",IF(D531="",0,D531*Productos!G531))</f>
        <v/>
      </c>
      <c r="G531" s="26" t="str">
        <f>IF(A531="","",IF(D531="",0,D531*Productos!F531))</f>
        <v/>
      </c>
      <c r="H531" s="26" t="str">
        <f t="shared" si="17"/>
        <v/>
      </c>
      <c r="I531" t="str">
        <f>IF(A531="","",Productos!J531)</f>
        <v/>
      </c>
    </row>
    <row r="532" spans="1:9" x14ac:dyDescent="0.2">
      <c r="A532" s="18" t="str">
        <f>IF(Productos!A532="","",Productos!A532)</f>
        <v/>
      </c>
      <c r="B532" s="18" t="str">
        <f>IF(Productos!B532="","",Productos!B532)</f>
        <v/>
      </c>
      <c r="C532" s="18" t="str">
        <f>IF(Productos!$A532="","",Productos!H532)</f>
        <v/>
      </c>
      <c r="E532" s="18" t="str">
        <f t="shared" si="16"/>
        <v/>
      </c>
      <c r="F532" s="26" t="str">
        <f>IF(A532="","",IF(D532="",0,D532*Productos!G532))</f>
        <v/>
      </c>
      <c r="G532" s="26" t="str">
        <f>IF(A532="","",IF(D532="",0,D532*Productos!F532))</f>
        <v/>
      </c>
      <c r="H532" s="26" t="str">
        <f t="shared" si="17"/>
        <v/>
      </c>
      <c r="I532" t="str">
        <f>IF(A532="","",Productos!J532)</f>
        <v/>
      </c>
    </row>
    <row r="533" spans="1:9" x14ac:dyDescent="0.2">
      <c r="A533" s="18" t="str">
        <f>IF(Productos!A533="","",Productos!A533)</f>
        <v/>
      </c>
      <c r="B533" s="18" t="str">
        <f>IF(Productos!B533="","",Productos!B533)</f>
        <v/>
      </c>
      <c r="C533" s="18" t="str">
        <f>IF(Productos!$A533="","",Productos!H533)</f>
        <v/>
      </c>
      <c r="E533" s="18" t="str">
        <f t="shared" si="16"/>
        <v/>
      </c>
      <c r="F533" s="26" t="str">
        <f>IF(A533="","",IF(D533="",0,D533*Productos!G533))</f>
        <v/>
      </c>
      <c r="G533" s="26" t="str">
        <f>IF(A533="","",IF(D533="",0,D533*Productos!F533))</f>
        <v/>
      </c>
      <c r="H533" s="26" t="str">
        <f t="shared" si="17"/>
        <v/>
      </c>
      <c r="I533" t="str">
        <f>IF(A533="","",Productos!J533)</f>
        <v/>
      </c>
    </row>
    <row r="534" spans="1:9" x14ac:dyDescent="0.2">
      <c r="A534" s="18" t="str">
        <f>IF(Productos!A534="","",Productos!A534)</f>
        <v/>
      </c>
      <c r="B534" s="18" t="str">
        <f>IF(Productos!B534="","",Productos!B534)</f>
        <v/>
      </c>
      <c r="C534" s="18" t="str">
        <f>IF(Productos!$A534="","",Productos!H534)</f>
        <v/>
      </c>
      <c r="E534" s="18" t="str">
        <f t="shared" si="16"/>
        <v/>
      </c>
      <c r="F534" s="26" t="str">
        <f>IF(A534="","",IF(D534="",0,D534*Productos!G534))</f>
        <v/>
      </c>
      <c r="G534" s="26" t="str">
        <f>IF(A534="","",IF(D534="",0,D534*Productos!F534))</f>
        <v/>
      </c>
      <c r="H534" s="26" t="str">
        <f t="shared" si="17"/>
        <v/>
      </c>
      <c r="I534" t="str">
        <f>IF(A534="","",Productos!J534)</f>
        <v/>
      </c>
    </row>
    <row r="535" spans="1:9" x14ac:dyDescent="0.2">
      <c r="A535" s="18" t="str">
        <f>IF(Productos!A535="","",Productos!A535)</f>
        <v/>
      </c>
      <c r="B535" s="18" t="str">
        <f>IF(Productos!B535="","",Productos!B535)</f>
        <v/>
      </c>
      <c r="C535" s="18" t="str">
        <f>IF(Productos!$A535="","",Productos!H535)</f>
        <v/>
      </c>
      <c r="E535" s="18" t="str">
        <f t="shared" si="16"/>
        <v/>
      </c>
      <c r="F535" s="26" t="str">
        <f>IF(A535="","",IF(D535="",0,D535*Productos!G535))</f>
        <v/>
      </c>
      <c r="G535" s="26" t="str">
        <f>IF(A535="","",IF(D535="",0,D535*Productos!F535))</f>
        <v/>
      </c>
      <c r="H535" s="26" t="str">
        <f t="shared" si="17"/>
        <v/>
      </c>
      <c r="I535" t="str">
        <f>IF(A535="","",Productos!J535)</f>
        <v/>
      </c>
    </row>
    <row r="536" spans="1:9" x14ac:dyDescent="0.2">
      <c r="A536" s="18" t="str">
        <f>IF(Productos!A536="","",Productos!A536)</f>
        <v/>
      </c>
      <c r="B536" s="18" t="str">
        <f>IF(Productos!B536="","",Productos!B536)</f>
        <v/>
      </c>
      <c r="C536" s="18" t="str">
        <f>IF(Productos!$A536="","",Productos!H536)</f>
        <v/>
      </c>
      <c r="E536" s="18" t="str">
        <f t="shared" si="16"/>
        <v/>
      </c>
      <c r="F536" s="26" t="str">
        <f>IF(A536="","",IF(D536="",0,D536*Productos!G536))</f>
        <v/>
      </c>
      <c r="G536" s="26" t="str">
        <f>IF(A536="","",IF(D536="",0,D536*Productos!F536))</f>
        <v/>
      </c>
      <c r="H536" s="26" t="str">
        <f t="shared" si="17"/>
        <v/>
      </c>
      <c r="I536" t="str">
        <f>IF(A536="","",Productos!J536)</f>
        <v/>
      </c>
    </row>
    <row r="537" spans="1:9" x14ac:dyDescent="0.2">
      <c r="A537" s="18" t="str">
        <f>IF(Productos!A537="","",Productos!A537)</f>
        <v/>
      </c>
      <c r="B537" s="18" t="str">
        <f>IF(Productos!B537="","",Productos!B537)</f>
        <v/>
      </c>
      <c r="C537" s="18" t="str">
        <f>IF(Productos!$A537="","",Productos!H537)</f>
        <v/>
      </c>
      <c r="E537" s="18" t="str">
        <f t="shared" si="16"/>
        <v/>
      </c>
      <c r="F537" s="26" t="str">
        <f>IF(A537="","",IF(D537="",0,D537*Productos!G537))</f>
        <v/>
      </c>
      <c r="G537" s="26" t="str">
        <f>IF(A537="","",IF(D537="",0,D537*Productos!F537))</f>
        <v/>
      </c>
      <c r="H537" s="26" t="str">
        <f t="shared" si="17"/>
        <v/>
      </c>
      <c r="I537" t="str">
        <f>IF(A537="","",Productos!J537)</f>
        <v/>
      </c>
    </row>
    <row r="538" spans="1:9" x14ac:dyDescent="0.2">
      <c r="A538" s="18" t="str">
        <f>IF(Productos!A538="","",Productos!A538)</f>
        <v/>
      </c>
      <c r="B538" s="18" t="str">
        <f>IF(Productos!B538="","",Productos!B538)</f>
        <v/>
      </c>
      <c r="C538" s="18" t="str">
        <f>IF(Productos!$A538="","",Productos!H538)</f>
        <v/>
      </c>
      <c r="E538" s="18" t="str">
        <f t="shared" si="16"/>
        <v/>
      </c>
      <c r="F538" s="26" t="str">
        <f>IF(A538="","",IF(D538="",0,D538*Productos!G538))</f>
        <v/>
      </c>
      <c r="G538" s="26" t="str">
        <f>IF(A538="","",IF(D538="",0,D538*Productos!F538))</f>
        <v/>
      </c>
      <c r="H538" s="26" t="str">
        <f t="shared" si="17"/>
        <v/>
      </c>
      <c r="I538" t="str">
        <f>IF(A538="","",Productos!J538)</f>
        <v/>
      </c>
    </row>
    <row r="539" spans="1:9" x14ac:dyDescent="0.2">
      <c r="A539" s="18" t="str">
        <f>IF(Productos!A539="","",Productos!A539)</f>
        <v/>
      </c>
      <c r="B539" s="18" t="str">
        <f>IF(Productos!B539="","",Productos!B539)</f>
        <v/>
      </c>
      <c r="C539" s="18" t="str">
        <f>IF(Productos!$A539="","",Productos!H539)</f>
        <v/>
      </c>
      <c r="E539" s="18" t="str">
        <f t="shared" si="16"/>
        <v/>
      </c>
      <c r="F539" s="26" t="str">
        <f>IF(A539="","",IF(D539="",0,D539*Productos!G539))</f>
        <v/>
      </c>
      <c r="G539" s="26" t="str">
        <f>IF(A539="","",IF(D539="",0,D539*Productos!F539))</f>
        <v/>
      </c>
      <c r="H539" s="26" t="str">
        <f t="shared" si="17"/>
        <v/>
      </c>
      <c r="I539" t="str">
        <f>IF(A539="","",Productos!J539)</f>
        <v/>
      </c>
    </row>
    <row r="540" spans="1:9" x14ac:dyDescent="0.2">
      <c r="A540" s="18" t="str">
        <f>IF(Productos!A540="","",Productos!A540)</f>
        <v/>
      </c>
      <c r="B540" s="18" t="str">
        <f>IF(Productos!B540="","",Productos!B540)</f>
        <v/>
      </c>
      <c r="C540" s="18" t="str">
        <f>IF(Productos!$A540="","",Productos!H540)</f>
        <v/>
      </c>
      <c r="E540" s="18" t="str">
        <f t="shared" si="16"/>
        <v/>
      </c>
      <c r="F540" s="26" t="str">
        <f>IF(A540="","",IF(D540="",0,D540*Productos!G540))</f>
        <v/>
      </c>
      <c r="G540" s="26" t="str">
        <f>IF(A540="","",IF(D540="",0,D540*Productos!F540))</f>
        <v/>
      </c>
      <c r="H540" s="26" t="str">
        <f t="shared" si="17"/>
        <v/>
      </c>
      <c r="I540" t="str">
        <f>IF(A540="","",Productos!J540)</f>
        <v/>
      </c>
    </row>
    <row r="541" spans="1:9" x14ac:dyDescent="0.2">
      <c r="A541" s="18" t="str">
        <f>IF(Productos!A541="","",Productos!A541)</f>
        <v/>
      </c>
      <c r="B541" s="18" t="str">
        <f>IF(Productos!B541="","",Productos!B541)</f>
        <v/>
      </c>
      <c r="C541" s="18" t="str">
        <f>IF(Productos!$A541="","",Productos!H541)</f>
        <v/>
      </c>
      <c r="E541" s="18" t="str">
        <f t="shared" si="16"/>
        <v/>
      </c>
      <c r="F541" s="26" t="str">
        <f>IF(A541="","",IF(D541="",0,D541*Productos!G541))</f>
        <v/>
      </c>
      <c r="G541" s="26" t="str">
        <f>IF(A541="","",IF(D541="",0,D541*Productos!F541))</f>
        <v/>
      </c>
      <c r="H541" s="26" t="str">
        <f t="shared" si="17"/>
        <v/>
      </c>
      <c r="I541" t="str">
        <f>IF(A541="","",Productos!J541)</f>
        <v/>
      </c>
    </row>
    <row r="542" spans="1:9" x14ac:dyDescent="0.2">
      <c r="A542" s="18" t="str">
        <f>IF(Productos!A542="","",Productos!A542)</f>
        <v/>
      </c>
      <c r="B542" s="18" t="str">
        <f>IF(Productos!B542="","",Productos!B542)</f>
        <v/>
      </c>
      <c r="C542" s="18" t="str">
        <f>IF(Productos!$A542="","",Productos!H542)</f>
        <v/>
      </c>
      <c r="E542" s="18" t="str">
        <f t="shared" si="16"/>
        <v/>
      </c>
      <c r="F542" s="26" t="str">
        <f>IF(A542="","",IF(D542="",0,D542*Productos!G542))</f>
        <v/>
      </c>
      <c r="G542" s="26" t="str">
        <f>IF(A542="","",IF(D542="",0,D542*Productos!F542))</f>
        <v/>
      </c>
      <c r="H542" s="26" t="str">
        <f t="shared" si="17"/>
        <v/>
      </c>
      <c r="I542" t="str">
        <f>IF(A542="","",Productos!J542)</f>
        <v/>
      </c>
    </row>
    <row r="543" spans="1:9" x14ac:dyDescent="0.2">
      <c r="A543" s="18" t="str">
        <f>IF(Productos!A543="","",Productos!A543)</f>
        <v/>
      </c>
      <c r="B543" s="18" t="str">
        <f>IF(Productos!B543="","",Productos!B543)</f>
        <v/>
      </c>
      <c r="C543" s="18" t="str">
        <f>IF(Productos!$A543="","",Productos!H543)</f>
        <v/>
      </c>
      <c r="E543" s="18" t="str">
        <f t="shared" si="16"/>
        <v/>
      </c>
      <c r="F543" s="26" t="str">
        <f>IF(A543="","",IF(D543="",0,D543*Productos!G543))</f>
        <v/>
      </c>
      <c r="G543" s="26" t="str">
        <f>IF(A543="","",IF(D543="",0,D543*Productos!F543))</f>
        <v/>
      </c>
      <c r="H543" s="26" t="str">
        <f t="shared" si="17"/>
        <v/>
      </c>
      <c r="I543" t="str">
        <f>IF(A543="","",Productos!J543)</f>
        <v/>
      </c>
    </row>
    <row r="544" spans="1:9" x14ac:dyDescent="0.2">
      <c r="A544" s="18" t="str">
        <f>IF(Productos!A544="","",Productos!A544)</f>
        <v/>
      </c>
      <c r="B544" s="18" t="str">
        <f>IF(Productos!B544="","",Productos!B544)</f>
        <v/>
      </c>
      <c r="C544" s="18" t="str">
        <f>IF(Productos!$A544="","",Productos!H544)</f>
        <v/>
      </c>
      <c r="E544" s="18" t="str">
        <f t="shared" si="16"/>
        <v/>
      </c>
      <c r="F544" s="26" t="str">
        <f>IF(A544="","",IF(D544="",0,D544*Productos!G544))</f>
        <v/>
      </c>
      <c r="G544" s="26" t="str">
        <f>IF(A544="","",IF(D544="",0,D544*Productos!F544))</f>
        <v/>
      </c>
      <c r="H544" s="26" t="str">
        <f t="shared" si="17"/>
        <v/>
      </c>
      <c r="I544" t="str">
        <f>IF(A544="","",Productos!J544)</f>
        <v/>
      </c>
    </row>
    <row r="545" spans="1:9" x14ac:dyDescent="0.2">
      <c r="A545" s="18" t="str">
        <f>IF(Productos!A545="","",Productos!A545)</f>
        <v/>
      </c>
      <c r="B545" s="18" t="str">
        <f>IF(Productos!B545="","",Productos!B545)</f>
        <v/>
      </c>
      <c r="C545" s="18" t="str">
        <f>IF(Productos!$A545="","",Productos!H545)</f>
        <v/>
      </c>
      <c r="E545" s="18" t="str">
        <f t="shared" si="16"/>
        <v/>
      </c>
      <c r="F545" s="26" t="str">
        <f>IF(A545="","",IF(D545="",0,D545*Productos!G545))</f>
        <v/>
      </c>
      <c r="G545" s="26" t="str">
        <f>IF(A545="","",IF(D545="",0,D545*Productos!F545))</f>
        <v/>
      </c>
      <c r="H545" s="26" t="str">
        <f t="shared" si="17"/>
        <v/>
      </c>
      <c r="I545" t="str">
        <f>IF(A545="","",Productos!J545)</f>
        <v/>
      </c>
    </row>
    <row r="546" spans="1:9" x14ac:dyDescent="0.2">
      <c r="A546" s="18" t="str">
        <f>IF(Productos!A546="","",Productos!A546)</f>
        <v/>
      </c>
      <c r="B546" s="18" t="str">
        <f>IF(Productos!B546="","",Productos!B546)</f>
        <v/>
      </c>
      <c r="C546" s="18" t="str">
        <f>IF(Productos!$A546="","",Productos!H546)</f>
        <v/>
      </c>
      <c r="E546" s="18" t="str">
        <f t="shared" si="16"/>
        <v/>
      </c>
      <c r="F546" s="26" t="str">
        <f>IF(A546="","",IF(D546="",0,D546*Productos!G546))</f>
        <v/>
      </c>
      <c r="G546" s="26" t="str">
        <f>IF(A546="","",IF(D546="",0,D546*Productos!F546))</f>
        <v/>
      </c>
      <c r="H546" s="26" t="str">
        <f t="shared" si="17"/>
        <v/>
      </c>
      <c r="I546" t="str">
        <f>IF(A546="","",Productos!J546)</f>
        <v/>
      </c>
    </row>
    <row r="547" spans="1:9" x14ac:dyDescent="0.2">
      <c r="A547" s="18" t="str">
        <f>IF(Productos!A547="","",Productos!A547)</f>
        <v/>
      </c>
      <c r="B547" s="18" t="str">
        <f>IF(Productos!B547="","",Productos!B547)</f>
        <v/>
      </c>
      <c r="C547" s="18" t="str">
        <f>IF(Productos!$A547="","",Productos!H547)</f>
        <v/>
      </c>
      <c r="E547" s="18" t="str">
        <f t="shared" si="16"/>
        <v/>
      </c>
      <c r="F547" s="26" t="str">
        <f>IF(A547="","",IF(D547="",0,D547*Productos!G547))</f>
        <v/>
      </c>
      <c r="G547" s="26" t="str">
        <f>IF(A547="","",IF(D547="",0,D547*Productos!F547))</f>
        <v/>
      </c>
      <c r="H547" s="26" t="str">
        <f t="shared" si="17"/>
        <v/>
      </c>
      <c r="I547" t="str">
        <f>IF(A547="","",Productos!J547)</f>
        <v/>
      </c>
    </row>
    <row r="548" spans="1:9" x14ac:dyDescent="0.2">
      <c r="A548" s="18" t="str">
        <f>IF(Productos!A548="","",Productos!A548)</f>
        <v/>
      </c>
      <c r="B548" s="18" t="str">
        <f>IF(Productos!B548="","",Productos!B548)</f>
        <v/>
      </c>
      <c r="C548" s="18" t="str">
        <f>IF(Productos!$A548="","",Productos!H548)</f>
        <v/>
      </c>
      <c r="E548" s="18" t="str">
        <f t="shared" si="16"/>
        <v/>
      </c>
      <c r="F548" s="26" t="str">
        <f>IF(A548="","",IF(D548="",0,D548*Productos!G548))</f>
        <v/>
      </c>
      <c r="G548" s="26" t="str">
        <f>IF(A548="","",IF(D548="",0,D548*Productos!F548))</f>
        <v/>
      </c>
      <c r="H548" s="26" t="str">
        <f t="shared" si="17"/>
        <v/>
      </c>
      <c r="I548" t="str">
        <f>IF(A548="","",Productos!J548)</f>
        <v/>
      </c>
    </row>
    <row r="549" spans="1:9" x14ac:dyDescent="0.2">
      <c r="A549" s="18" t="str">
        <f>IF(Productos!A549="","",Productos!A549)</f>
        <v/>
      </c>
      <c r="B549" s="18" t="str">
        <f>IF(Productos!B549="","",Productos!B549)</f>
        <v/>
      </c>
      <c r="C549" s="18" t="str">
        <f>IF(Productos!$A549="","",Productos!H549)</f>
        <v/>
      </c>
      <c r="E549" s="18" t="str">
        <f t="shared" si="16"/>
        <v/>
      </c>
      <c r="F549" s="26" t="str">
        <f>IF(A549="","",IF(D549="",0,D549*Productos!G549))</f>
        <v/>
      </c>
      <c r="G549" s="26" t="str">
        <f>IF(A549="","",IF(D549="",0,D549*Productos!F549))</f>
        <v/>
      </c>
      <c r="H549" s="26" t="str">
        <f t="shared" si="17"/>
        <v/>
      </c>
      <c r="I549" t="str">
        <f>IF(A549="","",Productos!J549)</f>
        <v/>
      </c>
    </row>
    <row r="550" spans="1:9" x14ac:dyDescent="0.2">
      <c r="A550" s="18" t="str">
        <f>IF(Productos!A550="","",Productos!A550)</f>
        <v/>
      </c>
      <c r="B550" s="18" t="str">
        <f>IF(Productos!B550="","",Productos!B550)</f>
        <v/>
      </c>
      <c r="C550" s="18" t="str">
        <f>IF(Productos!$A550="","",Productos!H550)</f>
        <v/>
      </c>
      <c r="E550" s="18" t="str">
        <f t="shared" si="16"/>
        <v/>
      </c>
      <c r="F550" s="26" t="str">
        <f>IF(A550="","",IF(D550="",0,D550*Productos!G550))</f>
        <v/>
      </c>
      <c r="G550" s="26" t="str">
        <f>IF(A550="","",IF(D550="",0,D550*Productos!F550))</f>
        <v/>
      </c>
      <c r="H550" s="26" t="str">
        <f t="shared" si="17"/>
        <v/>
      </c>
      <c r="I550" t="str">
        <f>IF(A550="","",Productos!J550)</f>
        <v/>
      </c>
    </row>
    <row r="551" spans="1:9" x14ac:dyDescent="0.2">
      <c r="A551" s="18" t="str">
        <f>IF(Productos!A551="","",Productos!A551)</f>
        <v/>
      </c>
      <c r="B551" s="18" t="str">
        <f>IF(Productos!B551="","",Productos!B551)</f>
        <v/>
      </c>
      <c r="C551" s="18" t="str">
        <f>IF(Productos!$A551="","",Productos!H551)</f>
        <v/>
      </c>
      <c r="E551" s="18" t="str">
        <f t="shared" si="16"/>
        <v/>
      </c>
      <c r="F551" s="26" t="str">
        <f>IF(A551="","",IF(D551="",0,D551*Productos!G551))</f>
        <v/>
      </c>
      <c r="G551" s="26" t="str">
        <f>IF(A551="","",IF(D551="",0,D551*Productos!F551))</f>
        <v/>
      </c>
      <c r="H551" s="26" t="str">
        <f t="shared" si="17"/>
        <v/>
      </c>
      <c r="I551" t="str">
        <f>IF(A551="","",Productos!J551)</f>
        <v/>
      </c>
    </row>
    <row r="552" spans="1:9" x14ac:dyDescent="0.2">
      <c r="A552" s="18" t="str">
        <f>IF(Productos!A552="","",Productos!A552)</f>
        <v/>
      </c>
      <c r="B552" s="18" t="str">
        <f>IF(Productos!B552="","",Productos!B552)</f>
        <v/>
      </c>
      <c r="C552" s="18" t="str">
        <f>IF(Productos!$A552="","",Productos!H552)</f>
        <v/>
      </c>
      <c r="E552" s="18" t="str">
        <f t="shared" si="16"/>
        <v/>
      </c>
      <c r="F552" s="26" t="str">
        <f>IF(A552="","",IF(D552="",0,D552*Productos!G552))</f>
        <v/>
      </c>
      <c r="G552" s="26" t="str">
        <f>IF(A552="","",IF(D552="",0,D552*Productos!F552))</f>
        <v/>
      </c>
      <c r="H552" s="26" t="str">
        <f t="shared" si="17"/>
        <v/>
      </c>
      <c r="I552" t="str">
        <f>IF(A552="","",Productos!J552)</f>
        <v/>
      </c>
    </row>
    <row r="553" spans="1:9" x14ac:dyDescent="0.2">
      <c r="A553" s="18" t="str">
        <f>IF(Productos!A553="","",Productos!A553)</f>
        <v/>
      </c>
      <c r="B553" s="18" t="str">
        <f>IF(Productos!B553="","",Productos!B553)</f>
        <v/>
      </c>
      <c r="C553" s="18" t="str">
        <f>IF(Productos!$A553="","",Productos!H553)</f>
        <v/>
      </c>
      <c r="E553" s="18" t="str">
        <f t="shared" si="16"/>
        <v/>
      </c>
      <c r="F553" s="26" t="str">
        <f>IF(A553="","",IF(D553="",0,D553*Productos!G553))</f>
        <v/>
      </c>
      <c r="G553" s="26" t="str">
        <f>IF(A553="","",IF(D553="",0,D553*Productos!F553))</f>
        <v/>
      </c>
      <c r="H553" s="26" t="str">
        <f t="shared" si="17"/>
        <v/>
      </c>
      <c r="I553" t="str">
        <f>IF(A553="","",Productos!J553)</f>
        <v/>
      </c>
    </row>
    <row r="554" spans="1:9" x14ac:dyDescent="0.2">
      <c r="A554" s="18" t="str">
        <f>IF(Productos!A554="","",Productos!A554)</f>
        <v/>
      </c>
      <c r="B554" s="18" t="str">
        <f>IF(Productos!B554="","",Productos!B554)</f>
        <v/>
      </c>
      <c r="C554" s="18" t="str">
        <f>IF(Productos!$A554="","",Productos!H554)</f>
        <v/>
      </c>
      <c r="E554" s="18" t="str">
        <f t="shared" si="16"/>
        <v/>
      </c>
      <c r="F554" s="26" t="str">
        <f>IF(A554="","",IF(D554="",0,D554*Productos!G554))</f>
        <v/>
      </c>
      <c r="G554" s="26" t="str">
        <f>IF(A554="","",IF(D554="",0,D554*Productos!F554))</f>
        <v/>
      </c>
      <c r="H554" s="26" t="str">
        <f t="shared" si="17"/>
        <v/>
      </c>
      <c r="I554" t="str">
        <f>IF(A554="","",Productos!J554)</f>
        <v/>
      </c>
    </row>
    <row r="555" spans="1:9" x14ac:dyDescent="0.2">
      <c r="A555" s="18" t="str">
        <f>IF(Productos!A555="","",Productos!A555)</f>
        <v/>
      </c>
      <c r="B555" s="18" t="str">
        <f>IF(Productos!B555="","",Productos!B555)</f>
        <v/>
      </c>
      <c r="C555" s="18" t="str">
        <f>IF(Productos!$A555="","",Productos!H555)</f>
        <v/>
      </c>
      <c r="E555" s="18" t="str">
        <f t="shared" si="16"/>
        <v/>
      </c>
      <c r="F555" s="26" t="str">
        <f>IF(A555="","",IF(D555="",0,D555*Productos!G555))</f>
        <v/>
      </c>
      <c r="G555" s="26" t="str">
        <f>IF(A555="","",IF(D555="",0,D555*Productos!F555))</f>
        <v/>
      </c>
      <c r="H555" s="26" t="str">
        <f t="shared" si="17"/>
        <v/>
      </c>
      <c r="I555" t="str">
        <f>IF(A555="","",Productos!J555)</f>
        <v/>
      </c>
    </row>
    <row r="556" spans="1:9" x14ac:dyDescent="0.2">
      <c r="A556" s="18" t="str">
        <f>IF(Productos!A556="","",Productos!A556)</f>
        <v/>
      </c>
      <c r="B556" s="18" t="str">
        <f>IF(Productos!B556="","",Productos!B556)</f>
        <v/>
      </c>
      <c r="C556" s="18" t="str">
        <f>IF(Productos!$A556="","",Productos!H556)</f>
        <v/>
      </c>
      <c r="E556" s="18" t="str">
        <f t="shared" si="16"/>
        <v/>
      </c>
      <c r="F556" s="26" t="str">
        <f>IF(A556="","",IF(D556="",0,D556*Productos!G556))</f>
        <v/>
      </c>
      <c r="G556" s="26" t="str">
        <f>IF(A556="","",IF(D556="",0,D556*Productos!F556))</f>
        <v/>
      </c>
      <c r="H556" s="26" t="str">
        <f t="shared" si="17"/>
        <v/>
      </c>
      <c r="I556" t="str">
        <f>IF(A556="","",Productos!J556)</f>
        <v/>
      </c>
    </row>
    <row r="557" spans="1:9" x14ac:dyDescent="0.2">
      <c r="A557" s="18" t="str">
        <f>IF(Productos!A557="","",Productos!A557)</f>
        <v/>
      </c>
      <c r="B557" s="18" t="str">
        <f>IF(Productos!B557="","",Productos!B557)</f>
        <v/>
      </c>
      <c r="C557" s="18" t="str">
        <f>IF(Productos!$A557="","",Productos!H557)</f>
        <v/>
      </c>
      <c r="E557" s="18" t="str">
        <f t="shared" si="16"/>
        <v/>
      </c>
      <c r="F557" s="26" t="str">
        <f>IF(A557="","",IF(D557="",0,D557*Productos!G557))</f>
        <v/>
      </c>
      <c r="G557" s="26" t="str">
        <f>IF(A557="","",IF(D557="",0,D557*Productos!F557))</f>
        <v/>
      </c>
      <c r="H557" s="26" t="str">
        <f t="shared" si="17"/>
        <v/>
      </c>
      <c r="I557" t="str">
        <f>IF(A557="","",Productos!J557)</f>
        <v/>
      </c>
    </row>
    <row r="558" spans="1:9" x14ac:dyDescent="0.2">
      <c r="A558" s="18" t="str">
        <f>IF(Productos!A558="","",Productos!A558)</f>
        <v/>
      </c>
      <c r="B558" s="18" t="str">
        <f>IF(Productos!B558="","",Productos!B558)</f>
        <v/>
      </c>
      <c r="C558" s="18" t="str">
        <f>IF(Productos!$A558="","",Productos!H558)</f>
        <v/>
      </c>
      <c r="E558" s="18" t="str">
        <f t="shared" si="16"/>
        <v/>
      </c>
      <c r="F558" s="26" t="str">
        <f>IF(A558="","",IF(D558="",0,D558*Productos!G558))</f>
        <v/>
      </c>
      <c r="G558" s="26" t="str">
        <f>IF(A558="","",IF(D558="",0,D558*Productos!F558))</f>
        <v/>
      </c>
      <c r="H558" s="26" t="str">
        <f t="shared" si="17"/>
        <v/>
      </c>
      <c r="I558" t="str">
        <f>IF(A558="","",Productos!J558)</f>
        <v/>
      </c>
    </row>
    <row r="559" spans="1:9" x14ac:dyDescent="0.2">
      <c r="A559" s="18" t="str">
        <f>IF(Productos!A559="","",Productos!A559)</f>
        <v/>
      </c>
      <c r="B559" s="18" t="str">
        <f>IF(Productos!B559="","",Productos!B559)</f>
        <v/>
      </c>
      <c r="C559" s="18" t="str">
        <f>IF(Productos!$A559="","",Productos!H559)</f>
        <v/>
      </c>
      <c r="E559" s="18" t="str">
        <f t="shared" si="16"/>
        <v/>
      </c>
      <c r="F559" s="26" t="str">
        <f>IF(A559="","",IF(D559="",0,D559*Productos!G559))</f>
        <v/>
      </c>
      <c r="G559" s="26" t="str">
        <f>IF(A559="","",IF(D559="",0,D559*Productos!F559))</f>
        <v/>
      </c>
      <c r="H559" s="26" t="str">
        <f t="shared" si="17"/>
        <v/>
      </c>
      <c r="I559" t="str">
        <f>IF(A559="","",Productos!J559)</f>
        <v/>
      </c>
    </row>
    <row r="560" spans="1:9" x14ac:dyDescent="0.2">
      <c r="A560" s="18" t="str">
        <f>IF(Productos!A560="","",Productos!A560)</f>
        <v/>
      </c>
      <c r="B560" s="18" t="str">
        <f>IF(Productos!B560="","",Productos!B560)</f>
        <v/>
      </c>
      <c r="C560" s="18" t="str">
        <f>IF(Productos!$A560="","",Productos!H560)</f>
        <v/>
      </c>
      <c r="E560" s="18" t="str">
        <f t="shared" si="16"/>
        <v/>
      </c>
      <c r="F560" s="26" t="str">
        <f>IF(A560="","",IF(D560="",0,D560*Productos!G560))</f>
        <v/>
      </c>
      <c r="G560" s="26" t="str">
        <f>IF(A560="","",IF(D560="",0,D560*Productos!F560))</f>
        <v/>
      </c>
      <c r="H560" s="26" t="str">
        <f t="shared" si="17"/>
        <v/>
      </c>
      <c r="I560" t="str">
        <f>IF(A560="","",Productos!J560)</f>
        <v/>
      </c>
    </row>
    <row r="561" spans="1:9" x14ac:dyDescent="0.2">
      <c r="A561" s="18" t="str">
        <f>IF(Productos!A561="","",Productos!A561)</f>
        <v/>
      </c>
      <c r="B561" s="18" t="str">
        <f>IF(Productos!B561="","",Productos!B561)</f>
        <v/>
      </c>
      <c r="C561" s="18" t="str">
        <f>IF(Productos!$A561="","",Productos!H561)</f>
        <v/>
      </c>
      <c r="E561" s="18" t="str">
        <f t="shared" si="16"/>
        <v/>
      </c>
      <c r="F561" s="26" t="str">
        <f>IF(A561="","",IF(D561="",0,D561*Productos!G561))</f>
        <v/>
      </c>
      <c r="G561" s="26" t="str">
        <f>IF(A561="","",IF(D561="",0,D561*Productos!F561))</f>
        <v/>
      </c>
      <c r="H561" s="26" t="str">
        <f t="shared" si="17"/>
        <v/>
      </c>
      <c r="I561" t="str">
        <f>IF(A561="","",Productos!J561)</f>
        <v/>
      </c>
    </row>
    <row r="562" spans="1:9" x14ac:dyDescent="0.2">
      <c r="A562" s="18" t="str">
        <f>IF(Productos!A562="","",Productos!A562)</f>
        <v/>
      </c>
      <c r="B562" s="18" t="str">
        <f>IF(Productos!B562="","",Productos!B562)</f>
        <v/>
      </c>
      <c r="C562" s="18" t="str">
        <f>IF(Productos!$A562="","",Productos!H562)</f>
        <v/>
      </c>
      <c r="E562" s="18" t="str">
        <f t="shared" si="16"/>
        <v/>
      </c>
      <c r="F562" s="26" t="str">
        <f>IF(A562="","",IF(D562="",0,D562*Productos!G562))</f>
        <v/>
      </c>
      <c r="G562" s="26" t="str">
        <f>IF(A562="","",IF(D562="",0,D562*Productos!F562))</f>
        <v/>
      </c>
      <c r="H562" s="26" t="str">
        <f t="shared" si="17"/>
        <v/>
      </c>
      <c r="I562" t="str">
        <f>IF(A562="","",Productos!J562)</f>
        <v/>
      </c>
    </row>
    <row r="563" spans="1:9" x14ac:dyDescent="0.2">
      <c r="A563" s="18" t="str">
        <f>IF(Productos!A563="","",Productos!A563)</f>
        <v/>
      </c>
      <c r="B563" s="18" t="str">
        <f>IF(Productos!B563="","",Productos!B563)</f>
        <v/>
      </c>
      <c r="C563" s="18" t="str">
        <f>IF(Productos!$A563="","",Productos!H563)</f>
        <v/>
      </c>
      <c r="E563" s="18" t="str">
        <f t="shared" si="16"/>
        <v/>
      </c>
      <c r="F563" s="26" t="str">
        <f>IF(A563="","",IF(D563="",0,D563*Productos!G563))</f>
        <v/>
      </c>
      <c r="G563" s="26" t="str">
        <f>IF(A563="","",IF(D563="",0,D563*Productos!F563))</f>
        <v/>
      </c>
      <c r="H563" s="26" t="str">
        <f t="shared" si="17"/>
        <v/>
      </c>
      <c r="I563" t="str">
        <f>IF(A563="","",Productos!J563)</f>
        <v/>
      </c>
    </row>
    <row r="564" spans="1:9" x14ac:dyDescent="0.2">
      <c r="A564" s="18" t="str">
        <f>IF(Productos!A564="","",Productos!A564)</f>
        <v/>
      </c>
      <c r="B564" s="18" t="str">
        <f>IF(Productos!B564="","",Productos!B564)</f>
        <v/>
      </c>
      <c r="C564" s="18" t="str">
        <f>IF(Productos!$A564="","",Productos!H564)</f>
        <v/>
      </c>
      <c r="E564" s="18" t="str">
        <f t="shared" si="16"/>
        <v/>
      </c>
      <c r="F564" s="26" t="str">
        <f>IF(A564="","",IF(D564="",0,D564*Productos!G564))</f>
        <v/>
      </c>
      <c r="G564" s="26" t="str">
        <f>IF(A564="","",IF(D564="",0,D564*Productos!F564))</f>
        <v/>
      </c>
      <c r="H564" s="26" t="str">
        <f t="shared" si="17"/>
        <v/>
      </c>
      <c r="I564" t="str">
        <f>IF(A564="","",Productos!J564)</f>
        <v/>
      </c>
    </row>
    <row r="565" spans="1:9" x14ac:dyDescent="0.2">
      <c r="A565" s="18" t="str">
        <f>IF(Productos!A565="","",Productos!A565)</f>
        <v/>
      </c>
      <c r="B565" s="18" t="str">
        <f>IF(Productos!B565="","",Productos!B565)</f>
        <v/>
      </c>
      <c r="C565" s="18" t="str">
        <f>IF(Productos!$A565="","",Productos!H565)</f>
        <v/>
      </c>
      <c r="E565" s="18" t="str">
        <f t="shared" si="16"/>
        <v/>
      </c>
      <c r="F565" s="26" t="str">
        <f>IF(A565="","",IF(D565="",0,D565*Productos!G565))</f>
        <v/>
      </c>
      <c r="G565" s="26" t="str">
        <f>IF(A565="","",IF(D565="",0,D565*Productos!F565))</f>
        <v/>
      </c>
      <c r="H565" s="26" t="str">
        <f t="shared" si="17"/>
        <v/>
      </c>
      <c r="I565" t="str">
        <f>IF(A565="","",Productos!J565)</f>
        <v/>
      </c>
    </row>
    <row r="566" spans="1:9" x14ac:dyDescent="0.2">
      <c r="A566" s="18" t="str">
        <f>IF(Productos!A566="","",Productos!A566)</f>
        <v/>
      </c>
      <c r="B566" s="18" t="str">
        <f>IF(Productos!B566="","",Productos!B566)</f>
        <v/>
      </c>
      <c r="C566" s="18" t="str">
        <f>IF(Productos!$A566="","",Productos!H566)</f>
        <v/>
      </c>
      <c r="E566" s="18" t="str">
        <f t="shared" si="16"/>
        <v/>
      </c>
      <c r="F566" s="26" t="str">
        <f>IF(A566="","",IF(D566="",0,D566*Productos!G566))</f>
        <v/>
      </c>
      <c r="G566" s="26" t="str">
        <f>IF(A566="","",IF(D566="",0,D566*Productos!F566))</f>
        <v/>
      </c>
      <c r="H566" s="26" t="str">
        <f t="shared" si="17"/>
        <v/>
      </c>
      <c r="I566" t="str">
        <f>IF(A566="","",Productos!J566)</f>
        <v/>
      </c>
    </row>
    <row r="567" spans="1:9" x14ac:dyDescent="0.2">
      <c r="A567" s="18" t="str">
        <f>IF(Productos!A567="","",Productos!A567)</f>
        <v/>
      </c>
      <c r="B567" s="18" t="str">
        <f>IF(Productos!B567="","",Productos!B567)</f>
        <v/>
      </c>
      <c r="C567" s="18" t="str">
        <f>IF(Productos!$A567="","",Productos!H567)</f>
        <v/>
      </c>
      <c r="E567" s="18" t="str">
        <f t="shared" si="16"/>
        <v/>
      </c>
      <c r="F567" s="26" t="str">
        <f>IF(A567="","",IF(D567="",0,D567*Productos!G567))</f>
        <v/>
      </c>
      <c r="G567" s="26" t="str">
        <f>IF(A567="","",IF(D567="",0,D567*Productos!F567))</f>
        <v/>
      </c>
      <c r="H567" s="26" t="str">
        <f t="shared" si="17"/>
        <v/>
      </c>
      <c r="I567" t="str">
        <f>IF(A567="","",Productos!J567)</f>
        <v/>
      </c>
    </row>
    <row r="568" spans="1:9" x14ac:dyDescent="0.2">
      <c r="A568" s="18" t="str">
        <f>IF(Productos!A568="","",Productos!A568)</f>
        <v/>
      </c>
      <c r="B568" s="18" t="str">
        <f>IF(Productos!B568="","",Productos!B568)</f>
        <v/>
      </c>
      <c r="C568" s="18" t="str">
        <f>IF(Productos!$A568="","",Productos!H568)</f>
        <v/>
      </c>
      <c r="E568" s="18" t="str">
        <f t="shared" si="16"/>
        <v/>
      </c>
      <c r="F568" s="26" t="str">
        <f>IF(A568="","",IF(D568="",0,D568*Productos!G568))</f>
        <v/>
      </c>
      <c r="G568" s="26" t="str">
        <f>IF(A568="","",IF(D568="",0,D568*Productos!F568))</f>
        <v/>
      </c>
      <c r="H568" s="26" t="str">
        <f t="shared" si="17"/>
        <v/>
      </c>
      <c r="I568" t="str">
        <f>IF(A568="","",Productos!J568)</f>
        <v/>
      </c>
    </row>
    <row r="569" spans="1:9" x14ac:dyDescent="0.2">
      <c r="A569" s="18" t="str">
        <f>IF(Productos!A569="","",Productos!A569)</f>
        <v/>
      </c>
      <c r="B569" s="18" t="str">
        <f>IF(Productos!B569="","",Productos!B569)</f>
        <v/>
      </c>
      <c r="C569" s="18" t="str">
        <f>IF(Productos!$A569="","",Productos!H569)</f>
        <v/>
      </c>
      <c r="E569" s="18" t="str">
        <f t="shared" si="16"/>
        <v/>
      </c>
      <c r="F569" s="26" t="str">
        <f>IF(A569="","",IF(D569="",0,D569*Productos!G569))</f>
        <v/>
      </c>
      <c r="G569" s="26" t="str">
        <f>IF(A569="","",IF(D569="",0,D569*Productos!F569))</f>
        <v/>
      </c>
      <c r="H569" s="26" t="str">
        <f t="shared" si="17"/>
        <v/>
      </c>
      <c r="I569" t="str">
        <f>IF(A569="","",Productos!J569)</f>
        <v/>
      </c>
    </row>
    <row r="570" spans="1:9" x14ac:dyDescent="0.2">
      <c r="A570" s="18" t="str">
        <f>IF(Productos!A570="","",Productos!A570)</f>
        <v/>
      </c>
      <c r="B570" s="18" t="str">
        <f>IF(Productos!B570="","",Productos!B570)</f>
        <v/>
      </c>
      <c r="C570" s="18" t="str">
        <f>IF(Productos!$A570="","",Productos!H570)</f>
        <v/>
      </c>
      <c r="E570" s="18" t="str">
        <f t="shared" si="16"/>
        <v/>
      </c>
      <c r="F570" s="26" t="str">
        <f>IF(A570="","",IF(D570="",0,D570*Productos!G570))</f>
        <v/>
      </c>
      <c r="G570" s="26" t="str">
        <f>IF(A570="","",IF(D570="",0,D570*Productos!F570))</f>
        <v/>
      </c>
      <c r="H570" s="26" t="str">
        <f t="shared" si="17"/>
        <v/>
      </c>
      <c r="I570" t="str">
        <f>IF(A570="","",Productos!J570)</f>
        <v/>
      </c>
    </row>
    <row r="571" spans="1:9" x14ac:dyDescent="0.2">
      <c r="A571" s="18" t="str">
        <f>IF(Productos!A571="","",Productos!A571)</f>
        <v/>
      </c>
      <c r="B571" s="18" t="str">
        <f>IF(Productos!B571="","",Productos!B571)</f>
        <v/>
      </c>
      <c r="C571" s="18" t="str">
        <f>IF(Productos!$A571="","",Productos!H571)</f>
        <v/>
      </c>
      <c r="E571" s="18" t="str">
        <f t="shared" si="16"/>
        <v/>
      </c>
      <c r="F571" s="26" t="str">
        <f>IF(A571="","",IF(D571="",0,D571*Productos!G571))</f>
        <v/>
      </c>
      <c r="G571" s="26" t="str">
        <f>IF(A571="","",IF(D571="",0,D571*Productos!F571))</f>
        <v/>
      </c>
      <c r="H571" s="26" t="str">
        <f t="shared" si="17"/>
        <v/>
      </c>
      <c r="I571" t="str">
        <f>IF(A571="","",Productos!J571)</f>
        <v/>
      </c>
    </row>
    <row r="572" spans="1:9" x14ac:dyDescent="0.2">
      <c r="A572" s="18" t="str">
        <f>IF(Productos!A572="","",Productos!A572)</f>
        <v/>
      </c>
      <c r="B572" s="18" t="str">
        <f>IF(Productos!B572="","",Productos!B572)</f>
        <v/>
      </c>
      <c r="C572" s="18" t="str">
        <f>IF(Productos!$A572="","",Productos!H572)</f>
        <v/>
      </c>
      <c r="E572" s="18" t="str">
        <f t="shared" si="16"/>
        <v/>
      </c>
      <c r="F572" s="26" t="str">
        <f>IF(A572="","",IF(D572="",0,D572*Productos!G572))</f>
        <v/>
      </c>
      <c r="G572" s="26" t="str">
        <f>IF(A572="","",IF(D572="",0,D572*Productos!F572))</f>
        <v/>
      </c>
      <c r="H572" s="26" t="str">
        <f t="shared" si="17"/>
        <v/>
      </c>
      <c r="I572" t="str">
        <f>IF(A572="","",Productos!J572)</f>
        <v/>
      </c>
    </row>
    <row r="573" spans="1:9" x14ac:dyDescent="0.2">
      <c r="A573" s="18" t="str">
        <f>IF(Productos!A573="","",Productos!A573)</f>
        <v/>
      </c>
      <c r="B573" s="18" t="str">
        <f>IF(Productos!B573="","",Productos!B573)</f>
        <v/>
      </c>
      <c r="C573" s="18" t="str">
        <f>IF(Productos!$A573="","",Productos!H573)</f>
        <v/>
      </c>
      <c r="E573" s="18" t="str">
        <f t="shared" si="16"/>
        <v/>
      </c>
      <c r="F573" s="26" t="str">
        <f>IF(A573="","",IF(D573="",0,D573*Productos!G573))</f>
        <v/>
      </c>
      <c r="G573" s="26" t="str">
        <f>IF(A573="","",IF(D573="",0,D573*Productos!F573))</f>
        <v/>
      </c>
      <c r="H573" s="26" t="str">
        <f t="shared" si="17"/>
        <v/>
      </c>
      <c r="I573" t="str">
        <f>IF(A573="","",Productos!J573)</f>
        <v/>
      </c>
    </row>
    <row r="574" spans="1:9" x14ac:dyDescent="0.2">
      <c r="A574" s="18" t="str">
        <f>IF(Productos!A574="","",Productos!A574)</f>
        <v/>
      </c>
      <c r="B574" s="18" t="str">
        <f>IF(Productos!B574="","",Productos!B574)</f>
        <v/>
      </c>
      <c r="C574" s="18" t="str">
        <f>IF(Productos!$A574="","",Productos!H574)</f>
        <v/>
      </c>
      <c r="E574" s="18" t="str">
        <f t="shared" si="16"/>
        <v/>
      </c>
      <c r="F574" s="26" t="str">
        <f>IF(A574="","",IF(D574="",0,D574*Productos!G574))</f>
        <v/>
      </c>
      <c r="G574" s="26" t="str">
        <f>IF(A574="","",IF(D574="",0,D574*Productos!F574))</f>
        <v/>
      </c>
      <c r="H574" s="26" t="str">
        <f t="shared" si="17"/>
        <v/>
      </c>
      <c r="I574" t="str">
        <f>IF(A574="","",Productos!J574)</f>
        <v/>
      </c>
    </row>
    <row r="575" spans="1:9" x14ac:dyDescent="0.2">
      <c r="A575" s="18" t="str">
        <f>IF(Productos!A575="","",Productos!A575)</f>
        <v/>
      </c>
      <c r="B575" s="18" t="str">
        <f>IF(Productos!B575="","",Productos!B575)</f>
        <v/>
      </c>
      <c r="C575" s="18" t="str">
        <f>IF(Productos!$A575="","",Productos!H575)</f>
        <v/>
      </c>
      <c r="E575" s="18" t="str">
        <f t="shared" si="16"/>
        <v/>
      </c>
      <c r="F575" s="26" t="str">
        <f>IF(A575="","",IF(D575="",0,D575*Productos!G575))</f>
        <v/>
      </c>
      <c r="G575" s="26" t="str">
        <f>IF(A575="","",IF(D575="",0,D575*Productos!F575))</f>
        <v/>
      </c>
      <c r="H575" s="26" t="str">
        <f t="shared" si="17"/>
        <v/>
      </c>
      <c r="I575" t="str">
        <f>IF(A575="","",Productos!J575)</f>
        <v/>
      </c>
    </row>
    <row r="576" spans="1:9" x14ac:dyDescent="0.2">
      <c r="A576" s="18" t="str">
        <f>IF(Productos!A576="","",Productos!A576)</f>
        <v/>
      </c>
      <c r="B576" s="18" t="str">
        <f>IF(Productos!B576="","",Productos!B576)</f>
        <v/>
      </c>
      <c r="C576" s="18" t="str">
        <f>IF(Productos!$A576="","",Productos!H576)</f>
        <v/>
      </c>
      <c r="E576" s="18" t="str">
        <f t="shared" si="16"/>
        <v/>
      </c>
      <c r="F576" s="26" t="str">
        <f>IF(A576="","",IF(D576="",0,D576*Productos!G576))</f>
        <v/>
      </c>
      <c r="G576" s="26" t="str">
        <f>IF(A576="","",IF(D576="",0,D576*Productos!F576))</f>
        <v/>
      </c>
      <c r="H576" s="26" t="str">
        <f t="shared" si="17"/>
        <v/>
      </c>
      <c r="I576" t="str">
        <f>IF(A576="","",Productos!J576)</f>
        <v/>
      </c>
    </row>
    <row r="577" spans="1:9" x14ac:dyDescent="0.2">
      <c r="A577" s="18" t="str">
        <f>IF(Productos!A577="","",Productos!A577)</f>
        <v/>
      </c>
      <c r="B577" s="18" t="str">
        <f>IF(Productos!B577="","",Productos!B577)</f>
        <v/>
      </c>
      <c r="C577" s="18" t="str">
        <f>IF(Productos!$A577="","",Productos!H577)</f>
        <v/>
      </c>
      <c r="E577" s="18" t="str">
        <f t="shared" si="16"/>
        <v/>
      </c>
      <c r="F577" s="26" t="str">
        <f>IF(A577="","",IF(D577="",0,D577*Productos!G577))</f>
        <v/>
      </c>
      <c r="G577" s="26" t="str">
        <f>IF(A577="","",IF(D577="",0,D577*Productos!F577))</f>
        <v/>
      </c>
      <c r="H577" s="26" t="str">
        <f t="shared" si="17"/>
        <v/>
      </c>
      <c r="I577" t="str">
        <f>IF(A577="","",Productos!J577)</f>
        <v/>
      </c>
    </row>
    <row r="578" spans="1:9" x14ac:dyDescent="0.2">
      <c r="A578" s="18" t="str">
        <f>IF(Productos!A578="","",Productos!A578)</f>
        <v/>
      </c>
      <c r="B578" s="18" t="str">
        <f>IF(Productos!B578="","",Productos!B578)</f>
        <v/>
      </c>
      <c r="C578" s="18" t="str">
        <f>IF(Productos!$A578="","",Productos!H578)</f>
        <v/>
      </c>
      <c r="E578" s="18" t="str">
        <f t="shared" si="16"/>
        <v/>
      </c>
      <c r="F578" s="26" t="str">
        <f>IF(A578="","",IF(D578="",0,D578*Productos!G578))</f>
        <v/>
      </c>
      <c r="G578" s="26" t="str">
        <f>IF(A578="","",IF(D578="",0,D578*Productos!F578))</f>
        <v/>
      </c>
      <c r="H578" s="26" t="str">
        <f t="shared" si="17"/>
        <v/>
      </c>
      <c r="I578" t="str">
        <f>IF(A578="","",Productos!J578)</f>
        <v/>
      </c>
    </row>
    <row r="579" spans="1:9" x14ac:dyDescent="0.2">
      <c r="A579" s="18" t="str">
        <f>IF(Productos!A579="","",Productos!A579)</f>
        <v/>
      </c>
      <c r="B579" s="18" t="str">
        <f>IF(Productos!B579="","",Productos!B579)</f>
        <v/>
      </c>
      <c r="C579" s="18" t="str">
        <f>IF(Productos!$A579="","",Productos!H579)</f>
        <v/>
      </c>
      <c r="E579" s="18" t="str">
        <f t="shared" ref="E579:E642" si="18">IF(C579="","",C579-IF(D579="",0,D579))</f>
        <v/>
      </c>
      <c r="F579" s="26" t="str">
        <f>IF(A579="","",IF(D579="",0,D579*Productos!G579))</f>
        <v/>
      </c>
      <c r="G579" s="26" t="str">
        <f>IF(A579="","",IF(D579="",0,D579*Productos!F579))</f>
        <v/>
      </c>
      <c r="H579" s="26" t="str">
        <f t="shared" ref="H579:H642" si="19">IF(A579="","",F579-G579)</f>
        <v/>
      </c>
      <c r="I579" t="str">
        <f>IF(A579="","",Productos!J579)</f>
        <v/>
      </c>
    </row>
    <row r="580" spans="1:9" x14ac:dyDescent="0.2">
      <c r="A580" s="18" t="str">
        <f>IF(Productos!A580="","",Productos!A580)</f>
        <v/>
      </c>
      <c r="B580" s="18" t="str">
        <f>IF(Productos!B580="","",Productos!B580)</f>
        <v/>
      </c>
      <c r="C580" s="18" t="str">
        <f>IF(Productos!$A580="","",Productos!H580)</f>
        <v/>
      </c>
      <c r="E580" s="18" t="str">
        <f t="shared" si="18"/>
        <v/>
      </c>
      <c r="F580" s="26" t="str">
        <f>IF(A580="","",IF(D580="",0,D580*Productos!G580))</f>
        <v/>
      </c>
      <c r="G580" s="26" t="str">
        <f>IF(A580="","",IF(D580="",0,D580*Productos!F580))</f>
        <v/>
      </c>
      <c r="H580" s="26" t="str">
        <f t="shared" si="19"/>
        <v/>
      </c>
      <c r="I580" t="str">
        <f>IF(A580="","",Productos!J580)</f>
        <v/>
      </c>
    </row>
    <row r="581" spans="1:9" x14ac:dyDescent="0.2">
      <c r="A581" s="18" t="str">
        <f>IF(Productos!A581="","",Productos!A581)</f>
        <v/>
      </c>
      <c r="B581" s="18" t="str">
        <f>IF(Productos!B581="","",Productos!B581)</f>
        <v/>
      </c>
      <c r="C581" s="18" t="str">
        <f>IF(Productos!$A581="","",Productos!H581)</f>
        <v/>
      </c>
      <c r="E581" s="18" t="str">
        <f t="shared" si="18"/>
        <v/>
      </c>
      <c r="F581" s="26" t="str">
        <f>IF(A581="","",IF(D581="",0,D581*Productos!G581))</f>
        <v/>
      </c>
      <c r="G581" s="26" t="str">
        <f>IF(A581="","",IF(D581="",0,D581*Productos!F581))</f>
        <v/>
      </c>
      <c r="H581" s="26" t="str">
        <f t="shared" si="19"/>
        <v/>
      </c>
      <c r="I581" t="str">
        <f>IF(A581="","",Productos!J581)</f>
        <v/>
      </c>
    </row>
    <row r="582" spans="1:9" x14ac:dyDescent="0.2">
      <c r="A582" s="18" t="str">
        <f>IF(Productos!A582="","",Productos!A582)</f>
        <v/>
      </c>
      <c r="B582" s="18" t="str">
        <f>IF(Productos!B582="","",Productos!B582)</f>
        <v/>
      </c>
      <c r="C582" s="18" t="str">
        <f>IF(Productos!$A582="","",Productos!H582)</f>
        <v/>
      </c>
      <c r="E582" s="18" t="str">
        <f t="shared" si="18"/>
        <v/>
      </c>
      <c r="F582" s="26" t="str">
        <f>IF(A582="","",IF(D582="",0,D582*Productos!G582))</f>
        <v/>
      </c>
      <c r="G582" s="26" t="str">
        <f>IF(A582="","",IF(D582="",0,D582*Productos!F582))</f>
        <v/>
      </c>
      <c r="H582" s="26" t="str">
        <f t="shared" si="19"/>
        <v/>
      </c>
      <c r="I582" t="str">
        <f>IF(A582="","",Productos!J582)</f>
        <v/>
      </c>
    </row>
    <row r="583" spans="1:9" x14ac:dyDescent="0.2">
      <c r="A583" s="18" t="str">
        <f>IF(Productos!A583="","",Productos!A583)</f>
        <v/>
      </c>
      <c r="B583" s="18" t="str">
        <f>IF(Productos!B583="","",Productos!B583)</f>
        <v/>
      </c>
      <c r="C583" s="18" t="str">
        <f>IF(Productos!$A583="","",Productos!H583)</f>
        <v/>
      </c>
      <c r="E583" s="18" t="str">
        <f t="shared" si="18"/>
        <v/>
      </c>
      <c r="F583" s="26" t="str">
        <f>IF(A583="","",IF(D583="",0,D583*Productos!G583))</f>
        <v/>
      </c>
      <c r="G583" s="26" t="str">
        <f>IF(A583="","",IF(D583="",0,D583*Productos!F583))</f>
        <v/>
      </c>
      <c r="H583" s="26" t="str">
        <f t="shared" si="19"/>
        <v/>
      </c>
      <c r="I583" t="str">
        <f>IF(A583="","",Productos!J583)</f>
        <v/>
      </c>
    </row>
    <row r="584" spans="1:9" x14ac:dyDescent="0.2">
      <c r="A584" s="18" t="str">
        <f>IF(Productos!A584="","",Productos!A584)</f>
        <v/>
      </c>
      <c r="B584" s="18" t="str">
        <f>IF(Productos!B584="","",Productos!B584)</f>
        <v/>
      </c>
      <c r="C584" s="18" t="str">
        <f>IF(Productos!$A584="","",Productos!H584)</f>
        <v/>
      </c>
      <c r="E584" s="18" t="str">
        <f t="shared" si="18"/>
        <v/>
      </c>
      <c r="F584" s="26" t="str">
        <f>IF(A584="","",IF(D584="",0,D584*Productos!G584))</f>
        <v/>
      </c>
      <c r="G584" s="26" t="str">
        <f>IF(A584="","",IF(D584="",0,D584*Productos!F584))</f>
        <v/>
      </c>
      <c r="H584" s="26" t="str">
        <f t="shared" si="19"/>
        <v/>
      </c>
      <c r="I584" t="str">
        <f>IF(A584="","",Productos!J584)</f>
        <v/>
      </c>
    </row>
    <row r="585" spans="1:9" x14ac:dyDescent="0.2">
      <c r="A585" s="18" t="str">
        <f>IF(Productos!A585="","",Productos!A585)</f>
        <v/>
      </c>
      <c r="B585" s="18" t="str">
        <f>IF(Productos!B585="","",Productos!B585)</f>
        <v/>
      </c>
      <c r="C585" s="18" t="str">
        <f>IF(Productos!$A585="","",Productos!H585)</f>
        <v/>
      </c>
      <c r="E585" s="18" t="str">
        <f t="shared" si="18"/>
        <v/>
      </c>
      <c r="F585" s="26" t="str">
        <f>IF(A585="","",IF(D585="",0,D585*Productos!G585))</f>
        <v/>
      </c>
      <c r="G585" s="26" t="str">
        <f>IF(A585="","",IF(D585="",0,D585*Productos!F585))</f>
        <v/>
      </c>
      <c r="H585" s="26" t="str">
        <f t="shared" si="19"/>
        <v/>
      </c>
      <c r="I585" t="str">
        <f>IF(A585="","",Productos!J585)</f>
        <v/>
      </c>
    </row>
    <row r="586" spans="1:9" x14ac:dyDescent="0.2">
      <c r="A586" s="18" t="str">
        <f>IF(Productos!A586="","",Productos!A586)</f>
        <v/>
      </c>
      <c r="B586" s="18" t="str">
        <f>IF(Productos!B586="","",Productos!B586)</f>
        <v/>
      </c>
      <c r="C586" s="18" t="str">
        <f>IF(Productos!$A586="","",Productos!H586)</f>
        <v/>
      </c>
      <c r="E586" s="18" t="str">
        <f t="shared" si="18"/>
        <v/>
      </c>
      <c r="F586" s="26" t="str">
        <f>IF(A586="","",IF(D586="",0,D586*Productos!G586))</f>
        <v/>
      </c>
      <c r="G586" s="26" t="str">
        <f>IF(A586="","",IF(D586="",0,D586*Productos!F586))</f>
        <v/>
      </c>
      <c r="H586" s="26" t="str">
        <f t="shared" si="19"/>
        <v/>
      </c>
      <c r="I586" t="str">
        <f>IF(A586="","",Productos!J586)</f>
        <v/>
      </c>
    </row>
    <row r="587" spans="1:9" x14ac:dyDescent="0.2">
      <c r="A587" s="18" t="str">
        <f>IF(Productos!A587="","",Productos!A587)</f>
        <v/>
      </c>
      <c r="B587" s="18" t="str">
        <f>IF(Productos!B587="","",Productos!B587)</f>
        <v/>
      </c>
      <c r="C587" s="18" t="str">
        <f>IF(Productos!$A587="","",Productos!H587)</f>
        <v/>
      </c>
      <c r="E587" s="18" t="str">
        <f t="shared" si="18"/>
        <v/>
      </c>
      <c r="F587" s="26" t="str">
        <f>IF(A587="","",IF(D587="",0,D587*Productos!G587))</f>
        <v/>
      </c>
      <c r="G587" s="26" t="str">
        <f>IF(A587="","",IF(D587="",0,D587*Productos!F587))</f>
        <v/>
      </c>
      <c r="H587" s="26" t="str">
        <f t="shared" si="19"/>
        <v/>
      </c>
      <c r="I587" t="str">
        <f>IF(A587="","",Productos!J587)</f>
        <v/>
      </c>
    </row>
    <row r="588" spans="1:9" x14ac:dyDescent="0.2">
      <c r="A588" s="18" t="str">
        <f>IF(Productos!A588="","",Productos!A588)</f>
        <v/>
      </c>
      <c r="B588" s="18" t="str">
        <f>IF(Productos!B588="","",Productos!B588)</f>
        <v/>
      </c>
      <c r="C588" s="18" t="str">
        <f>IF(Productos!$A588="","",Productos!H588)</f>
        <v/>
      </c>
      <c r="E588" s="18" t="str">
        <f t="shared" si="18"/>
        <v/>
      </c>
      <c r="F588" s="26" t="str">
        <f>IF(A588="","",IF(D588="",0,D588*Productos!G588))</f>
        <v/>
      </c>
      <c r="G588" s="26" t="str">
        <f>IF(A588="","",IF(D588="",0,D588*Productos!F588))</f>
        <v/>
      </c>
      <c r="H588" s="26" t="str">
        <f t="shared" si="19"/>
        <v/>
      </c>
      <c r="I588" t="str">
        <f>IF(A588="","",Productos!J588)</f>
        <v/>
      </c>
    </row>
    <row r="589" spans="1:9" x14ac:dyDescent="0.2">
      <c r="A589" s="18" t="str">
        <f>IF(Productos!A589="","",Productos!A589)</f>
        <v/>
      </c>
      <c r="B589" s="18" t="str">
        <f>IF(Productos!B589="","",Productos!B589)</f>
        <v/>
      </c>
      <c r="C589" s="18" t="str">
        <f>IF(Productos!$A589="","",Productos!H589)</f>
        <v/>
      </c>
      <c r="E589" s="18" t="str">
        <f t="shared" si="18"/>
        <v/>
      </c>
      <c r="F589" s="26" t="str">
        <f>IF(A589="","",IF(D589="",0,D589*Productos!G589))</f>
        <v/>
      </c>
      <c r="G589" s="26" t="str">
        <f>IF(A589="","",IF(D589="",0,D589*Productos!F589))</f>
        <v/>
      </c>
      <c r="H589" s="26" t="str">
        <f t="shared" si="19"/>
        <v/>
      </c>
      <c r="I589" t="str">
        <f>IF(A589="","",Productos!J589)</f>
        <v/>
      </c>
    </row>
    <row r="590" spans="1:9" x14ac:dyDescent="0.2">
      <c r="A590" s="18" t="str">
        <f>IF(Productos!A590="","",Productos!A590)</f>
        <v/>
      </c>
      <c r="B590" s="18" t="str">
        <f>IF(Productos!B590="","",Productos!B590)</f>
        <v/>
      </c>
      <c r="C590" s="18" t="str">
        <f>IF(Productos!$A590="","",Productos!H590)</f>
        <v/>
      </c>
      <c r="E590" s="18" t="str">
        <f t="shared" si="18"/>
        <v/>
      </c>
      <c r="F590" s="26" t="str">
        <f>IF(A590="","",IF(D590="",0,D590*Productos!G590))</f>
        <v/>
      </c>
      <c r="G590" s="26" t="str">
        <f>IF(A590="","",IF(D590="",0,D590*Productos!F590))</f>
        <v/>
      </c>
      <c r="H590" s="26" t="str">
        <f t="shared" si="19"/>
        <v/>
      </c>
      <c r="I590" t="str">
        <f>IF(A590="","",Productos!J590)</f>
        <v/>
      </c>
    </row>
    <row r="591" spans="1:9" x14ac:dyDescent="0.2">
      <c r="A591" s="18" t="str">
        <f>IF(Productos!A591="","",Productos!A591)</f>
        <v/>
      </c>
      <c r="B591" s="18" t="str">
        <f>IF(Productos!B591="","",Productos!B591)</f>
        <v/>
      </c>
      <c r="C591" s="18" t="str">
        <f>IF(Productos!$A591="","",Productos!H591)</f>
        <v/>
      </c>
      <c r="E591" s="18" t="str">
        <f t="shared" si="18"/>
        <v/>
      </c>
      <c r="F591" s="26" t="str">
        <f>IF(A591="","",IF(D591="",0,D591*Productos!G591))</f>
        <v/>
      </c>
      <c r="G591" s="26" t="str">
        <f>IF(A591="","",IF(D591="",0,D591*Productos!F591))</f>
        <v/>
      </c>
      <c r="H591" s="26" t="str">
        <f t="shared" si="19"/>
        <v/>
      </c>
      <c r="I591" t="str">
        <f>IF(A591="","",Productos!J591)</f>
        <v/>
      </c>
    </row>
    <row r="592" spans="1:9" x14ac:dyDescent="0.2">
      <c r="A592" s="18" t="str">
        <f>IF(Productos!A592="","",Productos!A592)</f>
        <v/>
      </c>
      <c r="B592" s="18" t="str">
        <f>IF(Productos!B592="","",Productos!B592)</f>
        <v/>
      </c>
      <c r="C592" s="18" t="str">
        <f>IF(Productos!$A592="","",Productos!H592)</f>
        <v/>
      </c>
      <c r="E592" s="18" t="str">
        <f t="shared" si="18"/>
        <v/>
      </c>
      <c r="F592" s="26" t="str">
        <f>IF(A592="","",IF(D592="",0,D592*Productos!G592))</f>
        <v/>
      </c>
      <c r="G592" s="26" t="str">
        <f>IF(A592="","",IF(D592="",0,D592*Productos!F592))</f>
        <v/>
      </c>
      <c r="H592" s="26" t="str">
        <f t="shared" si="19"/>
        <v/>
      </c>
      <c r="I592" t="str">
        <f>IF(A592="","",Productos!J592)</f>
        <v/>
      </c>
    </row>
    <row r="593" spans="1:9" x14ac:dyDescent="0.2">
      <c r="A593" s="18" t="str">
        <f>IF(Productos!A593="","",Productos!A593)</f>
        <v/>
      </c>
      <c r="B593" s="18" t="str">
        <f>IF(Productos!B593="","",Productos!B593)</f>
        <v/>
      </c>
      <c r="C593" s="18" t="str">
        <f>IF(Productos!$A593="","",Productos!H593)</f>
        <v/>
      </c>
      <c r="E593" s="18" t="str">
        <f t="shared" si="18"/>
        <v/>
      </c>
      <c r="F593" s="26" t="str">
        <f>IF(A593="","",IF(D593="",0,D593*Productos!G593))</f>
        <v/>
      </c>
      <c r="G593" s="26" t="str">
        <f>IF(A593="","",IF(D593="",0,D593*Productos!F593))</f>
        <v/>
      </c>
      <c r="H593" s="26" t="str">
        <f t="shared" si="19"/>
        <v/>
      </c>
      <c r="I593" t="str">
        <f>IF(A593="","",Productos!J593)</f>
        <v/>
      </c>
    </row>
    <row r="594" spans="1:9" x14ac:dyDescent="0.2">
      <c r="A594" s="18" t="str">
        <f>IF(Productos!A594="","",Productos!A594)</f>
        <v/>
      </c>
      <c r="B594" s="18" t="str">
        <f>IF(Productos!B594="","",Productos!B594)</f>
        <v/>
      </c>
      <c r="C594" s="18" t="str">
        <f>IF(Productos!$A594="","",Productos!H594)</f>
        <v/>
      </c>
      <c r="E594" s="18" t="str">
        <f t="shared" si="18"/>
        <v/>
      </c>
      <c r="F594" s="26" t="str">
        <f>IF(A594="","",IF(D594="",0,D594*Productos!G594))</f>
        <v/>
      </c>
      <c r="G594" s="26" t="str">
        <f>IF(A594="","",IF(D594="",0,D594*Productos!F594))</f>
        <v/>
      </c>
      <c r="H594" s="26" t="str">
        <f t="shared" si="19"/>
        <v/>
      </c>
      <c r="I594" t="str">
        <f>IF(A594="","",Productos!J594)</f>
        <v/>
      </c>
    </row>
    <row r="595" spans="1:9" x14ac:dyDescent="0.2">
      <c r="A595" s="18" t="str">
        <f>IF(Productos!A595="","",Productos!A595)</f>
        <v/>
      </c>
      <c r="B595" s="18" t="str">
        <f>IF(Productos!B595="","",Productos!B595)</f>
        <v/>
      </c>
      <c r="C595" s="18" t="str">
        <f>IF(Productos!$A595="","",Productos!H595)</f>
        <v/>
      </c>
      <c r="E595" s="18" t="str">
        <f t="shared" si="18"/>
        <v/>
      </c>
      <c r="F595" s="26" t="str">
        <f>IF(A595="","",IF(D595="",0,D595*Productos!G595))</f>
        <v/>
      </c>
      <c r="G595" s="26" t="str">
        <f>IF(A595="","",IF(D595="",0,D595*Productos!F595))</f>
        <v/>
      </c>
      <c r="H595" s="26" t="str">
        <f t="shared" si="19"/>
        <v/>
      </c>
      <c r="I595" t="str">
        <f>IF(A595="","",Productos!J595)</f>
        <v/>
      </c>
    </row>
    <row r="596" spans="1:9" x14ac:dyDescent="0.2">
      <c r="A596" s="18" t="str">
        <f>IF(Productos!A596="","",Productos!A596)</f>
        <v/>
      </c>
      <c r="B596" s="18" t="str">
        <f>IF(Productos!B596="","",Productos!B596)</f>
        <v/>
      </c>
      <c r="C596" s="18" t="str">
        <f>IF(Productos!$A596="","",Productos!H596)</f>
        <v/>
      </c>
      <c r="E596" s="18" t="str">
        <f t="shared" si="18"/>
        <v/>
      </c>
      <c r="F596" s="26" t="str">
        <f>IF(A596="","",IF(D596="",0,D596*Productos!G596))</f>
        <v/>
      </c>
      <c r="G596" s="26" t="str">
        <f>IF(A596="","",IF(D596="",0,D596*Productos!F596))</f>
        <v/>
      </c>
      <c r="H596" s="26" t="str">
        <f t="shared" si="19"/>
        <v/>
      </c>
      <c r="I596" t="str">
        <f>IF(A596="","",Productos!J596)</f>
        <v/>
      </c>
    </row>
    <row r="597" spans="1:9" x14ac:dyDescent="0.2">
      <c r="A597" s="18" t="str">
        <f>IF(Productos!A597="","",Productos!A597)</f>
        <v/>
      </c>
      <c r="B597" s="18" t="str">
        <f>IF(Productos!B597="","",Productos!B597)</f>
        <v/>
      </c>
      <c r="C597" s="18" t="str">
        <f>IF(Productos!$A597="","",Productos!H597)</f>
        <v/>
      </c>
      <c r="E597" s="18" t="str">
        <f t="shared" si="18"/>
        <v/>
      </c>
      <c r="F597" s="26" t="str">
        <f>IF(A597="","",IF(D597="",0,D597*Productos!G597))</f>
        <v/>
      </c>
      <c r="G597" s="26" t="str">
        <f>IF(A597="","",IF(D597="",0,D597*Productos!F597))</f>
        <v/>
      </c>
      <c r="H597" s="26" t="str">
        <f t="shared" si="19"/>
        <v/>
      </c>
      <c r="I597" t="str">
        <f>IF(A597="","",Productos!J597)</f>
        <v/>
      </c>
    </row>
    <row r="598" spans="1:9" x14ac:dyDescent="0.2">
      <c r="A598" s="18" t="str">
        <f>IF(Productos!A598="","",Productos!A598)</f>
        <v/>
      </c>
      <c r="B598" s="18" t="str">
        <f>IF(Productos!B598="","",Productos!B598)</f>
        <v/>
      </c>
      <c r="C598" s="18" t="str">
        <f>IF(Productos!$A598="","",Productos!H598)</f>
        <v/>
      </c>
      <c r="E598" s="18" t="str">
        <f t="shared" si="18"/>
        <v/>
      </c>
      <c r="F598" s="26" t="str">
        <f>IF(A598="","",IF(D598="",0,D598*Productos!G598))</f>
        <v/>
      </c>
      <c r="G598" s="26" t="str">
        <f>IF(A598="","",IF(D598="",0,D598*Productos!F598))</f>
        <v/>
      </c>
      <c r="H598" s="26" t="str">
        <f t="shared" si="19"/>
        <v/>
      </c>
      <c r="I598" t="str">
        <f>IF(A598="","",Productos!J598)</f>
        <v/>
      </c>
    </row>
    <row r="599" spans="1:9" x14ac:dyDescent="0.2">
      <c r="A599" s="18" t="str">
        <f>IF(Productos!A599="","",Productos!A599)</f>
        <v/>
      </c>
      <c r="B599" s="18" t="str">
        <f>IF(Productos!B599="","",Productos!B599)</f>
        <v/>
      </c>
      <c r="C599" s="18" t="str">
        <f>IF(Productos!$A599="","",Productos!H599)</f>
        <v/>
      </c>
      <c r="E599" s="18" t="str">
        <f t="shared" si="18"/>
        <v/>
      </c>
      <c r="F599" s="26" t="str">
        <f>IF(A599="","",IF(D599="",0,D599*Productos!G599))</f>
        <v/>
      </c>
      <c r="G599" s="26" t="str">
        <f>IF(A599="","",IF(D599="",0,D599*Productos!F599))</f>
        <v/>
      </c>
      <c r="H599" s="26" t="str">
        <f t="shared" si="19"/>
        <v/>
      </c>
      <c r="I599" t="str">
        <f>IF(A599="","",Productos!J599)</f>
        <v/>
      </c>
    </row>
    <row r="600" spans="1:9" x14ac:dyDescent="0.2">
      <c r="A600" s="18" t="str">
        <f>IF(Productos!A600="","",Productos!A600)</f>
        <v/>
      </c>
      <c r="B600" s="18" t="str">
        <f>IF(Productos!B600="","",Productos!B600)</f>
        <v/>
      </c>
      <c r="C600" s="18" t="str">
        <f>IF(Productos!$A600="","",Productos!H600)</f>
        <v/>
      </c>
      <c r="E600" s="18" t="str">
        <f t="shared" si="18"/>
        <v/>
      </c>
      <c r="F600" s="26" t="str">
        <f>IF(A600="","",IF(D600="",0,D600*Productos!G600))</f>
        <v/>
      </c>
      <c r="G600" s="26" t="str">
        <f>IF(A600="","",IF(D600="",0,D600*Productos!F600))</f>
        <v/>
      </c>
      <c r="H600" s="26" t="str">
        <f t="shared" si="19"/>
        <v/>
      </c>
      <c r="I600" t="str">
        <f>IF(A600="","",Productos!J600)</f>
        <v/>
      </c>
    </row>
    <row r="601" spans="1:9" x14ac:dyDescent="0.2">
      <c r="A601" s="18" t="str">
        <f>IF(Productos!A601="","",Productos!A601)</f>
        <v/>
      </c>
      <c r="B601" s="18" t="str">
        <f>IF(Productos!B601="","",Productos!B601)</f>
        <v/>
      </c>
      <c r="C601" s="18" t="str">
        <f>IF(Productos!$A601="","",Productos!H601)</f>
        <v/>
      </c>
      <c r="E601" s="18" t="str">
        <f t="shared" si="18"/>
        <v/>
      </c>
      <c r="F601" s="26" t="str">
        <f>IF(A601="","",IF(D601="",0,D601*Productos!G601))</f>
        <v/>
      </c>
      <c r="G601" s="26" t="str">
        <f>IF(A601="","",IF(D601="",0,D601*Productos!F601))</f>
        <v/>
      </c>
      <c r="H601" s="26" t="str">
        <f t="shared" si="19"/>
        <v/>
      </c>
      <c r="I601" t="str">
        <f>IF(A601="","",Productos!J601)</f>
        <v/>
      </c>
    </row>
    <row r="602" spans="1:9" x14ac:dyDescent="0.2">
      <c r="A602" s="18" t="str">
        <f>IF(Productos!A602="","",Productos!A602)</f>
        <v/>
      </c>
      <c r="B602" s="18" t="str">
        <f>IF(Productos!B602="","",Productos!B602)</f>
        <v/>
      </c>
      <c r="C602" s="18" t="str">
        <f>IF(Productos!$A602="","",Productos!H602)</f>
        <v/>
      </c>
      <c r="E602" s="18" t="str">
        <f t="shared" si="18"/>
        <v/>
      </c>
      <c r="F602" s="26" t="str">
        <f>IF(A602="","",IF(D602="",0,D602*Productos!G602))</f>
        <v/>
      </c>
      <c r="G602" s="26" t="str">
        <f>IF(A602="","",IF(D602="",0,D602*Productos!F602))</f>
        <v/>
      </c>
      <c r="H602" s="26" t="str">
        <f t="shared" si="19"/>
        <v/>
      </c>
      <c r="I602" t="str">
        <f>IF(A602="","",Productos!J602)</f>
        <v/>
      </c>
    </row>
    <row r="603" spans="1:9" x14ac:dyDescent="0.2">
      <c r="A603" s="18" t="str">
        <f>IF(Productos!A603="","",Productos!A603)</f>
        <v/>
      </c>
      <c r="B603" s="18" t="str">
        <f>IF(Productos!B603="","",Productos!B603)</f>
        <v/>
      </c>
      <c r="C603" s="18" t="str">
        <f>IF(Productos!$A603="","",Productos!H603)</f>
        <v/>
      </c>
      <c r="E603" s="18" t="str">
        <f t="shared" si="18"/>
        <v/>
      </c>
      <c r="F603" s="26" t="str">
        <f>IF(A603="","",IF(D603="",0,D603*Productos!G603))</f>
        <v/>
      </c>
      <c r="G603" s="26" t="str">
        <f>IF(A603="","",IF(D603="",0,D603*Productos!F603))</f>
        <v/>
      </c>
      <c r="H603" s="26" t="str">
        <f t="shared" si="19"/>
        <v/>
      </c>
      <c r="I603" t="str">
        <f>IF(A603="","",Productos!J603)</f>
        <v/>
      </c>
    </row>
    <row r="604" spans="1:9" x14ac:dyDescent="0.2">
      <c r="A604" s="18" t="str">
        <f>IF(Productos!A604="","",Productos!A604)</f>
        <v/>
      </c>
      <c r="B604" s="18" t="str">
        <f>IF(Productos!B604="","",Productos!B604)</f>
        <v/>
      </c>
      <c r="C604" s="18" t="str">
        <f>IF(Productos!$A604="","",Productos!H604)</f>
        <v/>
      </c>
      <c r="E604" s="18" t="str">
        <f t="shared" si="18"/>
        <v/>
      </c>
      <c r="F604" s="26" t="str">
        <f>IF(A604="","",IF(D604="",0,D604*Productos!G604))</f>
        <v/>
      </c>
      <c r="G604" s="26" t="str">
        <f>IF(A604="","",IF(D604="",0,D604*Productos!F604))</f>
        <v/>
      </c>
      <c r="H604" s="26" t="str">
        <f t="shared" si="19"/>
        <v/>
      </c>
      <c r="I604" t="str">
        <f>IF(A604="","",Productos!J604)</f>
        <v/>
      </c>
    </row>
    <row r="605" spans="1:9" x14ac:dyDescent="0.2">
      <c r="A605" s="18" t="str">
        <f>IF(Productos!A605="","",Productos!A605)</f>
        <v/>
      </c>
      <c r="B605" s="18" t="str">
        <f>IF(Productos!B605="","",Productos!B605)</f>
        <v/>
      </c>
      <c r="C605" s="18" t="str">
        <f>IF(Productos!$A605="","",Productos!H605)</f>
        <v/>
      </c>
      <c r="E605" s="18" t="str">
        <f t="shared" si="18"/>
        <v/>
      </c>
      <c r="F605" s="26" t="str">
        <f>IF(A605="","",IF(D605="",0,D605*Productos!G605))</f>
        <v/>
      </c>
      <c r="G605" s="26" t="str">
        <f>IF(A605="","",IF(D605="",0,D605*Productos!F605))</f>
        <v/>
      </c>
      <c r="H605" s="26" t="str">
        <f t="shared" si="19"/>
        <v/>
      </c>
      <c r="I605" t="str">
        <f>IF(A605="","",Productos!J605)</f>
        <v/>
      </c>
    </row>
    <row r="606" spans="1:9" x14ac:dyDescent="0.2">
      <c r="A606" s="18" t="str">
        <f>IF(Productos!A606="","",Productos!A606)</f>
        <v/>
      </c>
      <c r="B606" s="18" t="str">
        <f>IF(Productos!B606="","",Productos!B606)</f>
        <v/>
      </c>
      <c r="C606" s="18" t="str">
        <f>IF(Productos!$A606="","",Productos!H606)</f>
        <v/>
      </c>
      <c r="E606" s="18" t="str">
        <f t="shared" si="18"/>
        <v/>
      </c>
      <c r="F606" s="26" t="str">
        <f>IF(A606="","",IF(D606="",0,D606*Productos!G606))</f>
        <v/>
      </c>
      <c r="G606" s="26" t="str">
        <f>IF(A606="","",IF(D606="",0,D606*Productos!F606))</f>
        <v/>
      </c>
      <c r="H606" s="26" t="str">
        <f t="shared" si="19"/>
        <v/>
      </c>
      <c r="I606" t="str">
        <f>IF(A606="","",Productos!J606)</f>
        <v/>
      </c>
    </row>
    <row r="607" spans="1:9" x14ac:dyDescent="0.2">
      <c r="A607" s="18" t="str">
        <f>IF(Productos!A607="","",Productos!A607)</f>
        <v/>
      </c>
      <c r="B607" s="18" t="str">
        <f>IF(Productos!B607="","",Productos!B607)</f>
        <v/>
      </c>
      <c r="C607" s="18" t="str">
        <f>IF(Productos!$A607="","",Productos!H607)</f>
        <v/>
      </c>
      <c r="E607" s="18" t="str">
        <f t="shared" si="18"/>
        <v/>
      </c>
      <c r="F607" s="26" t="str">
        <f>IF(A607="","",IF(D607="",0,D607*Productos!G607))</f>
        <v/>
      </c>
      <c r="G607" s="26" t="str">
        <f>IF(A607="","",IF(D607="",0,D607*Productos!F607))</f>
        <v/>
      </c>
      <c r="H607" s="26" t="str">
        <f t="shared" si="19"/>
        <v/>
      </c>
      <c r="I607" t="str">
        <f>IF(A607="","",Productos!J607)</f>
        <v/>
      </c>
    </row>
    <row r="608" spans="1:9" x14ac:dyDescent="0.2">
      <c r="A608" s="18" t="str">
        <f>IF(Productos!A608="","",Productos!A608)</f>
        <v/>
      </c>
      <c r="B608" s="18" t="str">
        <f>IF(Productos!B608="","",Productos!B608)</f>
        <v/>
      </c>
      <c r="C608" s="18" t="str">
        <f>IF(Productos!$A608="","",Productos!H608)</f>
        <v/>
      </c>
      <c r="E608" s="18" t="str">
        <f t="shared" si="18"/>
        <v/>
      </c>
      <c r="F608" s="26" t="str">
        <f>IF(A608="","",IF(D608="",0,D608*Productos!G608))</f>
        <v/>
      </c>
      <c r="G608" s="26" t="str">
        <f>IF(A608="","",IF(D608="",0,D608*Productos!F608))</f>
        <v/>
      </c>
      <c r="H608" s="26" t="str">
        <f t="shared" si="19"/>
        <v/>
      </c>
      <c r="I608" t="str">
        <f>IF(A608="","",Productos!J608)</f>
        <v/>
      </c>
    </row>
    <row r="609" spans="1:9" x14ac:dyDescent="0.2">
      <c r="A609" s="18" t="str">
        <f>IF(Productos!A609="","",Productos!A609)</f>
        <v/>
      </c>
      <c r="B609" s="18" t="str">
        <f>IF(Productos!B609="","",Productos!B609)</f>
        <v/>
      </c>
      <c r="C609" s="18" t="str">
        <f>IF(Productos!$A609="","",Productos!H609)</f>
        <v/>
      </c>
      <c r="E609" s="18" t="str">
        <f t="shared" si="18"/>
        <v/>
      </c>
      <c r="F609" s="26" t="str">
        <f>IF(A609="","",IF(D609="",0,D609*Productos!G609))</f>
        <v/>
      </c>
      <c r="G609" s="26" t="str">
        <f>IF(A609="","",IF(D609="",0,D609*Productos!F609))</f>
        <v/>
      </c>
      <c r="H609" s="26" t="str">
        <f t="shared" si="19"/>
        <v/>
      </c>
      <c r="I609" t="str">
        <f>IF(A609="","",Productos!J609)</f>
        <v/>
      </c>
    </row>
    <row r="610" spans="1:9" x14ac:dyDescent="0.2">
      <c r="A610" s="18" t="str">
        <f>IF(Productos!A610="","",Productos!A610)</f>
        <v/>
      </c>
      <c r="B610" s="18" t="str">
        <f>IF(Productos!B610="","",Productos!B610)</f>
        <v/>
      </c>
      <c r="C610" s="18" t="str">
        <f>IF(Productos!$A610="","",Productos!H610)</f>
        <v/>
      </c>
      <c r="E610" s="18" t="str">
        <f t="shared" si="18"/>
        <v/>
      </c>
      <c r="F610" s="26" t="str">
        <f>IF(A610="","",IF(D610="",0,D610*Productos!G610))</f>
        <v/>
      </c>
      <c r="G610" s="26" t="str">
        <f>IF(A610="","",IF(D610="",0,D610*Productos!F610))</f>
        <v/>
      </c>
      <c r="H610" s="26" t="str">
        <f t="shared" si="19"/>
        <v/>
      </c>
      <c r="I610" t="str">
        <f>IF(A610="","",Productos!J610)</f>
        <v/>
      </c>
    </row>
    <row r="611" spans="1:9" x14ac:dyDescent="0.2">
      <c r="A611" s="18" t="str">
        <f>IF(Productos!A611="","",Productos!A611)</f>
        <v/>
      </c>
      <c r="B611" s="18" t="str">
        <f>IF(Productos!B611="","",Productos!B611)</f>
        <v/>
      </c>
      <c r="C611" s="18" t="str">
        <f>IF(Productos!$A611="","",Productos!H611)</f>
        <v/>
      </c>
      <c r="E611" s="18" t="str">
        <f t="shared" si="18"/>
        <v/>
      </c>
      <c r="F611" s="26" t="str">
        <f>IF(A611="","",IF(D611="",0,D611*Productos!G611))</f>
        <v/>
      </c>
      <c r="G611" s="26" t="str">
        <f>IF(A611="","",IF(D611="",0,D611*Productos!F611))</f>
        <v/>
      </c>
      <c r="H611" s="26" t="str">
        <f t="shared" si="19"/>
        <v/>
      </c>
      <c r="I611" t="str">
        <f>IF(A611="","",Productos!J611)</f>
        <v/>
      </c>
    </row>
    <row r="612" spans="1:9" x14ac:dyDescent="0.2">
      <c r="A612" s="18" t="str">
        <f>IF(Productos!A612="","",Productos!A612)</f>
        <v/>
      </c>
      <c r="B612" s="18" t="str">
        <f>IF(Productos!B612="","",Productos!B612)</f>
        <v/>
      </c>
      <c r="C612" s="18" t="str">
        <f>IF(Productos!$A612="","",Productos!H612)</f>
        <v/>
      </c>
      <c r="E612" s="18" t="str">
        <f t="shared" si="18"/>
        <v/>
      </c>
      <c r="F612" s="26" t="str">
        <f>IF(A612="","",IF(D612="",0,D612*Productos!G612))</f>
        <v/>
      </c>
      <c r="G612" s="26" t="str">
        <f>IF(A612="","",IF(D612="",0,D612*Productos!F612))</f>
        <v/>
      </c>
      <c r="H612" s="26" t="str">
        <f t="shared" si="19"/>
        <v/>
      </c>
      <c r="I612" t="str">
        <f>IF(A612="","",Productos!J612)</f>
        <v/>
      </c>
    </row>
    <row r="613" spans="1:9" x14ac:dyDescent="0.2">
      <c r="A613" s="18" t="str">
        <f>IF(Productos!A613="","",Productos!A613)</f>
        <v/>
      </c>
      <c r="B613" s="18" t="str">
        <f>IF(Productos!B613="","",Productos!B613)</f>
        <v/>
      </c>
      <c r="C613" s="18" t="str">
        <f>IF(Productos!$A613="","",Productos!H613)</f>
        <v/>
      </c>
      <c r="E613" s="18" t="str">
        <f t="shared" si="18"/>
        <v/>
      </c>
      <c r="F613" s="26" t="str">
        <f>IF(A613="","",IF(D613="",0,D613*Productos!G613))</f>
        <v/>
      </c>
      <c r="G613" s="26" t="str">
        <f>IF(A613="","",IF(D613="",0,D613*Productos!F613))</f>
        <v/>
      </c>
      <c r="H613" s="26" t="str">
        <f t="shared" si="19"/>
        <v/>
      </c>
      <c r="I613" t="str">
        <f>IF(A613="","",Productos!J613)</f>
        <v/>
      </c>
    </row>
    <row r="614" spans="1:9" x14ac:dyDescent="0.2">
      <c r="A614" s="18" t="str">
        <f>IF(Productos!A614="","",Productos!A614)</f>
        <v/>
      </c>
      <c r="B614" s="18" t="str">
        <f>IF(Productos!B614="","",Productos!B614)</f>
        <v/>
      </c>
      <c r="C614" s="18" t="str">
        <f>IF(Productos!$A614="","",Productos!H614)</f>
        <v/>
      </c>
      <c r="E614" s="18" t="str">
        <f t="shared" si="18"/>
        <v/>
      </c>
      <c r="F614" s="26" t="str">
        <f>IF(A614="","",IF(D614="",0,D614*Productos!G614))</f>
        <v/>
      </c>
      <c r="G614" s="26" t="str">
        <f>IF(A614="","",IF(D614="",0,D614*Productos!F614))</f>
        <v/>
      </c>
      <c r="H614" s="26" t="str">
        <f t="shared" si="19"/>
        <v/>
      </c>
      <c r="I614" t="str">
        <f>IF(A614="","",Productos!J614)</f>
        <v/>
      </c>
    </row>
    <row r="615" spans="1:9" x14ac:dyDescent="0.2">
      <c r="A615" s="18" t="str">
        <f>IF(Productos!A615="","",Productos!A615)</f>
        <v/>
      </c>
      <c r="B615" s="18" t="str">
        <f>IF(Productos!B615="","",Productos!B615)</f>
        <v/>
      </c>
      <c r="C615" s="18" t="str">
        <f>IF(Productos!$A615="","",Productos!H615)</f>
        <v/>
      </c>
      <c r="E615" s="18" t="str">
        <f t="shared" si="18"/>
        <v/>
      </c>
      <c r="F615" s="26" t="str">
        <f>IF(A615="","",IF(D615="",0,D615*Productos!G615))</f>
        <v/>
      </c>
      <c r="G615" s="26" t="str">
        <f>IF(A615="","",IF(D615="",0,D615*Productos!F615))</f>
        <v/>
      </c>
      <c r="H615" s="26" t="str">
        <f t="shared" si="19"/>
        <v/>
      </c>
      <c r="I615" t="str">
        <f>IF(A615="","",Productos!J615)</f>
        <v/>
      </c>
    </row>
    <row r="616" spans="1:9" x14ac:dyDescent="0.2">
      <c r="A616" s="18" t="str">
        <f>IF(Productos!A616="","",Productos!A616)</f>
        <v/>
      </c>
      <c r="B616" s="18" t="str">
        <f>IF(Productos!B616="","",Productos!B616)</f>
        <v/>
      </c>
      <c r="C616" s="18" t="str">
        <f>IF(Productos!$A616="","",Productos!H616)</f>
        <v/>
      </c>
      <c r="E616" s="18" t="str">
        <f t="shared" si="18"/>
        <v/>
      </c>
      <c r="F616" s="26" t="str">
        <f>IF(A616="","",IF(D616="",0,D616*Productos!G616))</f>
        <v/>
      </c>
      <c r="G616" s="26" t="str">
        <f>IF(A616="","",IF(D616="",0,D616*Productos!F616))</f>
        <v/>
      </c>
      <c r="H616" s="26" t="str">
        <f t="shared" si="19"/>
        <v/>
      </c>
      <c r="I616" t="str">
        <f>IF(A616="","",Productos!J616)</f>
        <v/>
      </c>
    </row>
    <row r="617" spans="1:9" x14ac:dyDescent="0.2">
      <c r="A617" s="18" t="str">
        <f>IF(Productos!A617="","",Productos!A617)</f>
        <v/>
      </c>
      <c r="B617" s="18" t="str">
        <f>IF(Productos!B617="","",Productos!B617)</f>
        <v/>
      </c>
      <c r="C617" s="18" t="str">
        <f>IF(Productos!$A617="","",Productos!H617)</f>
        <v/>
      </c>
      <c r="E617" s="18" t="str">
        <f t="shared" si="18"/>
        <v/>
      </c>
      <c r="F617" s="26" t="str">
        <f>IF(A617="","",IF(D617="",0,D617*Productos!G617))</f>
        <v/>
      </c>
      <c r="G617" s="26" t="str">
        <f>IF(A617="","",IF(D617="",0,D617*Productos!F617))</f>
        <v/>
      </c>
      <c r="H617" s="26" t="str">
        <f t="shared" si="19"/>
        <v/>
      </c>
      <c r="I617" t="str">
        <f>IF(A617="","",Productos!J617)</f>
        <v/>
      </c>
    </row>
    <row r="618" spans="1:9" x14ac:dyDescent="0.2">
      <c r="A618" s="18" t="str">
        <f>IF(Productos!A618="","",Productos!A618)</f>
        <v/>
      </c>
      <c r="B618" s="18" t="str">
        <f>IF(Productos!B618="","",Productos!B618)</f>
        <v/>
      </c>
      <c r="C618" s="18" t="str">
        <f>IF(Productos!$A618="","",Productos!H618)</f>
        <v/>
      </c>
      <c r="E618" s="18" t="str">
        <f t="shared" si="18"/>
        <v/>
      </c>
      <c r="F618" s="26" t="str">
        <f>IF(A618="","",IF(D618="",0,D618*Productos!G618))</f>
        <v/>
      </c>
      <c r="G618" s="26" t="str">
        <f>IF(A618="","",IF(D618="",0,D618*Productos!F618))</f>
        <v/>
      </c>
      <c r="H618" s="26" t="str">
        <f t="shared" si="19"/>
        <v/>
      </c>
      <c r="I618" t="str">
        <f>IF(A618="","",Productos!J618)</f>
        <v/>
      </c>
    </row>
    <row r="619" spans="1:9" x14ac:dyDescent="0.2">
      <c r="A619" s="18" t="str">
        <f>IF(Productos!A619="","",Productos!A619)</f>
        <v/>
      </c>
      <c r="B619" s="18" t="str">
        <f>IF(Productos!B619="","",Productos!B619)</f>
        <v/>
      </c>
      <c r="C619" s="18" t="str">
        <f>IF(Productos!$A619="","",Productos!H619)</f>
        <v/>
      </c>
      <c r="E619" s="18" t="str">
        <f t="shared" si="18"/>
        <v/>
      </c>
      <c r="F619" s="26" t="str">
        <f>IF(A619="","",IF(D619="",0,D619*Productos!G619))</f>
        <v/>
      </c>
      <c r="G619" s="26" t="str">
        <f>IF(A619="","",IF(D619="",0,D619*Productos!F619))</f>
        <v/>
      </c>
      <c r="H619" s="26" t="str">
        <f t="shared" si="19"/>
        <v/>
      </c>
      <c r="I619" t="str">
        <f>IF(A619="","",Productos!J619)</f>
        <v/>
      </c>
    </row>
    <row r="620" spans="1:9" x14ac:dyDescent="0.2">
      <c r="A620" s="18" t="str">
        <f>IF(Productos!A620="","",Productos!A620)</f>
        <v/>
      </c>
      <c r="B620" s="18" t="str">
        <f>IF(Productos!B620="","",Productos!B620)</f>
        <v/>
      </c>
      <c r="C620" s="18" t="str">
        <f>IF(Productos!$A620="","",Productos!H620)</f>
        <v/>
      </c>
      <c r="E620" s="18" t="str">
        <f t="shared" si="18"/>
        <v/>
      </c>
      <c r="F620" s="26" t="str">
        <f>IF(A620="","",IF(D620="",0,D620*Productos!G620))</f>
        <v/>
      </c>
      <c r="G620" s="26" t="str">
        <f>IF(A620="","",IF(D620="",0,D620*Productos!F620))</f>
        <v/>
      </c>
      <c r="H620" s="26" t="str">
        <f t="shared" si="19"/>
        <v/>
      </c>
      <c r="I620" t="str">
        <f>IF(A620="","",Productos!J620)</f>
        <v/>
      </c>
    </row>
    <row r="621" spans="1:9" x14ac:dyDescent="0.2">
      <c r="A621" s="18" t="str">
        <f>IF(Productos!A621="","",Productos!A621)</f>
        <v/>
      </c>
      <c r="B621" s="18" t="str">
        <f>IF(Productos!B621="","",Productos!B621)</f>
        <v/>
      </c>
      <c r="C621" s="18" t="str">
        <f>IF(Productos!$A621="","",Productos!H621)</f>
        <v/>
      </c>
      <c r="E621" s="18" t="str">
        <f t="shared" si="18"/>
        <v/>
      </c>
      <c r="F621" s="26" t="str">
        <f>IF(A621="","",IF(D621="",0,D621*Productos!G621))</f>
        <v/>
      </c>
      <c r="G621" s="26" t="str">
        <f>IF(A621="","",IF(D621="",0,D621*Productos!F621))</f>
        <v/>
      </c>
      <c r="H621" s="26" t="str">
        <f t="shared" si="19"/>
        <v/>
      </c>
      <c r="I621" t="str">
        <f>IF(A621="","",Productos!J621)</f>
        <v/>
      </c>
    </row>
    <row r="622" spans="1:9" x14ac:dyDescent="0.2">
      <c r="A622" s="18" t="str">
        <f>IF(Productos!A622="","",Productos!A622)</f>
        <v/>
      </c>
      <c r="B622" s="18" t="str">
        <f>IF(Productos!B622="","",Productos!B622)</f>
        <v/>
      </c>
      <c r="C622" s="18" t="str">
        <f>IF(Productos!$A622="","",Productos!H622)</f>
        <v/>
      </c>
      <c r="E622" s="18" t="str">
        <f t="shared" si="18"/>
        <v/>
      </c>
      <c r="F622" s="26" t="str">
        <f>IF(A622="","",IF(D622="",0,D622*Productos!G622))</f>
        <v/>
      </c>
      <c r="G622" s="26" t="str">
        <f>IF(A622="","",IF(D622="",0,D622*Productos!F622))</f>
        <v/>
      </c>
      <c r="H622" s="26" t="str">
        <f t="shared" si="19"/>
        <v/>
      </c>
      <c r="I622" t="str">
        <f>IF(A622="","",Productos!J622)</f>
        <v/>
      </c>
    </row>
    <row r="623" spans="1:9" x14ac:dyDescent="0.2">
      <c r="A623" s="18" t="str">
        <f>IF(Productos!A623="","",Productos!A623)</f>
        <v/>
      </c>
      <c r="B623" s="18" t="str">
        <f>IF(Productos!B623="","",Productos!B623)</f>
        <v/>
      </c>
      <c r="C623" s="18" t="str">
        <f>IF(Productos!$A623="","",Productos!H623)</f>
        <v/>
      </c>
      <c r="E623" s="18" t="str">
        <f t="shared" si="18"/>
        <v/>
      </c>
      <c r="F623" s="26" t="str">
        <f>IF(A623="","",IF(D623="",0,D623*Productos!G623))</f>
        <v/>
      </c>
      <c r="G623" s="26" t="str">
        <f>IF(A623="","",IF(D623="",0,D623*Productos!F623))</f>
        <v/>
      </c>
      <c r="H623" s="26" t="str">
        <f t="shared" si="19"/>
        <v/>
      </c>
      <c r="I623" t="str">
        <f>IF(A623="","",Productos!J623)</f>
        <v/>
      </c>
    </row>
    <row r="624" spans="1:9" x14ac:dyDescent="0.2">
      <c r="A624" s="18" t="str">
        <f>IF(Productos!A624="","",Productos!A624)</f>
        <v/>
      </c>
      <c r="B624" s="18" t="str">
        <f>IF(Productos!B624="","",Productos!B624)</f>
        <v/>
      </c>
      <c r="C624" s="18" t="str">
        <f>IF(Productos!$A624="","",Productos!H624)</f>
        <v/>
      </c>
      <c r="E624" s="18" t="str">
        <f t="shared" si="18"/>
        <v/>
      </c>
      <c r="F624" s="26" t="str">
        <f>IF(A624="","",IF(D624="",0,D624*Productos!G624))</f>
        <v/>
      </c>
      <c r="G624" s="26" t="str">
        <f>IF(A624="","",IF(D624="",0,D624*Productos!F624))</f>
        <v/>
      </c>
      <c r="H624" s="26" t="str">
        <f t="shared" si="19"/>
        <v/>
      </c>
      <c r="I624" t="str">
        <f>IF(A624="","",Productos!J624)</f>
        <v/>
      </c>
    </row>
    <row r="625" spans="1:9" x14ac:dyDescent="0.2">
      <c r="A625" s="18" t="str">
        <f>IF(Productos!A625="","",Productos!A625)</f>
        <v/>
      </c>
      <c r="B625" s="18" t="str">
        <f>IF(Productos!B625="","",Productos!B625)</f>
        <v/>
      </c>
      <c r="C625" s="18" t="str">
        <f>IF(Productos!$A625="","",Productos!H625)</f>
        <v/>
      </c>
      <c r="E625" s="18" t="str">
        <f t="shared" si="18"/>
        <v/>
      </c>
      <c r="F625" s="26" t="str">
        <f>IF(A625="","",IF(D625="",0,D625*Productos!G625))</f>
        <v/>
      </c>
      <c r="G625" s="26" t="str">
        <f>IF(A625="","",IF(D625="",0,D625*Productos!F625))</f>
        <v/>
      </c>
      <c r="H625" s="26" t="str">
        <f t="shared" si="19"/>
        <v/>
      </c>
      <c r="I625" t="str">
        <f>IF(A625="","",Productos!J625)</f>
        <v/>
      </c>
    </row>
    <row r="626" spans="1:9" x14ac:dyDescent="0.2">
      <c r="A626" s="18" t="str">
        <f>IF(Productos!A626="","",Productos!A626)</f>
        <v/>
      </c>
      <c r="B626" s="18" t="str">
        <f>IF(Productos!B626="","",Productos!B626)</f>
        <v/>
      </c>
      <c r="C626" s="18" t="str">
        <f>IF(Productos!$A626="","",Productos!H626)</f>
        <v/>
      </c>
      <c r="E626" s="18" t="str">
        <f t="shared" si="18"/>
        <v/>
      </c>
      <c r="F626" s="26" t="str">
        <f>IF(A626="","",IF(D626="",0,D626*Productos!G626))</f>
        <v/>
      </c>
      <c r="G626" s="26" t="str">
        <f>IF(A626="","",IF(D626="",0,D626*Productos!F626))</f>
        <v/>
      </c>
      <c r="H626" s="26" t="str">
        <f t="shared" si="19"/>
        <v/>
      </c>
      <c r="I626" t="str">
        <f>IF(A626="","",Productos!J626)</f>
        <v/>
      </c>
    </row>
    <row r="627" spans="1:9" x14ac:dyDescent="0.2">
      <c r="A627" s="18" t="str">
        <f>IF(Productos!A627="","",Productos!A627)</f>
        <v/>
      </c>
      <c r="B627" s="18" t="str">
        <f>IF(Productos!B627="","",Productos!B627)</f>
        <v/>
      </c>
      <c r="C627" s="18" t="str">
        <f>IF(Productos!$A627="","",Productos!H627)</f>
        <v/>
      </c>
      <c r="E627" s="18" t="str">
        <f t="shared" si="18"/>
        <v/>
      </c>
      <c r="F627" s="26" t="str">
        <f>IF(A627="","",IF(D627="",0,D627*Productos!G627))</f>
        <v/>
      </c>
      <c r="G627" s="26" t="str">
        <f>IF(A627="","",IF(D627="",0,D627*Productos!F627))</f>
        <v/>
      </c>
      <c r="H627" s="26" t="str">
        <f t="shared" si="19"/>
        <v/>
      </c>
      <c r="I627" t="str">
        <f>IF(A627="","",Productos!J627)</f>
        <v/>
      </c>
    </row>
    <row r="628" spans="1:9" x14ac:dyDescent="0.2">
      <c r="A628" s="18" t="str">
        <f>IF(Productos!A628="","",Productos!A628)</f>
        <v/>
      </c>
      <c r="B628" s="18" t="str">
        <f>IF(Productos!B628="","",Productos!B628)</f>
        <v/>
      </c>
      <c r="C628" s="18" t="str">
        <f>IF(Productos!$A628="","",Productos!H628)</f>
        <v/>
      </c>
      <c r="E628" s="18" t="str">
        <f t="shared" si="18"/>
        <v/>
      </c>
      <c r="F628" s="26" t="str">
        <f>IF(A628="","",IF(D628="",0,D628*Productos!G628))</f>
        <v/>
      </c>
      <c r="G628" s="26" t="str">
        <f>IF(A628="","",IF(D628="",0,D628*Productos!F628))</f>
        <v/>
      </c>
      <c r="H628" s="26" t="str">
        <f t="shared" si="19"/>
        <v/>
      </c>
      <c r="I628" t="str">
        <f>IF(A628="","",Productos!J628)</f>
        <v/>
      </c>
    </row>
    <row r="629" spans="1:9" x14ac:dyDescent="0.2">
      <c r="A629" s="18" t="str">
        <f>IF(Productos!A629="","",Productos!A629)</f>
        <v/>
      </c>
      <c r="B629" s="18" t="str">
        <f>IF(Productos!B629="","",Productos!B629)</f>
        <v/>
      </c>
      <c r="C629" s="18" t="str">
        <f>IF(Productos!$A629="","",Productos!H629)</f>
        <v/>
      </c>
      <c r="E629" s="18" t="str">
        <f t="shared" si="18"/>
        <v/>
      </c>
      <c r="F629" s="26" t="str">
        <f>IF(A629="","",IF(D629="",0,D629*Productos!G629))</f>
        <v/>
      </c>
      <c r="G629" s="26" t="str">
        <f>IF(A629="","",IF(D629="",0,D629*Productos!F629))</f>
        <v/>
      </c>
      <c r="H629" s="26" t="str">
        <f t="shared" si="19"/>
        <v/>
      </c>
      <c r="I629" t="str">
        <f>IF(A629="","",Productos!J629)</f>
        <v/>
      </c>
    </row>
    <row r="630" spans="1:9" x14ac:dyDescent="0.2">
      <c r="A630" s="18" t="str">
        <f>IF(Productos!A630="","",Productos!A630)</f>
        <v/>
      </c>
      <c r="B630" s="18" t="str">
        <f>IF(Productos!B630="","",Productos!B630)</f>
        <v/>
      </c>
      <c r="C630" s="18" t="str">
        <f>IF(Productos!$A630="","",Productos!H630)</f>
        <v/>
      </c>
      <c r="E630" s="18" t="str">
        <f t="shared" si="18"/>
        <v/>
      </c>
      <c r="F630" s="26" t="str">
        <f>IF(A630="","",IF(D630="",0,D630*Productos!G630))</f>
        <v/>
      </c>
      <c r="G630" s="26" t="str">
        <f>IF(A630="","",IF(D630="",0,D630*Productos!F630))</f>
        <v/>
      </c>
      <c r="H630" s="26" t="str">
        <f t="shared" si="19"/>
        <v/>
      </c>
      <c r="I630" t="str">
        <f>IF(A630="","",Productos!J630)</f>
        <v/>
      </c>
    </row>
    <row r="631" spans="1:9" x14ac:dyDescent="0.2">
      <c r="A631" s="18" t="str">
        <f>IF(Productos!A631="","",Productos!A631)</f>
        <v/>
      </c>
      <c r="B631" s="18" t="str">
        <f>IF(Productos!B631="","",Productos!B631)</f>
        <v/>
      </c>
      <c r="C631" s="18" t="str">
        <f>IF(Productos!$A631="","",Productos!H631)</f>
        <v/>
      </c>
      <c r="E631" s="18" t="str">
        <f t="shared" si="18"/>
        <v/>
      </c>
      <c r="F631" s="26" t="str">
        <f>IF(A631="","",IF(D631="",0,D631*Productos!G631))</f>
        <v/>
      </c>
      <c r="G631" s="26" t="str">
        <f>IF(A631="","",IF(D631="",0,D631*Productos!F631))</f>
        <v/>
      </c>
      <c r="H631" s="26" t="str">
        <f t="shared" si="19"/>
        <v/>
      </c>
      <c r="I631" t="str">
        <f>IF(A631="","",Productos!J631)</f>
        <v/>
      </c>
    </row>
    <row r="632" spans="1:9" x14ac:dyDescent="0.2">
      <c r="A632" s="18" t="str">
        <f>IF(Productos!A632="","",Productos!A632)</f>
        <v/>
      </c>
      <c r="B632" s="18" t="str">
        <f>IF(Productos!B632="","",Productos!B632)</f>
        <v/>
      </c>
      <c r="C632" s="18" t="str">
        <f>IF(Productos!$A632="","",Productos!H632)</f>
        <v/>
      </c>
      <c r="E632" s="18" t="str">
        <f t="shared" si="18"/>
        <v/>
      </c>
      <c r="F632" s="26" t="str">
        <f>IF(A632="","",IF(D632="",0,D632*Productos!G632))</f>
        <v/>
      </c>
      <c r="G632" s="26" t="str">
        <f>IF(A632="","",IF(D632="",0,D632*Productos!F632))</f>
        <v/>
      </c>
      <c r="H632" s="26" t="str">
        <f t="shared" si="19"/>
        <v/>
      </c>
      <c r="I632" t="str">
        <f>IF(A632="","",Productos!J632)</f>
        <v/>
      </c>
    </row>
    <row r="633" spans="1:9" x14ac:dyDescent="0.2">
      <c r="A633" s="18" t="str">
        <f>IF(Productos!A633="","",Productos!A633)</f>
        <v/>
      </c>
      <c r="B633" s="18" t="str">
        <f>IF(Productos!B633="","",Productos!B633)</f>
        <v/>
      </c>
      <c r="C633" s="18" t="str">
        <f>IF(Productos!$A633="","",Productos!H633)</f>
        <v/>
      </c>
      <c r="E633" s="18" t="str">
        <f t="shared" si="18"/>
        <v/>
      </c>
      <c r="F633" s="26" t="str">
        <f>IF(A633="","",IF(D633="",0,D633*Productos!G633))</f>
        <v/>
      </c>
      <c r="G633" s="26" t="str">
        <f>IF(A633="","",IF(D633="",0,D633*Productos!F633))</f>
        <v/>
      </c>
      <c r="H633" s="26" t="str">
        <f t="shared" si="19"/>
        <v/>
      </c>
      <c r="I633" t="str">
        <f>IF(A633="","",Productos!J633)</f>
        <v/>
      </c>
    </row>
    <row r="634" spans="1:9" x14ac:dyDescent="0.2">
      <c r="A634" s="18" t="str">
        <f>IF(Productos!A634="","",Productos!A634)</f>
        <v/>
      </c>
      <c r="B634" s="18" t="str">
        <f>IF(Productos!B634="","",Productos!B634)</f>
        <v/>
      </c>
      <c r="C634" s="18" t="str">
        <f>IF(Productos!$A634="","",Productos!H634)</f>
        <v/>
      </c>
      <c r="E634" s="18" t="str">
        <f t="shared" si="18"/>
        <v/>
      </c>
      <c r="F634" s="26" t="str">
        <f>IF(A634="","",IF(D634="",0,D634*Productos!G634))</f>
        <v/>
      </c>
      <c r="G634" s="26" t="str">
        <f>IF(A634="","",IF(D634="",0,D634*Productos!F634))</f>
        <v/>
      </c>
      <c r="H634" s="26" t="str">
        <f t="shared" si="19"/>
        <v/>
      </c>
      <c r="I634" t="str">
        <f>IF(A634="","",Productos!J634)</f>
        <v/>
      </c>
    </row>
    <row r="635" spans="1:9" x14ac:dyDescent="0.2">
      <c r="A635" s="18" t="str">
        <f>IF(Productos!A635="","",Productos!A635)</f>
        <v/>
      </c>
      <c r="B635" s="18" t="str">
        <f>IF(Productos!B635="","",Productos!B635)</f>
        <v/>
      </c>
      <c r="C635" s="18" t="str">
        <f>IF(Productos!$A635="","",Productos!H635)</f>
        <v/>
      </c>
      <c r="E635" s="18" t="str">
        <f t="shared" si="18"/>
        <v/>
      </c>
      <c r="F635" s="26" t="str">
        <f>IF(A635="","",IF(D635="",0,D635*Productos!G635))</f>
        <v/>
      </c>
      <c r="G635" s="26" t="str">
        <f>IF(A635="","",IF(D635="",0,D635*Productos!F635))</f>
        <v/>
      </c>
      <c r="H635" s="26" t="str">
        <f t="shared" si="19"/>
        <v/>
      </c>
      <c r="I635" t="str">
        <f>IF(A635="","",Productos!J635)</f>
        <v/>
      </c>
    </row>
    <row r="636" spans="1:9" x14ac:dyDescent="0.2">
      <c r="A636" s="18" t="str">
        <f>IF(Productos!A636="","",Productos!A636)</f>
        <v/>
      </c>
      <c r="B636" s="18" t="str">
        <f>IF(Productos!B636="","",Productos!B636)</f>
        <v/>
      </c>
      <c r="C636" s="18" t="str">
        <f>IF(Productos!$A636="","",Productos!H636)</f>
        <v/>
      </c>
      <c r="E636" s="18" t="str">
        <f t="shared" si="18"/>
        <v/>
      </c>
      <c r="F636" s="26" t="str">
        <f>IF(A636="","",IF(D636="",0,D636*Productos!G636))</f>
        <v/>
      </c>
      <c r="G636" s="26" t="str">
        <f>IF(A636="","",IF(D636="",0,D636*Productos!F636))</f>
        <v/>
      </c>
      <c r="H636" s="26" t="str">
        <f t="shared" si="19"/>
        <v/>
      </c>
      <c r="I636" t="str">
        <f>IF(A636="","",Productos!J636)</f>
        <v/>
      </c>
    </row>
    <row r="637" spans="1:9" x14ac:dyDescent="0.2">
      <c r="A637" s="18" t="str">
        <f>IF(Productos!A637="","",Productos!A637)</f>
        <v/>
      </c>
      <c r="B637" s="18" t="str">
        <f>IF(Productos!B637="","",Productos!B637)</f>
        <v/>
      </c>
      <c r="C637" s="18" t="str">
        <f>IF(Productos!$A637="","",Productos!H637)</f>
        <v/>
      </c>
      <c r="E637" s="18" t="str">
        <f t="shared" si="18"/>
        <v/>
      </c>
      <c r="F637" s="26" t="str">
        <f>IF(A637="","",IF(D637="",0,D637*Productos!G637))</f>
        <v/>
      </c>
      <c r="G637" s="26" t="str">
        <f>IF(A637="","",IF(D637="",0,D637*Productos!F637))</f>
        <v/>
      </c>
      <c r="H637" s="26" t="str">
        <f t="shared" si="19"/>
        <v/>
      </c>
      <c r="I637" t="str">
        <f>IF(A637="","",Productos!J637)</f>
        <v/>
      </c>
    </row>
    <row r="638" spans="1:9" x14ac:dyDescent="0.2">
      <c r="A638" s="18" t="str">
        <f>IF(Productos!A638="","",Productos!A638)</f>
        <v/>
      </c>
      <c r="B638" s="18" t="str">
        <f>IF(Productos!B638="","",Productos!B638)</f>
        <v/>
      </c>
      <c r="C638" s="18" t="str">
        <f>IF(Productos!$A638="","",Productos!H638)</f>
        <v/>
      </c>
      <c r="E638" s="18" t="str">
        <f t="shared" si="18"/>
        <v/>
      </c>
      <c r="F638" s="26" t="str">
        <f>IF(A638="","",IF(D638="",0,D638*Productos!G638))</f>
        <v/>
      </c>
      <c r="G638" s="26" t="str">
        <f>IF(A638="","",IF(D638="",0,D638*Productos!F638))</f>
        <v/>
      </c>
      <c r="H638" s="26" t="str">
        <f t="shared" si="19"/>
        <v/>
      </c>
      <c r="I638" t="str">
        <f>IF(A638="","",Productos!J638)</f>
        <v/>
      </c>
    </row>
    <row r="639" spans="1:9" x14ac:dyDescent="0.2">
      <c r="A639" s="18" t="str">
        <f>IF(Productos!A639="","",Productos!A639)</f>
        <v/>
      </c>
      <c r="B639" s="18" t="str">
        <f>IF(Productos!B639="","",Productos!B639)</f>
        <v/>
      </c>
      <c r="C639" s="18" t="str">
        <f>IF(Productos!$A639="","",Productos!H639)</f>
        <v/>
      </c>
      <c r="E639" s="18" t="str">
        <f t="shared" si="18"/>
        <v/>
      </c>
      <c r="F639" s="26" t="str">
        <f>IF(A639="","",IF(D639="",0,D639*Productos!G639))</f>
        <v/>
      </c>
      <c r="G639" s="26" t="str">
        <f>IF(A639="","",IF(D639="",0,D639*Productos!F639))</f>
        <v/>
      </c>
      <c r="H639" s="26" t="str">
        <f t="shared" si="19"/>
        <v/>
      </c>
      <c r="I639" t="str">
        <f>IF(A639="","",Productos!J639)</f>
        <v/>
      </c>
    </row>
    <row r="640" spans="1:9" x14ac:dyDescent="0.2">
      <c r="A640" s="18" t="str">
        <f>IF(Productos!A640="","",Productos!A640)</f>
        <v/>
      </c>
      <c r="B640" s="18" t="str">
        <f>IF(Productos!B640="","",Productos!B640)</f>
        <v/>
      </c>
      <c r="C640" s="18" t="str">
        <f>IF(Productos!$A640="","",Productos!H640)</f>
        <v/>
      </c>
      <c r="E640" s="18" t="str">
        <f t="shared" si="18"/>
        <v/>
      </c>
      <c r="F640" s="26" t="str">
        <f>IF(A640="","",IF(D640="",0,D640*Productos!G640))</f>
        <v/>
      </c>
      <c r="G640" s="26" t="str">
        <f>IF(A640="","",IF(D640="",0,D640*Productos!F640))</f>
        <v/>
      </c>
      <c r="H640" s="26" t="str">
        <f t="shared" si="19"/>
        <v/>
      </c>
      <c r="I640" t="str">
        <f>IF(A640="","",Productos!J640)</f>
        <v/>
      </c>
    </row>
    <row r="641" spans="1:9" x14ac:dyDescent="0.2">
      <c r="A641" s="18" t="str">
        <f>IF(Productos!A641="","",Productos!A641)</f>
        <v/>
      </c>
      <c r="B641" s="18" t="str">
        <f>IF(Productos!B641="","",Productos!B641)</f>
        <v/>
      </c>
      <c r="C641" s="18" t="str">
        <f>IF(Productos!$A641="","",Productos!H641)</f>
        <v/>
      </c>
      <c r="E641" s="18" t="str">
        <f t="shared" si="18"/>
        <v/>
      </c>
      <c r="F641" s="26" t="str">
        <f>IF(A641="","",IF(D641="",0,D641*Productos!G641))</f>
        <v/>
      </c>
      <c r="G641" s="26" t="str">
        <f>IF(A641="","",IF(D641="",0,D641*Productos!F641))</f>
        <v/>
      </c>
      <c r="H641" s="26" t="str">
        <f t="shared" si="19"/>
        <v/>
      </c>
      <c r="I641" t="str">
        <f>IF(A641="","",Productos!J641)</f>
        <v/>
      </c>
    </row>
    <row r="642" spans="1:9" x14ac:dyDescent="0.2">
      <c r="A642" s="18" t="str">
        <f>IF(Productos!A642="","",Productos!A642)</f>
        <v/>
      </c>
      <c r="B642" s="18" t="str">
        <f>IF(Productos!B642="","",Productos!B642)</f>
        <v/>
      </c>
      <c r="C642" s="18" t="str">
        <f>IF(Productos!$A642="","",Productos!H642)</f>
        <v/>
      </c>
      <c r="E642" s="18" t="str">
        <f t="shared" si="18"/>
        <v/>
      </c>
      <c r="F642" s="26" t="str">
        <f>IF(A642="","",IF(D642="",0,D642*Productos!G642))</f>
        <v/>
      </c>
      <c r="G642" s="26" t="str">
        <f>IF(A642="","",IF(D642="",0,D642*Productos!F642))</f>
        <v/>
      </c>
      <c r="H642" s="26" t="str">
        <f t="shared" si="19"/>
        <v/>
      </c>
      <c r="I642" t="str">
        <f>IF(A642="","",Productos!J642)</f>
        <v/>
      </c>
    </row>
    <row r="643" spans="1:9" x14ac:dyDescent="0.2">
      <c r="A643" s="18" t="str">
        <f>IF(Productos!A643="","",Productos!A643)</f>
        <v/>
      </c>
      <c r="B643" s="18" t="str">
        <f>IF(Productos!B643="","",Productos!B643)</f>
        <v/>
      </c>
      <c r="C643" s="18" t="str">
        <f>IF(Productos!$A643="","",Productos!H643)</f>
        <v/>
      </c>
      <c r="E643" s="18" t="str">
        <f t="shared" ref="E643:E706" si="20">IF(C643="","",C643-IF(D643="",0,D643))</f>
        <v/>
      </c>
      <c r="F643" s="26" t="str">
        <f>IF(A643="","",IF(D643="",0,D643*Productos!G643))</f>
        <v/>
      </c>
      <c r="G643" s="26" t="str">
        <f>IF(A643="","",IF(D643="",0,D643*Productos!F643))</f>
        <v/>
      </c>
      <c r="H643" s="26" t="str">
        <f t="shared" ref="H643:H706" si="21">IF(A643="","",F643-G643)</f>
        <v/>
      </c>
      <c r="I643" t="str">
        <f>IF(A643="","",Productos!J643)</f>
        <v/>
      </c>
    </row>
    <row r="644" spans="1:9" x14ac:dyDescent="0.2">
      <c r="A644" s="18" t="str">
        <f>IF(Productos!A644="","",Productos!A644)</f>
        <v/>
      </c>
      <c r="B644" s="18" t="str">
        <f>IF(Productos!B644="","",Productos!B644)</f>
        <v/>
      </c>
      <c r="C644" s="18" t="str">
        <f>IF(Productos!$A644="","",Productos!H644)</f>
        <v/>
      </c>
      <c r="E644" s="18" t="str">
        <f t="shared" si="20"/>
        <v/>
      </c>
      <c r="F644" s="26" t="str">
        <f>IF(A644="","",IF(D644="",0,D644*Productos!G644))</f>
        <v/>
      </c>
      <c r="G644" s="26" t="str">
        <f>IF(A644="","",IF(D644="",0,D644*Productos!F644))</f>
        <v/>
      </c>
      <c r="H644" s="26" t="str">
        <f t="shared" si="21"/>
        <v/>
      </c>
      <c r="I644" t="str">
        <f>IF(A644="","",Productos!J644)</f>
        <v/>
      </c>
    </row>
    <row r="645" spans="1:9" x14ac:dyDescent="0.2">
      <c r="A645" s="18" t="str">
        <f>IF(Productos!A645="","",Productos!A645)</f>
        <v/>
      </c>
      <c r="B645" s="18" t="str">
        <f>IF(Productos!B645="","",Productos!B645)</f>
        <v/>
      </c>
      <c r="C645" s="18" t="str">
        <f>IF(Productos!$A645="","",Productos!H645)</f>
        <v/>
      </c>
      <c r="E645" s="18" t="str">
        <f t="shared" si="20"/>
        <v/>
      </c>
      <c r="F645" s="26" t="str">
        <f>IF(A645="","",IF(D645="",0,D645*Productos!G645))</f>
        <v/>
      </c>
      <c r="G645" s="26" t="str">
        <f>IF(A645="","",IF(D645="",0,D645*Productos!F645))</f>
        <v/>
      </c>
      <c r="H645" s="26" t="str">
        <f t="shared" si="21"/>
        <v/>
      </c>
      <c r="I645" t="str">
        <f>IF(A645="","",Productos!J645)</f>
        <v/>
      </c>
    </row>
    <row r="646" spans="1:9" x14ac:dyDescent="0.2">
      <c r="A646" s="18" t="str">
        <f>IF(Productos!A646="","",Productos!A646)</f>
        <v/>
      </c>
      <c r="B646" s="18" t="str">
        <f>IF(Productos!B646="","",Productos!B646)</f>
        <v/>
      </c>
      <c r="C646" s="18" t="str">
        <f>IF(Productos!$A646="","",Productos!H646)</f>
        <v/>
      </c>
      <c r="E646" s="18" t="str">
        <f t="shared" si="20"/>
        <v/>
      </c>
      <c r="F646" s="26" t="str">
        <f>IF(A646="","",IF(D646="",0,D646*Productos!G646))</f>
        <v/>
      </c>
      <c r="G646" s="26" t="str">
        <f>IF(A646="","",IF(D646="",0,D646*Productos!F646))</f>
        <v/>
      </c>
      <c r="H646" s="26" t="str">
        <f t="shared" si="21"/>
        <v/>
      </c>
      <c r="I646" t="str">
        <f>IF(A646="","",Productos!J646)</f>
        <v/>
      </c>
    </row>
    <row r="647" spans="1:9" x14ac:dyDescent="0.2">
      <c r="A647" s="18" t="str">
        <f>IF(Productos!A647="","",Productos!A647)</f>
        <v/>
      </c>
      <c r="B647" s="18" t="str">
        <f>IF(Productos!B647="","",Productos!B647)</f>
        <v/>
      </c>
      <c r="C647" s="18" t="str">
        <f>IF(Productos!$A647="","",Productos!H647)</f>
        <v/>
      </c>
      <c r="E647" s="18" t="str">
        <f t="shared" si="20"/>
        <v/>
      </c>
      <c r="F647" s="26" t="str">
        <f>IF(A647="","",IF(D647="",0,D647*Productos!G647))</f>
        <v/>
      </c>
      <c r="G647" s="26" t="str">
        <f>IF(A647="","",IF(D647="",0,D647*Productos!F647))</f>
        <v/>
      </c>
      <c r="H647" s="26" t="str">
        <f t="shared" si="21"/>
        <v/>
      </c>
      <c r="I647" t="str">
        <f>IF(A647="","",Productos!J647)</f>
        <v/>
      </c>
    </row>
    <row r="648" spans="1:9" x14ac:dyDescent="0.2">
      <c r="A648" s="18" t="str">
        <f>IF(Productos!A648="","",Productos!A648)</f>
        <v/>
      </c>
      <c r="B648" s="18" t="str">
        <f>IF(Productos!B648="","",Productos!B648)</f>
        <v/>
      </c>
      <c r="C648" s="18" t="str">
        <f>IF(Productos!$A648="","",Productos!H648)</f>
        <v/>
      </c>
      <c r="E648" s="18" t="str">
        <f t="shared" si="20"/>
        <v/>
      </c>
      <c r="F648" s="26" t="str">
        <f>IF(A648="","",IF(D648="",0,D648*Productos!G648))</f>
        <v/>
      </c>
      <c r="G648" s="26" t="str">
        <f>IF(A648="","",IF(D648="",0,D648*Productos!F648))</f>
        <v/>
      </c>
      <c r="H648" s="26" t="str">
        <f t="shared" si="21"/>
        <v/>
      </c>
      <c r="I648" t="str">
        <f>IF(A648="","",Productos!J648)</f>
        <v/>
      </c>
    </row>
    <row r="649" spans="1:9" x14ac:dyDescent="0.2">
      <c r="A649" s="18" t="str">
        <f>IF(Productos!A649="","",Productos!A649)</f>
        <v/>
      </c>
      <c r="B649" s="18" t="str">
        <f>IF(Productos!B649="","",Productos!B649)</f>
        <v/>
      </c>
      <c r="C649" s="18" t="str">
        <f>IF(Productos!$A649="","",Productos!H649)</f>
        <v/>
      </c>
      <c r="E649" s="18" t="str">
        <f t="shared" si="20"/>
        <v/>
      </c>
      <c r="F649" s="26" t="str">
        <f>IF(A649="","",IF(D649="",0,D649*Productos!G649))</f>
        <v/>
      </c>
      <c r="G649" s="26" t="str">
        <f>IF(A649="","",IF(D649="",0,D649*Productos!F649))</f>
        <v/>
      </c>
      <c r="H649" s="26" t="str">
        <f t="shared" si="21"/>
        <v/>
      </c>
      <c r="I649" t="str">
        <f>IF(A649="","",Productos!J649)</f>
        <v/>
      </c>
    </row>
    <row r="650" spans="1:9" x14ac:dyDescent="0.2">
      <c r="A650" s="18" t="str">
        <f>IF(Productos!A650="","",Productos!A650)</f>
        <v/>
      </c>
      <c r="B650" s="18" t="str">
        <f>IF(Productos!B650="","",Productos!B650)</f>
        <v/>
      </c>
      <c r="C650" s="18" t="str">
        <f>IF(Productos!$A650="","",Productos!H650)</f>
        <v/>
      </c>
      <c r="E650" s="18" t="str">
        <f t="shared" si="20"/>
        <v/>
      </c>
      <c r="F650" s="26" t="str">
        <f>IF(A650="","",IF(D650="",0,D650*Productos!G650))</f>
        <v/>
      </c>
      <c r="G650" s="26" t="str">
        <f>IF(A650="","",IF(D650="",0,D650*Productos!F650))</f>
        <v/>
      </c>
      <c r="H650" s="26" t="str">
        <f t="shared" si="21"/>
        <v/>
      </c>
      <c r="I650" t="str">
        <f>IF(A650="","",Productos!J650)</f>
        <v/>
      </c>
    </row>
    <row r="651" spans="1:9" x14ac:dyDescent="0.2">
      <c r="A651" s="18" t="str">
        <f>IF(Productos!A651="","",Productos!A651)</f>
        <v/>
      </c>
      <c r="B651" s="18" t="str">
        <f>IF(Productos!B651="","",Productos!B651)</f>
        <v/>
      </c>
      <c r="C651" s="18" t="str">
        <f>IF(Productos!$A651="","",Productos!H651)</f>
        <v/>
      </c>
      <c r="E651" s="18" t="str">
        <f t="shared" si="20"/>
        <v/>
      </c>
      <c r="F651" s="26" t="str">
        <f>IF(A651="","",IF(D651="",0,D651*Productos!G651))</f>
        <v/>
      </c>
      <c r="G651" s="26" t="str">
        <f>IF(A651="","",IF(D651="",0,D651*Productos!F651))</f>
        <v/>
      </c>
      <c r="H651" s="26" t="str">
        <f t="shared" si="21"/>
        <v/>
      </c>
      <c r="I651" t="str">
        <f>IF(A651="","",Productos!J651)</f>
        <v/>
      </c>
    </row>
    <row r="652" spans="1:9" x14ac:dyDescent="0.2">
      <c r="A652" s="18" t="str">
        <f>IF(Productos!A652="","",Productos!A652)</f>
        <v/>
      </c>
      <c r="B652" s="18" t="str">
        <f>IF(Productos!B652="","",Productos!B652)</f>
        <v/>
      </c>
      <c r="C652" s="18" t="str">
        <f>IF(Productos!$A652="","",Productos!H652)</f>
        <v/>
      </c>
      <c r="E652" s="18" t="str">
        <f t="shared" si="20"/>
        <v/>
      </c>
      <c r="F652" s="26" t="str">
        <f>IF(A652="","",IF(D652="",0,D652*Productos!G652))</f>
        <v/>
      </c>
      <c r="G652" s="26" t="str">
        <f>IF(A652="","",IF(D652="",0,D652*Productos!F652))</f>
        <v/>
      </c>
      <c r="H652" s="26" t="str">
        <f t="shared" si="21"/>
        <v/>
      </c>
      <c r="I652" t="str">
        <f>IF(A652="","",Productos!J652)</f>
        <v/>
      </c>
    </row>
    <row r="653" spans="1:9" x14ac:dyDescent="0.2">
      <c r="A653" s="18" t="str">
        <f>IF(Productos!A653="","",Productos!A653)</f>
        <v/>
      </c>
      <c r="B653" s="18" t="str">
        <f>IF(Productos!B653="","",Productos!B653)</f>
        <v/>
      </c>
      <c r="C653" s="18" t="str">
        <f>IF(Productos!$A653="","",Productos!H653)</f>
        <v/>
      </c>
      <c r="E653" s="18" t="str">
        <f t="shared" si="20"/>
        <v/>
      </c>
      <c r="F653" s="26" t="str">
        <f>IF(A653="","",IF(D653="",0,D653*Productos!G653))</f>
        <v/>
      </c>
      <c r="G653" s="26" t="str">
        <f>IF(A653="","",IF(D653="",0,D653*Productos!F653))</f>
        <v/>
      </c>
      <c r="H653" s="26" t="str">
        <f t="shared" si="21"/>
        <v/>
      </c>
      <c r="I653" t="str">
        <f>IF(A653="","",Productos!J653)</f>
        <v/>
      </c>
    </row>
    <row r="654" spans="1:9" x14ac:dyDescent="0.2">
      <c r="A654" s="18" t="str">
        <f>IF(Productos!A654="","",Productos!A654)</f>
        <v/>
      </c>
      <c r="B654" s="18" t="str">
        <f>IF(Productos!B654="","",Productos!B654)</f>
        <v/>
      </c>
      <c r="C654" s="18" t="str">
        <f>IF(Productos!$A654="","",Productos!H654)</f>
        <v/>
      </c>
      <c r="E654" s="18" t="str">
        <f t="shared" si="20"/>
        <v/>
      </c>
      <c r="F654" s="26" t="str">
        <f>IF(A654="","",IF(D654="",0,D654*Productos!G654))</f>
        <v/>
      </c>
      <c r="G654" s="26" t="str">
        <f>IF(A654="","",IF(D654="",0,D654*Productos!F654))</f>
        <v/>
      </c>
      <c r="H654" s="26" t="str">
        <f t="shared" si="21"/>
        <v/>
      </c>
      <c r="I654" t="str">
        <f>IF(A654="","",Productos!J654)</f>
        <v/>
      </c>
    </row>
    <row r="655" spans="1:9" x14ac:dyDescent="0.2">
      <c r="A655" s="18" t="str">
        <f>IF(Productos!A655="","",Productos!A655)</f>
        <v/>
      </c>
      <c r="B655" s="18" t="str">
        <f>IF(Productos!B655="","",Productos!B655)</f>
        <v/>
      </c>
      <c r="C655" s="18" t="str">
        <f>IF(Productos!$A655="","",Productos!H655)</f>
        <v/>
      </c>
      <c r="E655" s="18" t="str">
        <f t="shared" si="20"/>
        <v/>
      </c>
      <c r="F655" s="26" t="str">
        <f>IF(A655="","",IF(D655="",0,D655*Productos!G655))</f>
        <v/>
      </c>
      <c r="G655" s="26" t="str">
        <f>IF(A655="","",IF(D655="",0,D655*Productos!F655))</f>
        <v/>
      </c>
      <c r="H655" s="26" t="str">
        <f t="shared" si="21"/>
        <v/>
      </c>
      <c r="I655" t="str">
        <f>IF(A655="","",Productos!J655)</f>
        <v/>
      </c>
    </row>
    <row r="656" spans="1:9" x14ac:dyDescent="0.2">
      <c r="A656" s="18" t="str">
        <f>IF(Productos!A656="","",Productos!A656)</f>
        <v/>
      </c>
      <c r="B656" s="18" t="str">
        <f>IF(Productos!B656="","",Productos!B656)</f>
        <v/>
      </c>
      <c r="C656" s="18" t="str">
        <f>IF(Productos!$A656="","",Productos!H656)</f>
        <v/>
      </c>
      <c r="E656" s="18" t="str">
        <f t="shared" si="20"/>
        <v/>
      </c>
      <c r="F656" s="26" t="str">
        <f>IF(A656="","",IF(D656="",0,D656*Productos!G656))</f>
        <v/>
      </c>
      <c r="G656" s="26" t="str">
        <f>IF(A656="","",IF(D656="",0,D656*Productos!F656))</f>
        <v/>
      </c>
      <c r="H656" s="26" t="str">
        <f t="shared" si="21"/>
        <v/>
      </c>
      <c r="I656" t="str">
        <f>IF(A656="","",Productos!J656)</f>
        <v/>
      </c>
    </row>
    <row r="657" spans="1:9" x14ac:dyDescent="0.2">
      <c r="A657" s="18" t="str">
        <f>IF(Productos!A657="","",Productos!A657)</f>
        <v/>
      </c>
      <c r="B657" s="18" t="str">
        <f>IF(Productos!B657="","",Productos!B657)</f>
        <v/>
      </c>
      <c r="C657" s="18" t="str">
        <f>IF(Productos!$A657="","",Productos!H657)</f>
        <v/>
      </c>
      <c r="E657" s="18" t="str">
        <f t="shared" si="20"/>
        <v/>
      </c>
      <c r="F657" s="26" t="str">
        <f>IF(A657="","",IF(D657="",0,D657*Productos!G657))</f>
        <v/>
      </c>
      <c r="G657" s="26" t="str">
        <f>IF(A657="","",IF(D657="",0,D657*Productos!F657))</f>
        <v/>
      </c>
      <c r="H657" s="26" t="str">
        <f t="shared" si="21"/>
        <v/>
      </c>
      <c r="I657" t="str">
        <f>IF(A657="","",Productos!J657)</f>
        <v/>
      </c>
    </row>
    <row r="658" spans="1:9" x14ac:dyDescent="0.2">
      <c r="A658" s="18" t="str">
        <f>IF(Productos!A658="","",Productos!A658)</f>
        <v/>
      </c>
      <c r="B658" s="18" t="str">
        <f>IF(Productos!B658="","",Productos!B658)</f>
        <v/>
      </c>
      <c r="C658" s="18" t="str">
        <f>IF(Productos!$A658="","",Productos!H658)</f>
        <v/>
      </c>
      <c r="E658" s="18" t="str">
        <f t="shared" si="20"/>
        <v/>
      </c>
      <c r="F658" s="26" t="str">
        <f>IF(A658="","",IF(D658="",0,D658*Productos!G658))</f>
        <v/>
      </c>
      <c r="G658" s="26" t="str">
        <f>IF(A658="","",IF(D658="",0,D658*Productos!F658))</f>
        <v/>
      </c>
      <c r="H658" s="26" t="str">
        <f t="shared" si="21"/>
        <v/>
      </c>
      <c r="I658" t="str">
        <f>IF(A658="","",Productos!J658)</f>
        <v/>
      </c>
    </row>
    <row r="659" spans="1:9" x14ac:dyDescent="0.2">
      <c r="A659" s="18" t="str">
        <f>IF(Productos!A659="","",Productos!A659)</f>
        <v/>
      </c>
      <c r="B659" s="18" t="str">
        <f>IF(Productos!B659="","",Productos!B659)</f>
        <v/>
      </c>
      <c r="C659" s="18" t="str">
        <f>IF(Productos!$A659="","",Productos!H659)</f>
        <v/>
      </c>
      <c r="E659" s="18" t="str">
        <f t="shared" si="20"/>
        <v/>
      </c>
      <c r="F659" s="26" t="str">
        <f>IF(A659="","",IF(D659="",0,D659*Productos!G659))</f>
        <v/>
      </c>
      <c r="G659" s="26" t="str">
        <f>IF(A659="","",IF(D659="",0,D659*Productos!F659))</f>
        <v/>
      </c>
      <c r="H659" s="26" t="str">
        <f t="shared" si="21"/>
        <v/>
      </c>
      <c r="I659" t="str">
        <f>IF(A659="","",Productos!J659)</f>
        <v/>
      </c>
    </row>
    <row r="660" spans="1:9" x14ac:dyDescent="0.2">
      <c r="A660" s="18" t="str">
        <f>IF(Productos!A660="","",Productos!A660)</f>
        <v/>
      </c>
      <c r="B660" s="18" t="str">
        <f>IF(Productos!B660="","",Productos!B660)</f>
        <v/>
      </c>
      <c r="C660" s="18" t="str">
        <f>IF(Productos!$A660="","",Productos!H660)</f>
        <v/>
      </c>
      <c r="E660" s="18" t="str">
        <f t="shared" si="20"/>
        <v/>
      </c>
      <c r="F660" s="26" t="str">
        <f>IF(A660="","",IF(D660="",0,D660*Productos!G660))</f>
        <v/>
      </c>
      <c r="G660" s="26" t="str">
        <f>IF(A660="","",IF(D660="",0,D660*Productos!F660))</f>
        <v/>
      </c>
      <c r="H660" s="26" t="str">
        <f t="shared" si="21"/>
        <v/>
      </c>
      <c r="I660" t="str">
        <f>IF(A660="","",Productos!J660)</f>
        <v/>
      </c>
    </row>
    <row r="661" spans="1:9" x14ac:dyDescent="0.2">
      <c r="A661" s="18" t="str">
        <f>IF(Productos!A661="","",Productos!A661)</f>
        <v/>
      </c>
      <c r="B661" s="18" t="str">
        <f>IF(Productos!B661="","",Productos!B661)</f>
        <v/>
      </c>
      <c r="C661" s="18" t="str">
        <f>IF(Productos!$A661="","",Productos!H661)</f>
        <v/>
      </c>
      <c r="E661" s="18" t="str">
        <f t="shared" si="20"/>
        <v/>
      </c>
      <c r="F661" s="26" t="str">
        <f>IF(A661="","",IF(D661="",0,D661*Productos!G661))</f>
        <v/>
      </c>
      <c r="G661" s="26" t="str">
        <f>IF(A661="","",IF(D661="",0,D661*Productos!F661))</f>
        <v/>
      </c>
      <c r="H661" s="26" t="str">
        <f t="shared" si="21"/>
        <v/>
      </c>
      <c r="I661" t="str">
        <f>IF(A661="","",Productos!J661)</f>
        <v/>
      </c>
    </row>
    <row r="662" spans="1:9" x14ac:dyDescent="0.2">
      <c r="A662" s="18" t="str">
        <f>IF(Productos!A662="","",Productos!A662)</f>
        <v/>
      </c>
      <c r="B662" s="18" t="str">
        <f>IF(Productos!B662="","",Productos!B662)</f>
        <v/>
      </c>
      <c r="C662" s="18" t="str">
        <f>IF(Productos!$A662="","",Productos!H662)</f>
        <v/>
      </c>
      <c r="E662" s="18" t="str">
        <f t="shared" si="20"/>
        <v/>
      </c>
      <c r="F662" s="26" t="str">
        <f>IF(A662="","",IF(D662="",0,D662*Productos!G662))</f>
        <v/>
      </c>
      <c r="G662" s="26" t="str">
        <f>IF(A662="","",IF(D662="",0,D662*Productos!F662))</f>
        <v/>
      </c>
      <c r="H662" s="26" t="str">
        <f t="shared" si="21"/>
        <v/>
      </c>
      <c r="I662" t="str">
        <f>IF(A662="","",Productos!J662)</f>
        <v/>
      </c>
    </row>
    <row r="663" spans="1:9" x14ac:dyDescent="0.2">
      <c r="A663" s="18" t="str">
        <f>IF(Productos!A663="","",Productos!A663)</f>
        <v/>
      </c>
      <c r="B663" s="18" t="str">
        <f>IF(Productos!B663="","",Productos!B663)</f>
        <v/>
      </c>
      <c r="C663" s="18" t="str">
        <f>IF(Productos!$A663="","",Productos!H663)</f>
        <v/>
      </c>
      <c r="E663" s="18" t="str">
        <f t="shared" si="20"/>
        <v/>
      </c>
      <c r="F663" s="26" t="str">
        <f>IF(A663="","",IF(D663="",0,D663*Productos!G663))</f>
        <v/>
      </c>
      <c r="G663" s="26" t="str">
        <f>IF(A663="","",IF(D663="",0,D663*Productos!F663))</f>
        <v/>
      </c>
      <c r="H663" s="26" t="str">
        <f t="shared" si="21"/>
        <v/>
      </c>
      <c r="I663" t="str">
        <f>IF(A663="","",Productos!J663)</f>
        <v/>
      </c>
    </row>
    <row r="664" spans="1:9" x14ac:dyDescent="0.2">
      <c r="A664" s="18" t="str">
        <f>IF(Productos!A664="","",Productos!A664)</f>
        <v/>
      </c>
      <c r="B664" s="18" t="str">
        <f>IF(Productos!B664="","",Productos!B664)</f>
        <v/>
      </c>
      <c r="C664" s="18" t="str">
        <f>IF(Productos!$A664="","",Productos!H664)</f>
        <v/>
      </c>
      <c r="E664" s="18" t="str">
        <f t="shared" si="20"/>
        <v/>
      </c>
      <c r="F664" s="26" t="str">
        <f>IF(A664="","",IF(D664="",0,D664*Productos!G664))</f>
        <v/>
      </c>
      <c r="G664" s="26" t="str">
        <f>IF(A664="","",IF(D664="",0,D664*Productos!F664))</f>
        <v/>
      </c>
      <c r="H664" s="26" t="str">
        <f t="shared" si="21"/>
        <v/>
      </c>
      <c r="I664" t="str">
        <f>IF(A664="","",Productos!J664)</f>
        <v/>
      </c>
    </row>
    <row r="665" spans="1:9" x14ac:dyDescent="0.2">
      <c r="A665" s="18" t="str">
        <f>IF(Productos!A665="","",Productos!A665)</f>
        <v/>
      </c>
      <c r="B665" s="18" t="str">
        <f>IF(Productos!B665="","",Productos!B665)</f>
        <v/>
      </c>
      <c r="C665" s="18" t="str">
        <f>IF(Productos!$A665="","",Productos!H665)</f>
        <v/>
      </c>
      <c r="E665" s="18" t="str">
        <f t="shared" si="20"/>
        <v/>
      </c>
      <c r="F665" s="26" t="str">
        <f>IF(A665="","",IF(D665="",0,D665*Productos!G665))</f>
        <v/>
      </c>
      <c r="G665" s="26" t="str">
        <f>IF(A665="","",IF(D665="",0,D665*Productos!F665))</f>
        <v/>
      </c>
      <c r="H665" s="26" t="str">
        <f t="shared" si="21"/>
        <v/>
      </c>
      <c r="I665" t="str">
        <f>IF(A665="","",Productos!J665)</f>
        <v/>
      </c>
    </row>
    <row r="666" spans="1:9" x14ac:dyDescent="0.2">
      <c r="A666" s="18" t="str">
        <f>IF(Productos!A666="","",Productos!A666)</f>
        <v/>
      </c>
      <c r="B666" s="18" t="str">
        <f>IF(Productos!B666="","",Productos!B666)</f>
        <v/>
      </c>
      <c r="C666" s="18" t="str">
        <f>IF(Productos!$A666="","",Productos!H666)</f>
        <v/>
      </c>
      <c r="E666" s="18" t="str">
        <f t="shared" si="20"/>
        <v/>
      </c>
      <c r="F666" s="26" t="str">
        <f>IF(A666="","",IF(D666="",0,D666*Productos!G666))</f>
        <v/>
      </c>
      <c r="G666" s="26" t="str">
        <f>IF(A666="","",IF(D666="",0,D666*Productos!F666))</f>
        <v/>
      </c>
      <c r="H666" s="26" t="str">
        <f t="shared" si="21"/>
        <v/>
      </c>
      <c r="I666" t="str">
        <f>IF(A666="","",Productos!J666)</f>
        <v/>
      </c>
    </row>
    <row r="667" spans="1:9" x14ac:dyDescent="0.2">
      <c r="A667" s="18" t="str">
        <f>IF(Productos!A667="","",Productos!A667)</f>
        <v/>
      </c>
      <c r="B667" s="18" t="str">
        <f>IF(Productos!B667="","",Productos!B667)</f>
        <v/>
      </c>
      <c r="C667" s="18" t="str">
        <f>IF(Productos!$A667="","",Productos!H667)</f>
        <v/>
      </c>
      <c r="E667" s="18" t="str">
        <f t="shared" si="20"/>
        <v/>
      </c>
      <c r="F667" s="26" t="str">
        <f>IF(A667="","",IF(D667="",0,D667*Productos!G667))</f>
        <v/>
      </c>
      <c r="G667" s="26" t="str">
        <f>IF(A667="","",IF(D667="",0,D667*Productos!F667))</f>
        <v/>
      </c>
      <c r="H667" s="26" t="str">
        <f t="shared" si="21"/>
        <v/>
      </c>
      <c r="I667" t="str">
        <f>IF(A667="","",Productos!J667)</f>
        <v/>
      </c>
    </row>
    <row r="668" spans="1:9" x14ac:dyDescent="0.2">
      <c r="A668" s="18" t="str">
        <f>IF(Productos!A668="","",Productos!A668)</f>
        <v/>
      </c>
      <c r="B668" s="18" t="str">
        <f>IF(Productos!B668="","",Productos!B668)</f>
        <v/>
      </c>
      <c r="C668" s="18" t="str">
        <f>IF(Productos!$A668="","",Productos!H668)</f>
        <v/>
      </c>
      <c r="E668" s="18" t="str">
        <f t="shared" si="20"/>
        <v/>
      </c>
      <c r="F668" s="26" t="str">
        <f>IF(A668="","",IF(D668="",0,D668*Productos!G668))</f>
        <v/>
      </c>
      <c r="G668" s="26" t="str">
        <f>IF(A668="","",IF(D668="",0,D668*Productos!F668))</f>
        <v/>
      </c>
      <c r="H668" s="26" t="str">
        <f t="shared" si="21"/>
        <v/>
      </c>
      <c r="I668" t="str">
        <f>IF(A668="","",Productos!J668)</f>
        <v/>
      </c>
    </row>
    <row r="669" spans="1:9" x14ac:dyDescent="0.2">
      <c r="A669" s="18" t="str">
        <f>IF(Productos!A669="","",Productos!A669)</f>
        <v/>
      </c>
      <c r="B669" s="18" t="str">
        <f>IF(Productos!B669="","",Productos!B669)</f>
        <v/>
      </c>
      <c r="C669" s="18" t="str">
        <f>IF(Productos!$A669="","",Productos!H669)</f>
        <v/>
      </c>
      <c r="E669" s="18" t="str">
        <f t="shared" si="20"/>
        <v/>
      </c>
      <c r="F669" s="26" t="str">
        <f>IF(A669="","",IF(D669="",0,D669*Productos!G669))</f>
        <v/>
      </c>
      <c r="G669" s="26" t="str">
        <f>IF(A669="","",IF(D669="",0,D669*Productos!F669))</f>
        <v/>
      </c>
      <c r="H669" s="26" t="str">
        <f t="shared" si="21"/>
        <v/>
      </c>
      <c r="I669" t="str">
        <f>IF(A669="","",Productos!J669)</f>
        <v/>
      </c>
    </row>
    <row r="670" spans="1:9" x14ac:dyDescent="0.2">
      <c r="A670" s="18" t="str">
        <f>IF(Productos!A670="","",Productos!A670)</f>
        <v/>
      </c>
      <c r="B670" s="18" t="str">
        <f>IF(Productos!B670="","",Productos!B670)</f>
        <v/>
      </c>
      <c r="C670" s="18" t="str">
        <f>IF(Productos!$A670="","",Productos!H670)</f>
        <v/>
      </c>
      <c r="E670" s="18" t="str">
        <f t="shared" si="20"/>
        <v/>
      </c>
      <c r="F670" s="26" t="str">
        <f>IF(A670="","",IF(D670="",0,D670*Productos!G670))</f>
        <v/>
      </c>
      <c r="G670" s="26" t="str">
        <f>IF(A670="","",IF(D670="",0,D670*Productos!F670))</f>
        <v/>
      </c>
      <c r="H670" s="26" t="str">
        <f t="shared" si="21"/>
        <v/>
      </c>
      <c r="I670" t="str">
        <f>IF(A670="","",Productos!J670)</f>
        <v/>
      </c>
    </row>
    <row r="671" spans="1:9" x14ac:dyDescent="0.2">
      <c r="A671" s="18" t="str">
        <f>IF(Productos!A671="","",Productos!A671)</f>
        <v/>
      </c>
      <c r="B671" s="18" t="str">
        <f>IF(Productos!B671="","",Productos!B671)</f>
        <v/>
      </c>
      <c r="C671" s="18" t="str">
        <f>IF(Productos!$A671="","",Productos!H671)</f>
        <v/>
      </c>
      <c r="E671" s="18" t="str">
        <f t="shared" si="20"/>
        <v/>
      </c>
      <c r="F671" s="26" t="str">
        <f>IF(A671="","",IF(D671="",0,D671*Productos!G671))</f>
        <v/>
      </c>
      <c r="G671" s="26" t="str">
        <f>IF(A671="","",IF(D671="",0,D671*Productos!F671))</f>
        <v/>
      </c>
      <c r="H671" s="26" t="str">
        <f t="shared" si="21"/>
        <v/>
      </c>
      <c r="I671" t="str">
        <f>IF(A671="","",Productos!J671)</f>
        <v/>
      </c>
    </row>
    <row r="672" spans="1:9" x14ac:dyDescent="0.2">
      <c r="A672" s="18" t="str">
        <f>IF(Productos!A672="","",Productos!A672)</f>
        <v/>
      </c>
      <c r="B672" s="18" t="str">
        <f>IF(Productos!B672="","",Productos!B672)</f>
        <v/>
      </c>
      <c r="C672" s="18" t="str">
        <f>IF(Productos!$A672="","",Productos!H672)</f>
        <v/>
      </c>
      <c r="E672" s="18" t="str">
        <f t="shared" si="20"/>
        <v/>
      </c>
      <c r="F672" s="26" t="str">
        <f>IF(A672="","",IF(D672="",0,D672*Productos!G672))</f>
        <v/>
      </c>
      <c r="G672" s="26" t="str">
        <f>IF(A672="","",IF(D672="",0,D672*Productos!F672))</f>
        <v/>
      </c>
      <c r="H672" s="26" t="str">
        <f t="shared" si="21"/>
        <v/>
      </c>
      <c r="I672" t="str">
        <f>IF(A672="","",Productos!J672)</f>
        <v/>
      </c>
    </row>
    <row r="673" spans="1:9" x14ac:dyDescent="0.2">
      <c r="A673" s="18" t="str">
        <f>IF(Productos!A673="","",Productos!A673)</f>
        <v/>
      </c>
      <c r="B673" s="18" t="str">
        <f>IF(Productos!B673="","",Productos!B673)</f>
        <v/>
      </c>
      <c r="C673" s="18" t="str">
        <f>IF(Productos!$A673="","",Productos!H673)</f>
        <v/>
      </c>
      <c r="E673" s="18" t="str">
        <f t="shared" si="20"/>
        <v/>
      </c>
      <c r="F673" s="26" t="str">
        <f>IF(A673="","",IF(D673="",0,D673*Productos!G673))</f>
        <v/>
      </c>
      <c r="G673" s="26" t="str">
        <f>IF(A673="","",IF(D673="",0,D673*Productos!F673))</f>
        <v/>
      </c>
      <c r="H673" s="26" t="str">
        <f t="shared" si="21"/>
        <v/>
      </c>
      <c r="I673" t="str">
        <f>IF(A673="","",Productos!J673)</f>
        <v/>
      </c>
    </row>
    <row r="674" spans="1:9" x14ac:dyDescent="0.2">
      <c r="A674" s="18" t="str">
        <f>IF(Productos!A674="","",Productos!A674)</f>
        <v/>
      </c>
      <c r="B674" s="18" t="str">
        <f>IF(Productos!B674="","",Productos!B674)</f>
        <v/>
      </c>
      <c r="C674" s="18" t="str">
        <f>IF(Productos!$A674="","",Productos!H674)</f>
        <v/>
      </c>
      <c r="E674" s="18" t="str">
        <f t="shared" si="20"/>
        <v/>
      </c>
      <c r="F674" s="26" t="str">
        <f>IF(A674="","",IF(D674="",0,D674*Productos!G674))</f>
        <v/>
      </c>
      <c r="G674" s="26" t="str">
        <f>IF(A674="","",IF(D674="",0,D674*Productos!F674))</f>
        <v/>
      </c>
      <c r="H674" s="26" t="str">
        <f t="shared" si="21"/>
        <v/>
      </c>
      <c r="I674" t="str">
        <f>IF(A674="","",Productos!J674)</f>
        <v/>
      </c>
    </row>
    <row r="675" spans="1:9" x14ac:dyDescent="0.2">
      <c r="A675" s="18" t="str">
        <f>IF(Productos!A675="","",Productos!A675)</f>
        <v/>
      </c>
      <c r="B675" s="18" t="str">
        <f>IF(Productos!B675="","",Productos!B675)</f>
        <v/>
      </c>
      <c r="C675" s="18" t="str">
        <f>IF(Productos!$A675="","",Productos!H675)</f>
        <v/>
      </c>
      <c r="E675" s="18" t="str">
        <f t="shared" si="20"/>
        <v/>
      </c>
      <c r="F675" s="26" t="str">
        <f>IF(A675="","",IF(D675="",0,D675*Productos!G675))</f>
        <v/>
      </c>
      <c r="G675" s="26" t="str">
        <f>IF(A675="","",IF(D675="",0,D675*Productos!F675))</f>
        <v/>
      </c>
      <c r="H675" s="26" t="str">
        <f t="shared" si="21"/>
        <v/>
      </c>
      <c r="I675" t="str">
        <f>IF(A675="","",Productos!J675)</f>
        <v/>
      </c>
    </row>
    <row r="676" spans="1:9" x14ac:dyDescent="0.2">
      <c r="A676" s="18" t="str">
        <f>IF(Productos!A676="","",Productos!A676)</f>
        <v/>
      </c>
      <c r="B676" s="18" t="str">
        <f>IF(Productos!B676="","",Productos!B676)</f>
        <v/>
      </c>
      <c r="C676" s="18" t="str">
        <f>IF(Productos!$A676="","",Productos!H676)</f>
        <v/>
      </c>
      <c r="E676" s="18" t="str">
        <f t="shared" si="20"/>
        <v/>
      </c>
      <c r="F676" s="26" t="str">
        <f>IF(A676="","",IF(D676="",0,D676*Productos!G676))</f>
        <v/>
      </c>
      <c r="G676" s="26" t="str">
        <f>IF(A676="","",IF(D676="",0,D676*Productos!F676))</f>
        <v/>
      </c>
      <c r="H676" s="26" t="str">
        <f t="shared" si="21"/>
        <v/>
      </c>
      <c r="I676" t="str">
        <f>IF(A676="","",Productos!J676)</f>
        <v/>
      </c>
    </row>
    <row r="677" spans="1:9" x14ac:dyDescent="0.2">
      <c r="A677" s="18" t="str">
        <f>IF(Productos!A677="","",Productos!A677)</f>
        <v/>
      </c>
      <c r="B677" s="18" t="str">
        <f>IF(Productos!B677="","",Productos!B677)</f>
        <v/>
      </c>
      <c r="C677" s="18" t="str">
        <f>IF(Productos!$A677="","",Productos!H677)</f>
        <v/>
      </c>
      <c r="E677" s="18" t="str">
        <f t="shared" si="20"/>
        <v/>
      </c>
      <c r="F677" s="26" t="str">
        <f>IF(A677="","",IF(D677="",0,D677*Productos!G677))</f>
        <v/>
      </c>
      <c r="G677" s="26" t="str">
        <f>IF(A677="","",IF(D677="",0,D677*Productos!F677))</f>
        <v/>
      </c>
      <c r="H677" s="26" t="str">
        <f t="shared" si="21"/>
        <v/>
      </c>
      <c r="I677" t="str">
        <f>IF(A677="","",Productos!J677)</f>
        <v/>
      </c>
    </row>
    <row r="678" spans="1:9" x14ac:dyDescent="0.2">
      <c r="A678" s="18" t="str">
        <f>IF(Productos!A678="","",Productos!A678)</f>
        <v/>
      </c>
      <c r="B678" s="18" t="str">
        <f>IF(Productos!B678="","",Productos!B678)</f>
        <v/>
      </c>
      <c r="C678" s="18" t="str">
        <f>IF(Productos!$A678="","",Productos!H678)</f>
        <v/>
      </c>
      <c r="E678" s="18" t="str">
        <f t="shared" si="20"/>
        <v/>
      </c>
      <c r="F678" s="26" t="str">
        <f>IF(A678="","",IF(D678="",0,D678*Productos!G678))</f>
        <v/>
      </c>
      <c r="G678" s="26" t="str">
        <f>IF(A678="","",IF(D678="",0,D678*Productos!F678))</f>
        <v/>
      </c>
      <c r="H678" s="26" t="str">
        <f t="shared" si="21"/>
        <v/>
      </c>
      <c r="I678" t="str">
        <f>IF(A678="","",Productos!J678)</f>
        <v/>
      </c>
    </row>
    <row r="679" spans="1:9" x14ac:dyDescent="0.2">
      <c r="A679" s="18" t="str">
        <f>IF(Productos!A679="","",Productos!A679)</f>
        <v/>
      </c>
      <c r="B679" s="18" t="str">
        <f>IF(Productos!B679="","",Productos!B679)</f>
        <v/>
      </c>
      <c r="C679" s="18" t="str">
        <f>IF(Productos!$A679="","",Productos!H679)</f>
        <v/>
      </c>
      <c r="E679" s="18" t="str">
        <f t="shared" si="20"/>
        <v/>
      </c>
      <c r="F679" s="26" t="str">
        <f>IF(A679="","",IF(D679="",0,D679*Productos!G679))</f>
        <v/>
      </c>
      <c r="G679" s="26" t="str">
        <f>IF(A679="","",IF(D679="",0,D679*Productos!F679))</f>
        <v/>
      </c>
      <c r="H679" s="26" t="str">
        <f t="shared" si="21"/>
        <v/>
      </c>
      <c r="I679" t="str">
        <f>IF(A679="","",Productos!J679)</f>
        <v/>
      </c>
    </row>
    <row r="680" spans="1:9" x14ac:dyDescent="0.2">
      <c r="A680" s="18" t="str">
        <f>IF(Productos!A680="","",Productos!A680)</f>
        <v/>
      </c>
      <c r="B680" s="18" t="str">
        <f>IF(Productos!B680="","",Productos!B680)</f>
        <v/>
      </c>
      <c r="C680" s="18" t="str">
        <f>IF(Productos!$A680="","",Productos!H680)</f>
        <v/>
      </c>
      <c r="E680" s="18" t="str">
        <f t="shared" si="20"/>
        <v/>
      </c>
      <c r="F680" s="26" t="str">
        <f>IF(A680="","",IF(D680="",0,D680*Productos!G680))</f>
        <v/>
      </c>
      <c r="G680" s="26" t="str">
        <f>IF(A680="","",IF(D680="",0,D680*Productos!F680))</f>
        <v/>
      </c>
      <c r="H680" s="26" t="str">
        <f t="shared" si="21"/>
        <v/>
      </c>
      <c r="I680" t="str">
        <f>IF(A680="","",Productos!J680)</f>
        <v/>
      </c>
    </row>
    <row r="681" spans="1:9" x14ac:dyDescent="0.2">
      <c r="A681" s="18" t="str">
        <f>IF(Productos!A681="","",Productos!A681)</f>
        <v/>
      </c>
      <c r="B681" s="18" t="str">
        <f>IF(Productos!B681="","",Productos!B681)</f>
        <v/>
      </c>
      <c r="C681" s="18" t="str">
        <f>IF(Productos!$A681="","",Productos!H681)</f>
        <v/>
      </c>
      <c r="E681" s="18" t="str">
        <f t="shared" si="20"/>
        <v/>
      </c>
      <c r="F681" s="26" t="str">
        <f>IF(A681="","",IF(D681="",0,D681*Productos!G681))</f>
        <v/>
      </c>
      <c r="G681" s="26" t="str">
        <f>IF(A681="","",IF(D681="",0,D681*Productos!F681))</f>
        <v/>
      </c>
      <c r="H681" s="26" t="str">
        <f t="shared" si="21"/>
        <v/>
      </c>
      <c r="I681" t="str">
        <f>IF(A681="","",Productos!J681)</f>
        <v/>
      </c>
    </row>
    <row r="682" spans="1:9" x14ac:dyDescent="0.2">
      <c r="A682" s="18" t="str">
        <f>IF(Productos!A682="","",Productos!A682)</f>
        <v/>
      </c>
      <c r="B682" s="18" t="str">
        <f>IF(Productos!B682="","",Productos!B682)</f>
        <v/>
      </c>
      <c r="C682" s="18" t="str">
        <f>IF(Productos!$A682="","",Productos!H682)</f>
        <v/>
      </c>
      <c r="E682" s="18" t="str">
        <f t="shared" si="20"/>
        <v/>
      </c>
      <c r="F682" s="26" t="str">
        <f>IF(A682="","",IF(D682="",0,D682*Productos!G682))</f>
        <v/>
      </c>
      <c r="G682" s="26" t="str">
        <f>IF(A682="","",IF(D682="",0,D682*Productos!F682))</f>
        <v/>
      </c>
      <c r="H682" s="26" t="str">
        <f t="shared" si="21"/>
        <v/>
      </c>
      <c r="I682" t="str">
        <f>IF(A682="","",Productos!J682)</f>
        <v/>
      </c>
    </row>
    <row r="683" spans="1:9" x14ac:dyDescent="0.2">
      <c r="A683" s="18" t="str">
        <f>IF(Productos!A683="","",Productos!A683)</f>
        <v/>
      </c>
      <c r="B683" s="18" t="str">
        <f>IF(Productos!B683="","",Productos!B683)</f>
        <v/>
      </c>
      <c r="C683" s="18" t="str">
        <f>IF(Productos!$A683="","",Productos!H683)</f>
        <v/>
      </c>
      <c r="E683" s="18" t="str">
        <f t="shared" si="20"/>
        <v/>
      </c>
      <c r="F683" s="26" t="str">
        <f>IF(A683="","",IF(D683="",0,D683*Productos!G683))</f>
        <v/>
      </c>
      <c r="G683" s="26" t="str">
        <f>IF(A683="","",IF(D683="",0,D683*Productos!F683))</f>
        <v/>
      </c>
      <c r="H683" s="26" t="str">
        <f t="shared" si="21"/>
        <v/>
      </c>
      <c r="I683" t="str">
        <f>IF(A683="","",Productos!J683)</f>
        <v/>
      </c>
    </row>
    <row r="684" spans="1:9" x14ac:dyDescent="0.2">
      <c r="A684" s="18" t="str">
        <f>IF(Productos!A684="","",Productos!A684)</f>
        <v/>
      </c>
      <c r="B684" s="18" t="str">
        <f>IF(Productos!B684="","",Productos!B684)</f>
        <v/>
      </c>
      <c r="C684" s="18" t="str">
        <f>IF(Productos!$A684="","",Productos!H684)</f>
        <v/>
      </c>
      <c r="E684" s="18" t="str">
        <f t="shared" si="20"/>
        <v/>
      </c>
      <c r="F684" s="26" t="str">
        <f>IF(A684="","",IF(D684="",0,D684*Productos!G684))</f>
        <v/>
      </c>
      <c r="G684" s="26" t="str">
        <f>IF(A684="","",IF(D684="",0,D684*Productos!F684))</f>
        <v/>
      </c>
      <c r="H684" s="26" t="str">
        <f t="shared" si="21"/>
        <v/>
      </c>
      <c r="I684" t="str">
        <f>IF(A684="","",Productos!J684)</f>
        <v/>
      </c>
    </row>
    <row r="685" spans="1:9" x14ac:dyDescent="0.2">
      <c r="A685" s="18" t="str">
        <f>IF(Productos!A685="","",Productos!A685)</f>
        <v/>
      </c>
      <c r="B685" s="18" t="str">
        <f>IF(Productos!B685="","",Productos!B685)</f>
        <v/>
      </c>
      <c r="C685" s="18" t="str">
        <f>IF(Productos!$A685="","",Productos!H685)</f>
        <v/>
      </c>
      <c r="E685" s="18" t="str">
        <f t="shared" si="20"/>
        <v/>
      </c>
      <c r="F685" s="26" t="str">
        <f>IF(A685="","",IF(D685="",0,D685*Productos!G685))</f>
        <v/>
      </c>
      <c r="G685" s="26" t="str">
        <f>IF(A685="","",IF(D685="",0,D685*Productos!F685))</f>
        <v/>
      </c>
      <c r="H685" s="26" t="str">
        <f t="shared" si="21"/>
        <v/>
      </c>
      <c r="I685" t="str">
        <f>IF(A685="","",Productos!J685)</f>
        <v/>
      </c>
    </row>
    <row r="686" spans="1:9" x14ac:dyDescent="0.2">
      <c r="A686" s="18" t="str">
        <f>IF(Productos!A686="","",Productos!A686)</f>
        <v/>
      </c>
      <c r="B686" s="18" t="str">
        <f>IF(Productos!B686="","",Productos!B686)</f>
        <v/>
      </c>
      <c r="C686" s="18" t="str">
        <f>IF(Productos!$A686="","",Productos!H686)</f>
        <v/>
      </c>
      <c r="E686" s="18" t="str">
        <f t="shared" si="20"/>
        <v/>
      </c>
      <c r="F686" s="26" t="str">
        <f>IF(A686="","",IF(D686="",0,D686*Productos!G686))</f>
        <v/>
      </c>
      <c r="G686" s="26" t="str">
        <f>IF(A686="","",IF(D686="",0,D686*Productos!F686))</f>
        <v/>
      </c>
      <c r="H686" s="26" t="str">
        <f t="shared" si="21"/>
        <v/>
      </c>
      <c r="I686" t="str">
        <f>IF(A686="","",Productos!J686)</f>
        <v/>
      </c>
    </row>
    <row r="687" spans="1:9" x14ac:dyDescent="0.2">
      <c r="A687" s="18" t="str">
        <f>IF(Productos!A687="","",Productos!A687)</f>
        <v/>
      </c>
      <c r="B687" s="18" t="str">
        <f>IF(Productos!B687="","",Productos!B687)</f>
        <v/>
      </c>
      <c r="C687" s="18" t="str">
        <f>IF(Productos!$A687="","",Productos!H687)</f>
        <v/>
      </c>
      <c r="E687" s="18" t="str">
        <f t="shared" si="20"/>
        <v/>
      </c>
      <c r="F687" s="26" t="str">
        <f>IF(A687="","",IF(D687="",0,D687*Productos!G687))</f>
        <v/>
      </c>
      <c r="G687" s="26" t="str">
        <f>IF(A687="","",IF(D687="",0,D687*Productos!F687))</f>
        <v/>
      </c>
      <c r="H687" s="26" t="str">
        <f t="shared" si="21"/>
        <v/>
      </c>
      <c r="I687" t="str">
        <f>IF(A687="","",Productos!J687)</f>
        <v/>
      </c>
    </row>
    <row r="688" spans="1:9" x14ac:dyDescent="0.2">
      <c r="A688" s="18" t="str">
        <f>IF(Productos!A688="","",Productos!A688)</f>
        <v/>
      </c>
      <c r="B688" s="18" t="str">
        <f>IF(Productos!B688="","",Productos!B688)</f>
        <v/>
      </c>
      <c r="C688" s="18" t="str">
        <f>IF(Productos!$A688="","",Productos!H688)</f>
        <v/>
      </c>
      <c r="E688" s="18" t="str">
        <f t="shared" si="20"/>
        <v/>
      </c>
      <c r="F688" s="26" t="str">
        <f>IF(A688="","",IF(D688="",0,D688*Productos!G688))</f>
        <v/>
      </c>
      <c r="G688" s="26" t="str">
        <f>IF(A688="","",IF(D688="",0,D688*Productos!F688))</f>
        <v/>
      </c>
      <c r="H688" s="26" t="str">
        <f t="shared" si="21"/>
        <v/>
      </c>
      <c r="I688" t="str">
        <f>IF(A688="","",Productos!J688)</f>
        <v/>
      </c>
    </row>
    <row r="689" spans="1:9" x14ac:dyDescent="0.2">
      <c r="A689" s="18" t="str">
        <f>IF(Productos!A689="","",Productos!A689)</f>
        <v/>
      </c>
      <c r="B689" s="18" t="str">
        <f>IF(Productos!B689="","",Productos!B689)</f>
        <v/>
      </c>
      <c r="C689" s="18" t="str">
        <f>IF(Productos!$A689="","",Productos!H689)</f>
        <v/>
      </c>
      <c r="E689" s="18" t="str">
        <f t="shared" si="20"/>
        <v/>
      </c>
      <c r="F689" s="26" t="str">
        <f>IF(A689="","",IF(D689="",0,D689*Productos!G689))</f>
        <v/>
      </c>
      <c r="G689" s="26" t="str">
        <f>IF(A689="","",IF(D689="",0,D689*Productos!F689))</f>
        <v/>
      </c>
      <c r="H689" s="26" t="str">
        <f t="shared" si="21"/>
        <v/>
      </c>
      <c r="I689" t="str">
        <f>IF(A689="","",Productos!J689)</f>
        <v/>
      </c>
    </row>
    <row r="690" spans="1:9" x14ac:dyDescent="0.2">
      <c r="A690" s="18" t="str">
        <f>IF(Productos!A690="","",Productos!A690)</f>
        <v/>
      </c>
      <c r="B690" s="18" t="str">
        <f>IF(Productos!B690="","",Productos!B690)</f>
        <v/>
      </c>
      <c r="C690" s="18" t="str">
        <f>IF(Productos!$A690="","",Productos!H690)</f>
        <v/>
      </c>
      <c r="E690" s="18" t="str">
        <f t="shared" si="20"/>
        <v/>
      </c>
      <c r="F690" s="26" t="str">
        <f>IF(A690="","",IF(D690="",0,D690*Productos!G690))</f>
        <v/>
      </c>
      <c r="G690" s="26" t="str">
        <f>IF(A690="","",IF(D690="",0,D690*Productos!F690))</f>
        <v/>
      </c>
      <c r="H690" s="26" t="str">
        <f t="shared" si="21"/>
        <v/>
      </c>
      <c r="I690" t="str">
        <f>IF(A690="","",Productos!J690)</f>
        <v/>
      </c>
    </row>
    <row r="691" spans="1:9" x14ac:dyDescent="0.2">
      <c r="A691" s="18" t="str">
        <f>IF(Productos!A691="","",Productos!A691)</f>
        <v/>
      </c>
      <c r="B691" s="18" t="str">
        <f>IF(Productos!B691="","",Productos!B691)</f>
        <v/>
      </c>
      <c r="C691" s="18" t="str">
        <f>IF(Productos!$A691="","",Productos!H691)</f>
        <v/>
      </c>
      <c r="E691" s="18" t="str">
        <f t="shared" si="20"/>
        <v/>
      </c>
      <c r="F691" s="26" t="str">
        <f>IF(A691="","",IF(D691="",0,D691*Productos!G691))</f>
        <v/>
      </c>
      <c r="G691" s="26" t="str">
        <f>IF(A691="","",IF(D691="",0,D691*Productos!F691))</f>
        <v/>
      </c>
      <c r="H691" s="26" t="str">
        <f t="shared" si="21"/>
        <v/>
      </c>
      <c r="I691" t="str">
        <f>IF(A691="","",Productos!J691)</f>
        <v/>
      </c>
    </row>
    <row r="692" spans="1:9" x14ac:dyDescent="0.2">
      <c r="A692" s="18" t="str">
        <f>IF(Productos!A692="","",Productos!A692)</f>
        <v/>
      </c>
      <c r="B692" s="18" t="str">
        <f>IF(Productos!B692="","",Productos!B692)</f>
        <v/>
      </c>
      <c r="C692" s="18" t="str">
        <f>IF(Productos!$A692="","",Productos!H692)</f>
        <v/>
      </c>
      <c r="E692" s="18" t="str">
        <f t="shared" si="20"/>
        <v/>
      </c>
      <c r="F692" s="26" t="str">
        <f>IF(A692="","",IF(D692="",0,D692*Productos!G692))</f>
        <v/>
      </c>
      <c r="G692" s="26" t="str">
        <f>IF(A692="","",IF(D692="",0,D692*Productos!F692))</f>
        <v/>
      </c>
      <c r="H692" s="26" t="str">
        <f t="shared" si="21"/>
        <v/>
      </c>
      <c r="I692" t="str">
        <f>IF(A692="","",Productos!J692)</f>
        <v/>
      </c>
    </row>
    <row r="693" spans="1:9" x14ac:dyDescent="0.2">
      <c r="A693" s="18" t="str">
        <f>IF(Productos!A693="","",Productos!A693)</f>
        <v/>
      </c>
      <c r="B693" s="18" t="str">
        <f>IF(Productos!B693="","",Productos!B693)</f>
        <v/>
      </c>
      <c r="C693" s="18" t="str">
        <f>IF(Productos!$A693="","",Productos!H693)</f>
        <v/>
      </c>
      <c r="E693" s="18" t="str">
        <f t="shared" si="20"/>
        <v/>
      </c>
      <c r="F693" s="26" t="str">
        <f>IF(A693="","",IF(D693="",0,D693*Productos!G693))</f>
        <v/>
      </c>
      <c r="G693" s="26" t="str">
        <f>IF(A693="","",IF(D693="",0,D693*Productos!F693))</f>
        <v/>
      </c>
      <c r="H693" s="26" t="str">
        <f t="shared" si="21"/>
        <v/>
      </c>
      <c r="I693" t="str">
        <f>IF(A693="","",Productos!J693)</f>
        <v/>
      </c>
    </row>
    <row r="694" spans="1:9" x14ac:dyDescent="0.2">
      <c r="A694" s="18" t="str">
        <f>IF(Productos!A694="","",Productos!A694)</f>
        <v/>
      </c>
      <c r="B694" s="18" t="str">
        <f>IF(Productos!B694="","",Productos!B694)</f>
        <v/>
      </c>
      <c r="C694" s="18" t="str">
        <f>IF(Productos!$A694="","",Productos!H694)</f>
        <v/>
      </c>
      <c r="E694" s="18" t="str">
        <f t="shared" si="20"/>
        <v/>
      </c>
      <c r="F694" s="26" t="str">
        <f>IF(A694="","",IF(D694="",0,D694*Productos!G694))</f>
        <v/>
      </c>
      <c r="G694" s="26" t="str">
        <f>IF(A694="","",IF(D694="",0,D694*Productos!F694))</f>
        <v/>
      </c>
      <c r="H694" s="26" t="str">
        <f t="shared" si="21"/>
        <v/>
      </c>
      <c r="I694" t="str">
        <f>IF(A694="","",Productos!J694)</f>
        <v/>
      </c>
    </row>
    <row r="695" spans="1:9" x14ac:dyDescent="0.2">
      <c r="A695" s="18" t="str">
        <f>IF(Productos!A695="","",Productos!A695)</f>
        <v/>
      </c>
      <c r="B695" s="18" t="str">
        <f>IF(Productos!B695="","",Productos!B695)</f>
        <v/>
      </c>
      <c r="C695" s="18" t="str">
        <f>IF(Productos!$A695="","",Productos!H695)</f>
        <v/>
      </c>
      <c r="E695" s="18" t="str">
        <f t="shared" si="20"/>
        <v/>
      </c>
      <c r="F695" s="26" t="str">
        <f>IF(A695="","",IF(D695="",0,D695*Productos!G695))</f>
        <v/>
      </c>
      <c r="G695" s="26" t="str">
        <f>IF(A695="","",IF(D695="",0,D695*Productos!F695))</f>
        <v/>
      </c>
      <c r="H695" s="26" t="str">
        <f t="shared" si="21"/>
        <v/>
      </c>
      <c r="I695" t="str">
        <f>IF(A695="","",Productos!J695)</f>
        <v/>
      </c>
    </row>
    <row r="696" spans="1:9" x14ac:dyDescent="0.2">
      <c r="A696" s="18" t="str">
        <f>IF(Productos!A696="","",Productos!A696)</f>
        <v/>
      </c>
      <c r="B696" s="18" t="str">
        <f>IF(Productos!B696="","",Productos!B696)</f>
        <v/>
      </c>
      <c r="C696" s="18" t="str">
        <f>IF(Productos!$A696="","",Productos!H696)</f>
        <v/>
      </c>
      <c r="E696" s="18" t="str">
        <f t="shared" si="20"/>
        <v/>
      </c>
      <c r="F696" s="26" t="str">
        <f>IF(A696="","",IF(D696="",0,D696*Productos!G696))</f>
        <v/>
      </c>
      <c r="G696" s="26" t="str">
        <f>IF(A696="","",IF(D696="",0,D696*Productos!F696))</f>
        <v/>
      </c>
      <c r="H696" s="26" t="str">
        <f t="shared" si="21"/>
        <v/>
      </c>
      <c r="I696" t="str">
        <f>IF(A696="","",Productos!J696)</f>
        <v/>
      </c>
    </row>
    <row r="697" spans="1:9" x14ac:dyDescent="0.2">
      <c r="A697" s="18" t="str">
        <f>IF(Productos!A697="","",Productos!A697)</f>
        <v/>
      </c>
      <c r="B697" s="18" t="str">
        <f>IF(Productos!B697="","",Productos!B697)</f>
        <v/>
      </c>
      <c r="C697" s="18" t="str">
        <f>IF(Productos!$A697="","",Productos!H697)</f>
        <v/>
      </c>
      <c r="E697" s="18" t="str">
        <f t="shared" si="20"/>
        <v/>
      </c>
      <c r="F697" s="26" t="str">
        <f>IF(A697="","",IF(D697="",0,D697*Productos!G697))</f>
        <v/>
      </c>
      <c r="G697" s="26" t="str">
        <f>IF(A697="","",IF(D697="",0,D697*Productos!F697))</f>
        <v/>
      </c>
      <c r="H697" s="26" t="str">
        <f t="shared" si="21"/>
        <v/>
      </c>
      <c r="I697" t="str">
        <f>IF(A697="","",Productos!J697)</f>
        <v/>
      </c>
    </row>
    <row r="698" spans="1:9" x14ac:dyDescent="0.2">
      <c r="A698" s="18" t="str">
        <f>IF(Productos!A698="","",Productos!A698)</f>
        <v/>
      </c>
      <c r="B698" s="18" t="str">
        <f>IF(Productos!B698="","",Productos!B698)</f>
        <v/>
      </c>
      <c r="C698" s="18" t="str">
        <f>IF(Productos!$A698="","",Productos!H698)</f>
        <v/>
      </c>
      <c r="E698" s="18" t="str">
        <f t="shared" si="20"/>
        <v/>
      </c>
      <c r="F698" s="26" t="str">
        <f>IF(A698="","",IF(D698="",0,D698*Productos!G698))</f>
        <v/>
      </c>
      <c r="G698" s="26" t="str">
        <f>IF(A698="","",IF(D698="",0,D698*Productos!F698))</f>
        <v/>
      </c>
      <c r="H698" s="26" t="str">
        <f t="shared" si="21"/>
        <v/>
      </c>
      <c r="I698" t="str">
        <f>IF(A698="","",Productos!J698)</f>
        <v/>
      </c>
    </row>
    <row r="699" spans="1:9" x14ac:dyDescent="0.2">
      <c r="A699" s="18" t="str">
        <f>IF(Productos!A699="","",Productos!A699)</f>
        <v/>
      </c>
      <c r="B699" s="18" t="str">
        <f>IF(Productos!B699="","",Productos!B699)</f>
        <v/>
      </c>
      <c r="C699" s="18" t="str">
        <f>IF(Productos!$A699="","",Productos!H699)</f>
        <v/>
      </c>
      <c r="E699" s="18" t="str">
        <f t="shared" si="20"/>
        <v/>
      </c>
      <c r="F699" s="26" t="str">
        <f>IF(A699="","",IF(D699="",0,D699*Productos!G699))</f>
        <v/>
      </c>
      <c r="G699" s="26" t="str">
        <f>IF(A699="","",IF(D699="",0,D699*Productos!F699))</f>
        <v/>
      </c>
      <c r="H699" s="26" t="str">
        <f t="shared" si="21"/>
        <v/>
      </c>
      <c r="I699" t="str">
        <f>IF(A699="","",Productos!J699)</f>
        <v/>
      </c>
    </row>
    <row r="700" spans="1:9" x14ac:dyDescent="0.2">
      <c r="A700" s="18" t="str">
        <f>IF(Productos!A700="","",Productos!A700)</f>
        <v/>
      </c>
      <c r="B700" s="18" t="str">
        <f>IF(Productos!B700="","",Productos!B700)</f>
        <v/>
      </c>
      <c r="C700" s="18" t="str">
        <f>IF(Productos!$A700="","",Productos!H700)</f>
        <v/>
      </c>
      <c r="E700" s="18" t="str">
        <f t="shared" si="20"/>
        <v/>
      </c>
      <c r="F700" s="26" t="str">
        <f>IF(A700="","",IF(D700="",0,D700*Productos!G700))</f>
        <v/>
      </c>
      <c r="G700" s="26" t="str">
        <f>IF(A700="","",IF(D700="",0,D700*Productos!F700))</f>
        <v/>
      </c>
      <c r="H700" s="26" t="str">
        <f t="shared" si="21"/>
        <v/>
      </c>
      <c r="I700" t="str">
        <f>IF(A700="","",Productos!J700)</f>
        <v/>
      </c>
    </row>
    <row r="701" spans="1:9" x14ac:dyDescent="0.2">
      <c r="A701" s="18" t="str">
        <f>IF(Productos!A701="","",Productos!A701)</f>
        <v/>
      </c>
      <c r="B701" s="18" t="str">
        <f>IF(Productos!B701="","",Productos!B701)</f>
        <v/>
      </c>
      <c r="C701" s="18" t="str">
        <f>IF(Productos!$A701="","",Productos!H701)</f>
        <v/>
      </c>
      <c r="E701" s="18" t="str">
        <f t="shared" si="20"/>
        <v/>
      </c>
      <c r="F701" s="26" t="str">
        <f>IF(A701="","",IF(D701="",0,D701*Productos!G701))</f>
        <v/>
      </c>
      <c r="G701" s="26" t="str">
        <f>IF(A701="","",IF(D701="",0,D701*Productos!F701))</f>
        <v/>
      </c>
      <c r="H701" s="26" t="str">
        <f t="shared" si="21"/>
        <v/>
      </c>
      <c r="I701" t="str">
        <f>IF(A701="","",Productos!J701)</f>
        <v/>
      </c>
    </row>
    <row r="702" spans="1:9" x14ac:dyDescent="0.2">
      <c r="A702" s="18" t="str">
        <f>IF(Productos!A702="","",Productos!A702)</f>
        <v/>
      </c>
      <c r="B702" s="18" t="str">
        <f>IF(Productos!B702="","",Productos!B702)</f>
        <v/>
      </c>
      <c r="C702" s="18" t="str">
        <f>IF(Productos!$A702="","",Productos!H702)</f>
        <v/>
      </c>
      <c r="E702" s="18" t="str">
        <f t="shared" si="20"/>
        <v/>
      </c>
      <c r="F702" s="26" t="str">
        <f>IF(A702="","",IF(D702="",0,D702*Productos!G702))</f>
        <v/>
      </c>
      <c r="G702" s="26" t="str">
        <f>IF(A702="","",IF(D702="",0,D702*Productos!F702))</f>
        <v/>
      </c>
      <c r="H702" s="26" t="str">
        <f t="shared" si="21"/>
        <v/>
      </c>
      <c r="I702" t="str">
        <f>IF(A702="","",Productos!J702)</f>
        <v/>
      </c>
    </row>
    <row r="703" spans="1:9" x14ac:dyDescent="0.2">
      <c r="A703" s="18" t="str">
        <f>IF(Productos!A703="","",Productos!A703)</f>
        <v/>
      </c>
      <c r="B703" s="18" t="str">
        <f>IF(Productos!B703="","",Productos!B703)</f>
        <v/>
      </c>
      <c r="C703" s="18" t="str">
        <f>IF(Productos!$A703="","",Productos!H703)</f>
        <v/>
      </c>
      <c r="E703" s="18" t="str">
        <f t="shared" si="20"/>
        <v/>
      </c>
      <c r="F703" s="26" t="str">
        <f>IF(A703="","",IF(D703="",0,D703*Productos!G703))</f>
        <v/>
      </c>
      <c r="G703" s="26" t="str">
        <f>IF(A703="","",IF(D703="",0,D703*Productos!F703))</f>
        <v/>
      </c>
      <c r="H703" s="26" t="str">
        <f t="shared" si="21"/>
        <v/>
      </c>
      <c r="I703" t="str">
        <f>IF(A703="","",Productos!J703)</f>
        <v/>
      </c>
    </row>
    <row r="704" spans="1:9" x14ac:dyDescent="0.2">
      <c r="A704" s="18" t="str">
        <f>IF(Productos!A704="","",Productos!A704)</f>
        <v/>
      </c>
      <c r="B704" s="18" t="str">
        <f>IF(Productos!B704="","",Productos!B704)</f>
        <v/>
      </c>
      <c r="C704" s="18" t="str">
        <f>IF(Productos!$A704="","",Productos!H704)</f>
        <v/>
      </c>
      <c r="E704" s="18" t="str">
        <f t="shared" si="20"/>
        <v/>
      </c>
      <c r="F704" s="26" t="str">
        <f>IF(A704="","",IF(D704="",0,D704*Productos!G704))</f>
        <v/>
      </c>
      <c r="G704" s="26" t="str">
        <f>IF(A704="","",IF(D704="",0,D704*Productos!F704))</f>
        <v/>
      </c>
      <c r="H704" s="26" t="str">
        <f t="shared" si="21"/>
        <v/>
      </c>
      <c r="I704" t="str">
        <f>IF(A704="","",Productos!J704)</f>
        <v/>
      </c>
    </row>
    <row r="705" spans="1:9" x14ac:dyDescent="0.2">
      <c r="A705" s="18" t="str">
        <f>IF(Productos!A705="","",Productos!A705)</f>
        <v/>
      </c>
      <c r="B705" s="18" t="str">
        <f>IF(Productos!B705="","",Productos!B705)</f>
        <v/>
      </c>
      <c r="C705" s="18" t="str">
        <f>IF(Productos!$A705="","",Productos!H705)</f>
        <v/>
      </c>
      <c r="E705" s="18" t="str">
        <f t="shared" si="20"/>
        <v/>
      </c>
      <c r="F705" s="26" t="str">
        <f>IF(A705="","",IF(D705="",0,D705*Productos!G705))</f>
        <v/>
      </c>
      <c r="G705" s="26" t="str">
        <f>IF(A705="","",IF(D705="",0,D705*Productos!F705))</f>
        <v/>
      </c>
      <c r="H705" s="26" t="str">
        <f t="shared" si="21"/>
        <v/>
      </c>
      <c r="I705" t="str">
        <f>IF(A705="","",Productos!J705)</f>
        <v/>
      </c>
    </row>
    <row r="706" spans="1:9" x14ac:dyDescent="0.2">
      <c r="A706" s="18" t="str">
        <f>IF(Productos!A706="","",Productos!A706)</f>
        <v/>
      </c>
      <c r="B706" s="18" t="str">
        <f>IF(Productos!B706="","",Productos!B706)</f>
        <v/>
      </c>
      <c r="C706" s="18" t="str">
        <f>IF(Productos!$A706="","",Productos!H706)</f>
        <v/>
      </c>
      <c r="E706" s="18" t="str">
        <f t="shared" si="20"/>
        <v/>
      </c>
      <c r="F706" s="26" t="str">
        <f>IF(A706="","",IF(D706="",0,D706*Productos!G706))</f>
        <v/>
      </c>
      <c r="G706" s="26" t="str">
        <f>IF(A706="","",IF(D706="",0,D706*Productos!F706))</f>
        <v/>
      </c>
      <c r="H706" s="26" t="str">
        <f t="shared" si="21"/>
        <v/>
      </c>
      <c r="I706" t="str">
        <f>IF(A706="","",Productos!J706)</f>
        <v/>
      </c>
    </row>
    <row r="707" spans="1:9" x14ac:dyDescent="0.2">
      <c r="A707" s="18" t="str">
        <f>IF(Productos!A707="","",Productos!A707)</f>
        <v/>
      </c>
      <c r="B707" s="18" t="str">
        <f>IF(Productos!B707="","",Productos!B707)</f>
        <v/>
      </c>
      <c r="C707" s="18" t="str">
        <f>IF(Productos!$A707="","",Productos!H707)</f>
        <v/>
      </c>
      <c r="E707" s="18" t="str">
        <f t="shared" ref="E707:E770" si="22">IF(C707="","",C707-IF(D707="",0,D707))</f>
        <v/>
      </c>
      <c r="F707" s="26" t="str">
        <f>IF(A707="","",IF(D707="",0,D707*Productos!G707))</f>
        <v/>
      </c>
      <c r="G707" s="26" t="str">
        <f>IF(A707="","",IF(D707="",0,D707*Productos!F707))</f>
        <v/>
      </c>
      <c r="H707" s="26" t="str">
        <f t="shared" ref="H707:H770" si="23">IF(A707="","",F707-G707)</f>
        <v/>
      </c>
      <c r="I707" t="str">
        <f>IF(A707="","",Productos!J707)</f>
        <v/>
      </c>
    </row>
    <row r="708" spans="1:9" x14ac:dyDescent="0.2">
      <c r="A708" s="18" t="str">
        <f>IF(Productos!A708="","",Productos!A708)</f>
        <v/>
      </c>
      <c r="B708" s="18" t="str">
        <f>IF(Productos!B708="","",Productos!B708)</f>
        <v/>
      </c>
      <c r="C708" s="18" t="str">
        <f>IF(Productos!$A708="","",Productos!H708)</f>
        <v/>
      </c>
      <c r="E708" s="18" t="str">
        <f t="shared" si="22"/>
        <v/>
      </c>
      <c r="F708" s="26" t="str">
        <f>IF(A708="","",IF(D708="",0,D708*Productos!G708))</f>
        <v/>
      </c>
      <c r="G708" s="26" t="str">
        <f>IF(A708="","",IF(D708="",0,D708*Productos!F708))</f>
        <v/>
      </c>
      <c r="H708" s="26" t="str">
        <f t="shared" si="23"/>
        <v/>
      </c>
      <c r="I708" t="str">
        <f>IF(A708="","",Productos!J708)</f>
        <v/>
      </c>
    </row>
    <row r="709" spans="1:9" x14ac:dyDescent="0.2">
      <c r="A709" s="18" t="str">
        <f>IF(Productos!A709="","",Productos!A709)</f>
        <v/>
      </c>
      <c r="B709" s="18" t="str">
        <f>IF(Productos!B709="","",Productos!B709)</f>
        <v/>
      </c>
      <c r="C709" s="18" t="str">
        <f>IF(Productos!$A709="","",Productos!H709)</f>
        <v/>
      </c>
      <c r="E709" s="18" t="str">
        <f t="shared" si="22"/>
        <v/>
      </c>
      <c r="F709" s="26" t="str">
        <f>IF(A709="","",IF(D709="",0,D709*Productos!G709))</f>
        <v/>
      </c>
      <c r="G709" s="26" t="str">
        <f>IF(A709="","",IF(D709="",0,D709*Productos!F709))</f>
        <v/>
      </c>
      <c r="H709" s="26" t="str">
        <f t="shared" si="23"/>
        <v/>
      </c>
      <c r="I709" t="str">
        <f>IF(A709="","",Productos!J709)</f>
        <v/>
      </c>
    </row>
    <row r="710" spans="1:9" x14ac:dyDescent="0.2">
      <c r="A710" s="18" t="str">
        <f>IF(Productos!A710="","",Productos!A710)</f>
        <v/>
      </c>
      <c r="B710" s="18" t="str">
        <f>IF(Productos!B710="","",Productos!B710)</f>
        <v/>
      </c>
      <c r="C710" s="18" t="str">
        <f>IF(Productos!$A710="","",Productos!H710)</f>
        <v/>
      </c>
      <c r="E710" s="18" t="str">
        <f t="shared" si="22"/>
        <v/>
      </c>
      <c r="F710" s="26" t="str">
        <f>IF(A710="","",IF(D710="",0,D710*Productos!G710))</f>
        <v/>
      </c>
      <c r="G710" s="26" t="str">
        <f>IF(A710="","",IF(D710="",0,D710*Productos!F710))</f>
        <v/>
      </c>
      <c r="H710" s="26" t="str">
        <f t="shared" si="23"/>
        <v/>
      </c>
      <c r="I710" t="str">
        <f>IF(A710="","",Productos!J710)</f>
        <v/>
      </c>
    </row>
    <row r="711" spans="1:9" x14ac:dyDescent="0.2">
      <c r="A711" s="18" t="str">
        <f>IF(Productos!A711="","",Productos!A711)</f>
        <v/>
      </c>
      <c r="B711" s="18" t="str">
        <f>IF(Productos!B711="","",Productos!B711)</f>
        <v/>
      </c>
      <c r="C711" s="18" t="str">
        <f>IF(Productos!$A711="","",Productos!H711)</f>
        <v/>
      </c>
      <c r="E711" s="18" t="str">
        <f t="shared" si="22"/>
        <v/>
      </c>
      <c r="F711" s="26" t="str">
        <f>IF(A711="","",IF(D711="",0,D711*Productos!G711))</f>
        <v/>
      </c>
      <c r="G711" s="26" t="str">
        <f>IF(A711="","",IF(D711="",0,D711*Productos!F711))</f>
        <v/>
      </c>
      <c r="H711" s="26" t="str">
        <f t="shared" si="23"/>
        <v/>
      </c>
      <c r="I711" t="str">
        <f>IF(A711="","",Productos!J711)</f>
        <v/>
      </c>
    </row>
    <row r="712" spans="1:9" x14ac:dyDescent="0.2">
      <c r="A712" s="18" t="str">
        <f>IF(Productos!A712="","",Productos!A712)</f>
        <v/>
      </c>
      <c r="B712" s="18" t="str">
        <f>IF(Productos!B712="","",Productos!B712)</f>
        <v/>
      </c>
      <c r="C712" s="18" t="str">
        <f>IF(Productos!$A712="","",Productos!H712)</f>
        <v/>
      </c>
      <c r="E712" s="18" t="str">
        <f t="shared" si="22"/>
        <v/>
      </c>
      <c r="F712" s="26" t="str">
        <f>IF(A712="","",IF(D712="",0,D712*Productos!G712))</f>
        <v/>
      </c>
      <c r="G712" s="26" t="str">
        <f>IF(A712="","",IF(D712="",0,D712*Productos!F712))</f>
        <v/>
      </c>
      <c r="H712" s="26" t="str">
        <f t="shared" si="23"/>
        <v/>
      </c>
      <c r="I712" t="str">
        <f>IF(A712="","",Productos!J712)</f>
        <v/>
      </c>
    </row>
    <row r="713" spans="1:9" x14ac:dyDescent="0.2">
      <c r="A713" s="18" t="str">
        <f>IF(Productos!A713="","",Productos!A713)</f>
        <v/>
      </c>
      <c r="B713" s="18" t="str">
        <f>IF(Productos!B713="","",Productos!B713)</f>
        <v/>
      </c>
      <c r="C713" s="18" t="str">
        <f>IF(Productos!$A713="","",Productos!H713)</f>
        <v/>
      </c>
      <c r="E713" s="18" t="str">
        <f t="shared" si="22"/>
        <v/>
      </c>
      <c r="F713" s="26" t="str">
        <f>IF(A713="","",IF(D713="",0,D713*Productos!G713))</f>
        <v/>
      </c>
      <c r="G713" s="26" t="str">
        <f>IF(A713="","",IF(D713="",0,D713*Productos!F713))</f>
        <v/>
      </c>
      <c r="H713" s="26" t="str">
        <f t="shared" si="23"/>
        <v/>
      </c>
      <c r="I713" t="str">
        <f>IF(A713="","",Productos!J713)</f>
        <v/>
      </c>
    </row>
    <row r="714" spans="1:9" x14ac:dyDescent="0.2">
      <c r="A714" s="18" t="str">
        <f>IF(Productos!A714="","",Productos!A714)</f>
        <v/>
      </c>
      <c r="B714" s="18" t="str">
        <f>IF(Productos!B714="","",Productos!B714)</f>
        <v/>
      </c>
      <c r="C714" s="18" t="str">
        <f>IF(Productos!$A714="","",Productos!H714)</f>
        <v/>
      </c>
      <c r="E714" s="18" t="str">
        <f t="shared" si="22"/>
        <v/>
      </c>
      <c r="F714" s="26" t="str">
        <f>IF(A714="","",IF(D714="",0,D714*Productos!G714))</f>
        <v/>
      </c>
      <c r="G714" s="26" t="str">
        <f>IF(A714="","",IF(D714="",0,D714*Productos!F714))</f>
        <v/>
      </c>
      <c r="H714" s="26" t="str">
        <f t="shared" si="23"/>
        <v/>
      </c>
      <c r="I714" t="str">
        <f>IF(A714="","",Productos!J714)</f>
        <v/>
      </c>
    </row>
    <row r="715" spans="1:9" x14ac:dyDescent="0.2">
      <c r="A715" s="18" t="str">
        <f>IF(Productos!A715="","",Productos!A715)</f>
        <v/>
      </c>
      <c r="B715" s="18" t="str">
        <f>IF(Productos!B715="","",Productos!B715)</f>
        <v/>
      </c>
      <c r="C715" s="18" t="str">
        <f>IF(Productos!$A715="","",Productos!H715)</f>
        <v/>
      </c>
      <c r="E715" s="18" t="str">
        <f t="shared" si="22"/>
        <v/>
      </c>
      <c r="F715" s="26" t="str">
        <f>IF(A715="","",IF(D715="",0,D715*Productos!G715))</f>
        <v/>
      </c>
      <c r="G715" s="26" t="str">
        <f>IF(A715="","",IF(D715="",0,D715*Productos!F715))</f>
        <v/>
      </c>
      <c r="H715" s="26" t="str">
        <f t="shared" si="23"/>
        <v/>
      </c>
      <c r="I715" t="str">
        <f>IF(A715="","",Productos!J715)</f>
        <v/>
      </c>
    </row>
    <row r="716" spans="1:9" x14ac:dyDescent="0.2">
      <c r="A716" s="18" t="str">
        <f>IF(Productos!A716="","",Productos!A716)</f>
        <v/>
      </c>
      <c r="B716" s="18" t="str">
        <f>IF(Productos!B716="","",Productos!B716)</f>
        <v/>
      </c>
      <c r="C716" s="18" t="str">
        <f>IF(Productos!$A716="","",Productos!H716)</f>
        <v/>
      </c>
      <c r="E716" s="18" t="str">
        <f t="shared" si="22"/>
        <v/>
      </c>
      <c r="F716" s="26" t="str">
        <f>IF(A716="","",IF(D716="",0,D716*Productos!G716))</f>
        <v/>
      </c>
      <c r="G716" s="26" t="str">
        <f>IF(A716="","",IF(D716="",0,D716*Productos!F716))</f>
        <v/>
      </c>
      <c r="H716" s="26" t="str">
        <f t="shared" si="23"/>
        <v/>
      </c>
      <c r="I716" t="str">
        <f>IF(A716="","",Productos!J716)</f>
        <v/>
      </c>
    </row>
    <row r="717" spans="1:9" x14ac:dyDescent="0.2">
      <c r="A717" s="18" t="str">
        <f>IF(Productos!A717="","",Productos!A717)</f>
        <v/>
      </c>
      <c r="B717" s="18" t="str">
        <f>IF(Productos!B717="","",Productos!B717)</f>
        <v/>
      </c>
      <c r="C717" s="18" t="str">
        <f>IF(Productos!$A717="","",Productos!H717)</f>
        <v/>
      </c>
      <c r="E717" s="18" t="str">
        <f t="shared" si="22"/>
        <v/>
      </c>
      <c r="F717" s="26" t="str">
        <f>IF(A717="","",IF(D717="",0,D717*Productos!G717))</f>
        <v/>
      </c>
      <c r="G717" s="26" t="str">
        <f>IF(A717="","",IF(D717="",0,D717*Productos!F717))</f>
        <v/>
      </c>
      <c r="H717" s="26" t="str">
        <f t="shared" si="23"/>
        <v/>
      </c>
      <c r="I717" t="str">
        <f>IF(A717="","",Productos!J717)</f>
        <v/>
      </c>
    </row>
    <row r="718" spans="1:9" x14ac:dyDescent="0.2">
      <c r="A718" s="18" t="str">
        <f>IF(Productos!A718="","",Productos!A718)</f>
        <v/>
      </c>
      <c r="B718" s="18" t="str">
        <f>IF(Productos!B718="","",Productos!B718)</f>
        <v/>
      </c>
      <c r="C718" s="18" t="str">
        <f>IF(Productos!$A718="","",Productos!H718)</f>
        <v/>
      </c>
      <c r="E718" s="18" t="str">
        <f t="shared" si="22"/>
        <v/>
      </c>
      <c r="F718" s="26" t="str">
        <f>IF(A718="","",IF(D718="",0,D718*Productos!G718))</f>
        <v/>
      </c>
      <c r="G718" s="26" t="str">
        <f>IF(A718="","",IF(D718="",0,D718*Productos!F718))</f>
        <v/>
      </c>
      <c r="H718" s="26" t="str">
        <f t="shared" si="23"/>
        <v/>
      </c>
      <c r="I718" t="str">
        <f>IF(A718="","",Productos!J718)</f>
        <v/>
      </c>
    </row>
    <row r="719" spans="1:9" x14ac:dyDescent="0.2">
      <c r="A719" s="18" t="str">
        <f>IF(Productos!A719="","",Productos!A719)</f>
        <v/>
      </c>
      <c r="B719" s="18" t="str">
        <f>IF(Productos!B719="","",Productos!B719)</f>
        <v/>
      </c>
      <c r="C719" s="18" t="str">
        <f>IF(Productos!$A719="","",Productos!H719)</f>
        <v/>
      </c>
      <c r="E719" s="18" t="str">
        <f t="shared" si="22"/>
        <v/>
      </c>
      <c r="F719" s="26" t="str">
        <f>IF(A719="","",IF(D719="",0,D719*Productos!G719))</f>
        <v/>
      </c>
      <c r="G719" s="26" t="str">
        <f>IF(A719="","",IF(D719="",0,D719*Productos!F719))</f>
        <v/>
      </c>
      <c r="H719" s="26" t="str">
        <f t="shared" si="23"/>
        <v/>
      </c>
      <c r="I719" t="str">
        <f>IF(A719="","",Productos!J719)</f>
        <v/>
      </c>
    </row>
    <row r="720" spans="1:9" x14ac:dyDescent="0.2">
      <c r="A720" s="18" t="str">
        <f>IF(Productos!A720="","",Productos!A720)</f>
        <v/>
      </c>
      <c r="B720" s="18" t="str">
        <f>IF(Productos!B720="","",Productos!B720)</f>
        <v/>
      </c>
      <c r="C720" s="18" t="str">
        <f>IF(Productos!$A720="","",Productos!H720)</f>
        <v/>
      </c>
      <c r="E720" s="18" t="str">
        <f t="shared" si="22"/>
        <v/>
      </c>
      <c r="F720" s="26" t="str">
        <f>IF(A720="","",IF(D720="",0,D720*Productos!G720))</f>
        <v/>
      </c>
      <c r="G720" s="26" t="str">
        <f>IF(A720="","",IF(D720="",0,D720*Productos!F720))</f>
        <v/>
      </c>
      <c r="H720" s="26" t="str">
        <f t="shared" si="23"/>
        <v/>
      </c>
      <c r="I720" t="str">
        <f>IF(A720="","",Productos!J720)</f>
        <v/>
      </c>
    </row>
    <row r="721" spans="1:9" x14ac:dyDescent="0.2">
      <c r="A721" s="18" t="str">
        <f>IF(Productos!A721="","",Productos!A721)</f>
        <v/>
      </c>
      <c r="B721" s="18" t="str">
        <f>IF(Productos!B721="","",Productos!B721)</f>
        <v/>
      </c>
      <c r="C721" s="18" t="str">
        <f>IF(Productos!$A721="","",Productos!H721)</f>
        <v/>
      </c>
      <c r="E721" s="18" t="str">
        <f t="shared" si="22"/>
        <v/>
      </c>
      <c r="F721" s="26" t="str">
        <f>IF(A721="","",IF(D721="",0,D721*Productos!G721))</f>
        <v/>
      </c>
      <c r="G721" s="26" t="str">
        <f>IF(A721="","",IF(D721="",0,D721*Productos!F721))</f>
        <v/>
      </c>
      <c r="H721" s="26" t="str">
        <f t="shared" si="23"/>
        <v/>
      </c>
      <c r="I721" t="str">
        <f>IF(A721="","",Productos!J721)</f>
        <v/>
      </c>
    </row>
    <row r="722" spans="1:9" x14ac:dyDescent="0.2">
      <c r="A722" s="18" t="str">
        <f>IF(Productos!A722="","",Productos!A722)</f>
        <v/>
      </c>
      <c r="B722" s="18" t="str">
        <f>IF(Productos!B722="","",Productos!B722)</f>
        <v/>
      </c>
      <c r="C722" s="18" t="str">
        <f>IF(Productos!$A722="","",Productos!H722)</f>
        <v/>
      </c>
      <c r="E722" s="18" t="str">
        <f t="shared" si="22"/>
        <v/>
      </c>
      <c r="F722" s="26" t="str">
        <f>IF(A722="","",IF(D722="",0,D722*Productos!G722))</f>
        <v/>
      </c>
      <c r="G722" s="26" t="str">
        <f>IF(A722="","",IF(D722="",0,D722*Productos!F722))</f>
        <v/>
      </c>
      <c r="H722" s="26" t="str">
        <f t="shared" si="23"/>
        <v/>
      </c>
      <c r="I722" t="str">
        <f>IF(A722="","",Productos!J722)</f>
        <v/>
      </c>
    </row>
    <row r="723" spans="1:9" x14ac:dyDescent="0.2">
      <c r="A723" s="18" t="str">
        <f>IF(Productos!A723="","",Productos!A723)</f>
        <v/>
      </c>
      <c r="B723" s="18" t="str">
        <f>IF(Productos!B723="","",Productos!B723)</f>
        <v/>
      </c>
      <c r="C723" s="18" t="str">
        <f>IF(Productos!$A723="","",Productos!H723)</f>
        <v/>
      </c>
      <c r="E723" s="18" t="str">
        <f t="shared" si="22"/>
        <v/>
      </c>
      <c r="F723" s="26" t="str">
        <f>IF(A723="","",IF(D723="",0,D723*Productos!G723))</f>
        <v/>
      </c>
      <c r="G723" s="26" t="str">
        <f>IF(A723="","",IF(D723="",0,D723*Productos!F723))</f>
        <v/>
      </c>
      <c r="H723" s="26" t="str">
        <f t="shared" si="23"/>
        <v/>
      </c>
      <c r="I723" t="str">
        <f>IF(A723="","",Productos!J723)</f>
        <v/>
      </c>
    </row>
    <row r="724" spans="1:9" x14ac:dyDescent="0.2">
      <c r="A724" s="18" t="str">
        <f>IF(Productos!A724="","",Productos!A724)</f>
        <v/>
      </c>
      <c r="B724" s="18" t="str">
        <f>IF(Productos!B724="","",Productos!B724)</f>
        <v/>
      </c>
      <c r="C724" s="18" t="str">
        <f>IF(Productos!$A724="","",Productos!H724)</f>
        <v/>
      </c>
      <c r="E724" s="18" t="str">
        <f t="shared" si="22"/>
        <v/>
      </c>
      <c r="F724" s="26" t="str">
        <f>IF(A724="","",IF(D724="",0,D724*Productos!G724))</f>
        <v/>
      </c>
      <c r="G724" s="26" t="str">
        <f>IF(A724="","",IF(D724="",0,D724*Productos!F724))</f>
        <v/>
      </c>
      <c r="H724" s="26" t="str">
        <f t="shared" si="23"/>
        <v/>
      </c>
      <c r="I724" t="str">
        <f>IF(A724="","",Productos!J724)</f>
        <v/>
      </c>
    </row>
    <row r="725" spans="1:9" x14ac:dyDescent="0.2">
      <c r="A725" s="18" t="str">
        <f>IF(Productos!A725="","",Productos!A725)</f>
        <v/>
      </c>
      <c r="B725" s="18" t="str">
        <f>IF(Productos!B725="","",Productos!B725)</f>
        <v/>
      </c>
      <c r="C725" s="18" t="str">
        <f>IF(Productos!$A725="","",Productos!H725)</f>
        <v/>
      </c>
      <c r="E725" s="18" t="str">
        <f t="shared" si="22"/>
        <v/>
      </c>
      <c r="F725" s="26" t="str">
        <f>IF(A725="","",IF(D725="",0,D725*Productos!G725))</f>
        <v/>
      </c>
      <c r="G725" s="26" t="str">
        <f>IF(A725="","",IF(D725="",0,D725*Productos!F725))</f>
        <v/>
      </c>
      <c r="H725" s="26" t="str">
        <f t="shared" si="23"/>
        <v/>
      </c>
      <c r="I725" t="str">
        <f>IF(A725="","",Productos!J725)</f>
        <v/>
      </c>
    </row>
    <row r="726" spans="1:9" x14ac:dyDescent="0.2">
      <c r="A726" s="18" t="str">
        <f>IF(Productos!A726="","",Productos!A726)</f>
        <v/>
      </c>
      <c r="B726" s="18" t="str">
        <f>IF(Productos!B726="","",Productos!B726)</f>
        <v/>
      </c>
      <c r="C726" s="18" t="str">
        <f>IF(Productos!$A726="","",Productos!H726)</f>
        <v/>
      </c>
      <c r="E726" s="18" t="str">
        <f t="shared" si="22"/>
        <v/>
      </c>
      <c r="F726" s="26" t="str">
        <f>IF(A726="","",IF(D726="",0,D726*Productos!G726))</f>
        <v/>
      </c>
      <c r="G726" s="26" t="str">
        <f>IF(A726="","",IF(D726="",0,D726*Productos!F726))</f>
        <v/>
      </c>
      <c r="H726" s="26" t="str">
        <f t="shared" si="23"/>
        <v/>
      </c>
      <c r="I726" t="str">
        <f>IF(A726="","",Productos!J726)</f>
        <v/>
      </c>
    </row>
    <row r="727" spans="1:9" x14ac:dyDescent="0.2">
      <c r="A727" s="18" t="str">
        <f>IF(Productos!A727="","",Productos!A727)</f>
        <v/>
      </c>
      <c r="B727" s="18" t="str">
        <f>IF(Productos!B727="","",Productos!B727)</f>
        <v/>
      </c>
      <c r="C727" s="18" t="str">
        <f>IF(Productos!$A727="","",Productos!H727)</f>
        <v/>
      </c>
      <c r="E727" s="18" t="str">
        <f t="shared" si="22"/>
        <v/>
      </c>
      <c r="F727" s="26" t="str">
        <f>IF(A727="","",IF(D727="",0,D727*Productos!G727))</f>
        <v/>
      </c>
      <c r="G727" s="26" t="str">
        <f>IF(A727="","",IF(D727="",0,D727*Productos!F727))</f>
        <v/>
      </c>
      <c r="H727" s="26" t="str">
        <f t="shared" si="23"/>
        <v/>
      </c>
      <c r="I727" t="str">
        <f>IF(A727="","",Productos!J727)</f>
        <v/>
      </c>
    </row>
    <row r="728" spans="1:9" x14ac:dyDescent="0.2">
      <c r="A728" s="18" t="str">
        <f>IF(Productos!A728="","",Productos!A728)</f>
        <v/>
      </c>
      <c r="B728" s="18" t="str">
        <f>IF(Productos!B728="","",Productos!B728)</f>
        <v/>
      </c>
      <c r="C728" s="18" t="str">
        <f>IF(Productos!$A728="","",Productos!H728)</f>
        <v/>
      </c>
      <c r="E728" s="18" t="str">
        <f t="shared" si="22"/>
        <v/>
      </c>
      <c r="F728" s="26" t="str">
        <f>IF(A728="","",IF(D728="",0,D728*Productos!G728))</f>
        <v/>
      </c>
      <c r="G728" s="26" t="str">
        <f>IF(A728="","",IF(D728="",0,D728*Productos!F728))</f>
        <v/>
      </c>
      <c r="H728" s="26" t="str">
        <f t="shared" si="23"/>
        <v/>
      </c>
      <c r="I728" t="str">
        <f>IF(A728="","",Productos!J728)</f>
        <v/>
      </c>
    </row>
    <row r="729" spans="1:9" x14ac:dyDescent="0.2">
      <c r="A729" s="18" t="str">
        <f>IF(Productos!A729="","",Productos!A729)</f>
        <v/>
      </c>
      <c r="B729" s="18" t="str">
        <f>IF(Productos!B729="","",Productos!B729)</f>
        <v/>
      </c>
      <c r="C729" s="18" t="str">
        <f>IF(Productos!$A729="","",Productos!H729)</f>
        <v/>
      </c>
      <c r="E729" s="18" t="str">
        <f t="shared" si="22"/>
        <v/>
      </c>
      <c r="F729" s="26" t="str">
        <f>IF(A729="","",IF(D729="",0,D729*Productos!G729))</f>
        <v/>
      </c>
      <c r="G729" s="26" t="str">
        <f>IF(A729="","",IF(D729="",0,D729*Productos!F729))</f>
        <v/>
      </c>
      <c r="H729" s="26" t="str">
        <f t="shared" si="23"/>
        <v/>
      </c>
      <c r="I729" t="str">
        <f>IF(A729="","",Productos!J729)</f>
        <v/>
      </c>
    </row>
    <row r="730" spans="1:9" x14ac:dyDescent="0.2">
      <c r="A730" s="18" t="str">
        <f>IF(Productos!A730="","",Productos!A730)</f>
        <v/>
      </c>
      <c r="B730" s="18" t="str">
        <f>IF(Productos!B730="","",Productos!B730)</f>
        <v/>
      </c>
      <c r="C730" s="18" t="str">
        <f>IF(Productos!$A730="","",Productos!H730)</f>
        <v/>
      </c>
      <c r="E730" s="18" t="str">
        <f t="shared" si="22"/>
        <v/>
      </c>
      <c r="F730" s="26" t="str">
        <f>IF(A730="","",IF(D730="",0,D730*Productos!G730))</f>
        <v/>
      </c>
      <c r="G730" s="26" t="str">
        <f>IF(A730="","",IF(D730="",0,D730*Productos!F730))</f>
        <v/>
      </c>
      <c r="H730" s="26" t="str">
        <f t="shared" si="23"/>
        <v/>
      </c>
      <c r="I730" t="str">
        <f>IF(A730="","",Productos!J730)</f>
        <v/>
      </c>
    </row>
    <row r="731" spans="1:9" x14ac:dyDescent="0.2">
      <c r="A731" s="18" t="str">
        <f>IF(Productos!A731="","",Productos!A731)</f>
        <v/>
      </c>
      <c r="B731" s="18" t="str">
        <f>IF(Productos!B731="","",Productos!B731)</f>
        <v/>
      </c>
      <c r="C731" s="18" t="str">
        <f>IF(Productos!$A731="","",Productos!H731)</f>
        <v/>
      </c>
      <c r="E731" s="18" t="str">
        <f t="shared" si="22"/>
        <v/>
      </c>
      <c r="F731" s="26" t="str">
        <f>IF(A731="","",IF(D731="",0,D731*Productos!G731))</f>
        <v/>
      </c>
      <c r="G731" s="26" t="str">
        <f>IF(A731="","",IF(D731="",0,D731*Productos!F731))</f>
        <v/>
      </c>
      <c r="H731" s="26" t="str">
        <f t="shared" si="23"/>
        <v/>
      </c>
      <c r="I731" t="str">
        <f>IF(A731="","",Productos!J731)</f>
        <v/>
      </c>
    </row>
    <row r="732" spans="1:9" x14ac:dyDescent="0.2">
      <c r="A732" s="18" t="str">
        <f>IF(Productos!A732="","",Productos!A732)</f>
        <v/>
      </c>
      <c r="B732" s="18" t="str">
        <f>IF(Productos!B732="","",Productos!B732)</f>
        <v/>
      </c>
      <c r="C732" s="18" t="str">
        <f>IF(Productos!$A732="","",Productos!H732)</f>
        <v/>
      </c>
      <c r="E732" s="18" t="str">
        <f t="shared" si="22"/>
        <v/>
      </c>
      <c r="F732" s="26" t="str">
        <f>IF(A732="","",IF(D732="",0,D732*Productos!G732))</f>
        <v/>
      </c>
      <c r="G732" s="26" t="str">
        <f>IF(A732="","",IF(D732="",0,D732*Productos!F732))</f>
        <v/>
      </c>
      <c r="H732" s="26" t="str">
        <f t="shared" si="23"/>
        <v/>
      </c>
      <c r="I732" t="str">
        <f>IF(A732="","",Productos!J732)</f>
        <v/>
      </c>
    </row>
    <row r="733" spans="1:9" x14ac:dyDescent="0.2">
      <c r="A733" s="18" t="str">
        <f>IF(Productos!A733="","",Productos!A733)</f>
        <v/>
      </c>
      <c r="B733" s="18" t="str">
        <f>IF(Productos!B733="","",Productos!B733)</f>
        <v/>
      </c>
      <c r="C733" s="18" t="str">
        <f>IF(Productos!$A733="","",Productos!H733)</f>
        <v/>
      </c>
      <c r="E733" s="18" t="str">
        <f t="shared" si="22"/>
        <v/>
      </c>
      <c r="F733" s="26" t="str">
        <f>IF(A733="","",IF(D733="",0,D733*Productos!G733))</f>
        <v/>
      </c>
      <c r="G733" s="26" t="str">
        <f>IF(A733="","",IF(D733="",0,D733*Productos!F733))</f>
        <v/>
      </c>
      <c r="H733" s="26" t="str">
        <f t="shared" si="23"/>
        <v/>
      </c>
      <c r="I733" t="str">
        <f>IF(A733="","",Productos!J733)</f>
        <v/>
      </c>
    </row>
    <row r="734" spans="1:9" x14ac:dyDescent="0.2">
      <c r="A734" s="18" t="str">
        <f>IF(Productos!A734="","",Productos!A734)</f>
        <v/>
      </c>
      <c r="B734" s="18" t="str">
        <f>IF(Productos!B734="","",Productos!B734)</f>
        <v/>
      </c>
      <c r="C734" s="18" t="str">
        <f>IF(Productos!$A734="","",Productos!H734)</f>
        <v/>
      </c>
      <c r="E734" s="18" t="str">
        <f t="shared" si="22"/>
        <v/>
      </c>
      <c r="F734" s="26" t="str">
        <f>IF(A734="","",IF(D734="",0,D734*Productos!G734))</f>
        <v/>
      </c>
      <c r="G734" s="26" t="str">
        <f>IF(A734="","",IF(D734="",0,D734*Productos!F734))</f>
        <v/>
      </c>
      <c r="H734" s="26" t="str">
        <f t="shared" si="23"/>
        <v/>
      </c>
      <c r="I734" t="str">
        <f>IF(A734="","",Productos!J734)</f>
        <v/>
      </c>
    </row>
    <row r="735" spans="1:9" x14ac:dyDescent="0.2">
      <c r="A735" s="18" t="str">
        <f>IF(Productos!A735="","",Productos!A735)</f>
        <v/>
      </c>
      <c r="B735" s="18" t="str">
        <f>IF(Productos!B735="","",Productos!B735)</f>
        <v/>
      </c>
      <c r="C735" s="18" t="str">
        <f>IF(Productos!$A735="","",Productos!H735)</f>
        <v/>
      </c>
      <c r="E735" s="18" t="str">
        <f t="shared" si="22"/>
        <v/>
      </c>
      <c r="F735" s="26" t="str">
        <f>IF(A735="","",IF(D735="",0,D735*Productos!G735))</f>
        <v/>
      </c>
      <c r="G735" s="26" t="str">
        <f>IF(A735="","",IF(D735="",0,D735*Productos!F735))</f>
        <v/>
      </c>
      <c r="H735" s="26" t="str">
        <f t="shared" si="23"/>
        <v/>
      </c>
      <c r="I735" t="str">
        <f>IF(A735="","",Productos!J735)</f>
        <v/>
      </c>
    </row>
    <row r="736" spans="1:9" x14ac:dyDescent="0.2">
      <c r="A736" s="18" t="str">
        <f>IF(Productos!A736="","",Productos!A736)</f>
        <v/>
      </c>
      <c r="B736" s="18" t="str">
        <f>IF(Productos!B736="","",Productos!B736)</f>
        <v/>
      </c>
      <c r="C736" s="18" t="str">
        <f>IF(Productos!$A736="","",Productos!H736)</f>
        <v/>
      </c>
      <c r="E736" s="18" t="str">
        <f t="shared" si="22"/>
        <v/>
      </c>
      <c r="F736" s="26" t="str">
        <f>IF(A736="","",IF(D736="",0,D736*Productos!G736))</f>
        <v/>
      </c>
      <c r="G736" s="26" t="str">
        <f>IF(A736="","",IF(D736="",0,D736*Productos!F736))</f>
        <v/>
      </c>
      <c r="H736" s="26" t="str">
        <f t="shared" si="23"/>
        <v/>
      </c>
      <c r="I736" t="str">
        <f>IF(A736="","",Productos!J736)</f>
        <v/>
      </c>
    </row>
    <row r="737" spans="1:9" x14ac:dyDescent="0.2">
      <c r="A737" s="18" t="str">
        <f>IF(Productos!A737="","",Productos!A737)</f>
        <v/>
      </c>
      <c r="B737" s="18" t="str">
        <f>IF(Productos!B737="","",Productos!B737)</f>
        <v/>
      </c>
      <c r="C737" s="18" t="str">
        <f>IF(Productos!$A737="","",Productos!H737)</f>
        <v/>
      </c>
      <c r="E737" s="18" t="str">
        <f t="shared" si="22"/>
        <v/>
      </c>
      <c r="F737" s="26" t="str">
        <f>IF(A737="","",IF(D737="",0,D737*Productos!G737))</f>
        <v/>
      </c>
      <c r="G737" s="26" t="str">
        <f>IF(A737="","",IF(D737="",0,D737*Productos!F737))</f>
        <v/>
      </c>
      <c r="H737" s="26" t="str">
        <f t="shared" si="23"/>
        <v/>
      </c>
      <c r="I737" t="str">
        <f>IF(A737="","",Productos!J737)</f>
        <v/>
      </c>
    </row>
    <row r="738" spans="1:9" x14ac:dyDescent="0.2">
      <c r="A738" s="18" t="str">
        <f>IF(Productos!A738="","",Productos!A738)</f>
        <v/>
      </c>
      <c r="B738" s="18" t="str">
        <f>IF(Productos!B738="","",Productos!B738)</f>
        <v/>
      </c>
      <c r="C738" s="18" t="str">
        <f>IF(Productos!$A738="","",Productos!H738)</f>
        <v/>
      </c>
      <c r="E738" s="18" t="str">
        <f t="shared" si="22"/>
        <v/>
      </c>
      <c r="F738" s="26" t="str">
        <f>IF(A738="","",IF(D738="",0,D738*Productos!G738))</f>
        <v/>
      </c>
      <c r="G738" s="26" t="str">
        <f>IF(A738="","",IF(D738="",0,D738*Productos!F738))</f>
        <v/>
      </c>
      <c r="H738" s="26" t="str">
        <f t="shared" si="23"/>
        <v/>
      </c>
      <c r="I738" t="str">
        <f>IF(A738="","",Productos!J738)</f>
        <v/>
      </c>
    </row>
    <row r="739" spans="1:9" x14ac:dyDescent="0.2">
      <c r="A739" s="18" t="str">
        <f>IF(Productos!A739="","",Productos!A739)</f>
        <v/>
      </c>
      <c r="B739" s="18" t="str">
        <f>IF(Productos!B739="","",Productos!B739)</f>
        <v/>
      </c>
      <c r="C739" s="18" t="str">
        <f>IF(Productos!$A739="","",Productos!H739)</f>
        <v/>
      </c>
      <c r="E739" s="18" t="str">
        <f t="shared" si="22"/>
        <v/>
      </c>
      <c r="F739" s="26" t="str">
        <f>IF(A739="","",IF(D739="",0,D739*Productos!G739))</f>
        <v/>
      </c>
      <c r="G739" s="26" t="str">
        <f>IF(A739="","",IF(D739="",0,D739*Productos!F739))</f>
        <v/>
      </c>
      <c r="H739" s="26" t="str">
        <f t="shared" si="23"/>
        <v/>
      </c>
      <c r="I739" t="str">
        <f>IF(A739="","",Productos!J739)</f>
        <v/>
      </c>
    </row>
    <row r="740" spans="1:9" x14ac:dyDescent="0.2">
      <c r="A740" s="18" t="str">
        <f>IF(Productos!A740="","",Productos!A740)</f>
        <v/>
      </c>
      <c r="B740" s="18" t="str">
        <f>IF(Productos!B740="","",Productos!B740)</f>
        <v/>
      </c>
      <c r="C740" s="18" t="str">
        <f>IF(Productos!$A740="","",Productos!H740)</f>
        <v/>
      </c>
      <c r="E740" s="18" t="str">
        <f t="shared" si="22"/>
        <v/>
      </c>
      <c r="F740" s="26" t="str">
        <f>IF(A740="","",IF(D740="",0,D740*Productos!G740))</f>
        <v/>
      </c>
      <c r="G740" s="26" t="str">
        <f>IF(A740="","",IF(D740="",0,D740*Productos!F740))</f>
        <v/>
      </c>
      <c r="H740" s="26" t="str">
        <f t="shared" si="23"/>
        <v/>
      </c>
      <c r="I740" t="str">
        <f>IF(A740="","",Productos!J740)</f>
        <v/>
      </c>
    </row>
    <row r="741" spans="1:9" x14ac:dyDescent="0.2">
      <c r="A741" s="18" t="str">
        <f>IF(Productos!A741="","",Productos!A741)</f>
        <v/>
      </c>
      <c r="B741" s="18" t="str">
        <f>IF(Productos!B741="","",Productos!B741)</f>
        <v/>
      </c>
      <c r="C741" s="18" t="str">
        <f>IF(Productos!$A741="","",Productos!H741)</f>
        <v/>
      </c>
      <c r="E741" s="18" t="str">
        <f t="shared" si="22"/>
        <v/>
      </c>
      <c r="F741" s="26" t="str">
        <f>IF(A741="","",IF(D741="",0,D741*Productos!G741))</f>
        <v/>
      </c>
      <c r="G741" s="26" t="str">
        <f>IF(A741="","",IF(D741="",0,D741*Productos!F741))</f>
        <v/>
      </c>
      <c r="H741" s="26" t="str">
        <f t="shared" si="23"/>
        <v/>
      </c>
      <c r="I741" t="str">
        <f>IF(A741="","",Productos!J741)</f>
        <v/>
      </c>
    </row>
    <row r="742" spans="1:9" x14ac:dyDescent="0.2">
      <c r="A742" s="18" t="str">
        <f>IF(Productos!A742="","",Productos!A742)</f>
        <v/>
      </c>
      <c r="B742" s="18" t="str">
        <f>IF(Productos!B742="","",Productos!B742)</f>
        <v/>
      </c>
      <c r="C742" s="18" t="str">
        <f>IF(Productos!$A742="","",Productos!H742)</f>
        <v/>
      </c>
      <c r="E742" s="18" t="str">
        <f t="shared" si="22"/>
        <v/>
      </c>
      <c r="F742" s="26" t="str">
        <f>IF(A742="","",IF(D742="",0,D742*Productos!G742))</f>
        <v/>
      </c>
      <c r="G742" s="26" t="str">
        <f>IF(A742="","",IF(D742="",0,D742*Productos!F742))</f>
        <v/>
      </c>
      <c r="H742" s="26" t="str">
        <f t="shared" si="23"/>
        <v/>
      </c>
      <c r="I742" t="str">
        <f>IF(A742="","",Productos!J742)</f>
        <v/>
      </c>
    </row>
    <row r="743" spans="1:9" x14ac:dyDescent="0.2">
      <c r="A743" s="18" t="str">
        <f>IF(Productos!A743="","",Productos!A743)</f>
        <v/>
      </c>
      <c r="B743" s="18" t="str">
        <f>IF(Productos!B743="","",Productos!B743)</f>
        <v/>
      </c>
      <c r="C743" s="18" t="str">
        <f>IF(Productos!$A743="","",Productos!H743)</f>
        <v/>
      </c>
      <c r="E743" s="18" t="str">
        <f t="shared" si="22"/>
        <v/>
      </c>
      <c r="F743" s="26" t="str">
        <f>IF(A743="","",IF(D743="",0,D743*Productos!G743))</f>
        <v/>
      </c>
      <c r="G743" s="26" t="str">
        <f>IF(A743="","",IF(D743="",0,D743*Productos!F743))</f>
        <v/>
      </c>
      <c r="H743" s="26" t="str">
        <f t="shared" si="23"/>
        <v/>
      </c>
      <c r="I743" t="str">
        <f>IF(A743="","",Productos!J743)</f>
        <v/>
      </c>
    </row>
    <row r="744" spans="1:9" x14ac:dyDescent="0.2">
      <c r="A744" s="18" t="str">
        <f>IF(Productos!A744="","",Productos!A744)</f>
        <v/>
      </c>
      <c r="B744" s="18" t="str">
        <f>IF(Productos!B744="","",Productos!B744)</f>
        <v/>
      </c>
      <c r="C744" s="18" t="str">
        <f>IF(Productos!$A744="","",Productos!H744)</f>
        <v/>
      </c>
      <c r="E744" s="18" t="str">
        <f t="shared" si="22"/>
        <v/>
      </c>
      <c r="F744" s="26" t="str">
        <f>IF(A744="","",IF(D744="",0,D744*Productos!G744))</f>
        <v/>
      </c>
      <c r="G744" s="26" t="str">
        <f>IF(A744="","",IF(D744="",0,D744*Productos!F744))</f>
        <v/>
      </c>
      <c r="H744" s="26" t="str">
        <f t="shared" si="23"/>
        <v/>
      </c>
      <c r="I744" t="str">
        <f>IF(A744="","",Productos!J744)</f>
        <v/>
      </c>
    </row>
    <row r="745" spans="1:9" x14ac:dyDescent="0.2">
      <c r="A745" s="18" t="str">
        <f>IF(Productos!A745="","",Productos!A745)</f>
        <v/>
      </c>
      <c r="B745" s="18" t="str">
        <f>IF(Productos!B745="","",Productos!B745)</f>
        <v/>
      </c>
      <c r="C745" s="18" t="str">
        <f>IF(Productos!$A745="","",Productos!H745)</f>
        <v/>
      </c>
      <c r="E745" s="18" t="str">
        <f t="shared" si="22"/>
        <v/>
      </c>
      <c r="F745" s="26" t="str">
        <f>IF(A745="","",IF(D745="",0,D745*Productos!G745))</f>
        <v/>
      </c>
      <c r="G745" s="26" t="str">
        <f>IF(A745="","",IF(D745="",0,D745*Productos!F745))</f>
        <v/>
      </c>
      <c r="H745" s="26" t="str">
        <f t="shared" si="23"/>
        <v/>
      </c>
      <c r="I745" t="str">
        <f>IF(A745="","",Productos!J745)</f>
        <v/>
      </c>
    </row>
    <row r="746" spans="1:9" x14ac:dyDescent="0.2">
      <c r="A746" s="18" t="str">
        <f>IF(Productos!A746="","",Productos!A746)</f>
        <v/>
      </c>
      <c r="B746" s="18" t="str">
        <f>IF(Productos!B746="","",Productos!B746)</f>
        <v/>
      </c>
      <c r="C746" s="18" t="str">
        <f>IF(Productos!$A746="","",Productos!H746)</f>
        <v/>
      </c>
      <c r="E746" s="18" t="str">
        <f t="shared" si="22"/>
        <v/>
      </c>
      <c r="F746" s="26" t="str">
        <f>IF(A746="","",IF(D746="",0,D746*Productos!G746))</f>
        <v/>
      </c>
      <c r="G746" s="26" t="str">
        <f>IF(A746="","",IF(D746="",0,D746*Productos!F746))</f>
        <v/>
      </c>
      <c r="H746" s="26" t="str">
        <f t="shared" si="23"/>
        <v/>
      </c>
      <c r="I746" t="str">
        <f>IF(A746="","",Productos!J746)</f>
        <v/>
      </c>
    </row>
    <row r="747" spans="1:9" x14ac:dyDescent="0.2">
      <c r="A747" s="18" t="str">
        <f>IF(Productos!A747="","",Productos!A747)</f>
        <v/>
      </c>
      <c r="B747" s="18" t="str">
        <f>IF(Productos!B747="","",Productos!B747)</f>
        <v/>
      </c>
      <c r="C747" s="18" t="str">
        <f>IF(Productos!$A747="","",Productos!H747)</f>
        <v/>
      </c>
      <c r="E747" s="18" t="str">
        <f t="shared" si="22"/>
        <v/>
      </c>
      <c r="F747" s="26" t="str">
        <f>IF(A747="","",IF(D747="",0,D747*Productos!G747))</f>
        <v/>
      </c>
      <c r="G747" s="26" t="str">
        <f>IF(A747="","",IF(D747="",0,D747*Productos!F747))</f>
        <v/>
      </c>
      <c r="H747" s="26" t="str">
        <f t="shared" si="23"/>
        <v/>
      </c>
      <c r="I747" t="str">
        <f>IF(A747="","",Productos!J747)</f>
        <v/>
      </c>
    </row>
    <row r="748" spans="1:9" x14ac:dyDescent="0.2">
      <c r="A748" s="18" t="str">
        <f>IF(Productos!A748="","",Productos!A748)</f>
        <v/>
      </c>
      <c r="B748" s="18" t="str">
        <f>IF(Productos!B748="","",Productos!B748)</f>
        <v/>
      </c>
      <c r="C748" s="18" t="str">
        <f>IF(Productos!$A748="","",Productos!H748)</f>
        <v/>
      </c>
      <c r="E748" s="18" t="str">
        <f t="shared" si="22"/>
        <v/>
      </c>
      <c r="F748" s="26" t="str">
        <f>IF(A748="","",IF(D748="",0,D748*Productos!G748))</f>
        <v/>
      </c>
      <c r="G748" s="26" t="str">
        <f>IF(A748="","",IF(D748="",0,D748*Productos!F748))</f>
        <v/>
      </c>
      <c r="H748" s="26" t="str">
        <f t="shared" si="23"/>
        <v/>
      </c>
      <c r="I748" t="str">
        <f>IF(A748="","",Productos!J748)</f>
        <v/>
      </c>
    </row>
    <row r="749" spans="1:9" x14ac:dyDescent="0.2">
      <c r="A749" s="18" t="str">
        <f>IF(Productos!A749="","",Productos!A749)</f>
        <v/>
      </c>
      <c r="B749" s="18" t="str">
        <f>IF(Productos!B749="","",Productos!B749)</f>
        <v/>
      </c>
      <c r="C749" s="18" t="str">
        <f>IF(Productos!$A749="","",Productos!H749)</f>
        <v/>
      </c>
      <c r="E749" s="18" t="str">
        <f t="shared" si="22"/>
        <v/>
      </c>
      <c r="F749" s="26" t="str">
        <f>IF(A749="","",IF(D749="",0,D749*Productos!G749))</f>
        <v/>
      </c>
      <c r="G749" s="26" t="str">
        <f>IF(A749="","",IF(D749="",0,D749*Productos!F749))</f>
        <v/>
      </c>
      <c r="H749" s="26" t="str">
        <f t="shared" si="23"/>
        <v/>
      </c>
      <c r="I749" t="str">
        <f>IF(A749="","",Productos!J749)</f>
        <v/>
      </c>
    </row>
    <row r="750" spans="1:9" x14ac:dyDescent="0.2">
      <c r="A750" s="18" t="str">
        <f>IF(Productos!A750="","",Productos!A750)</f>
        <v/>
      </c>
      <c r="B750" s="18" t="str">
        <f>IF(Productos!B750="","",Productos!B750)</f>
        <v/>
      </c>
      <c r="C750" s="18" t="str">
        <f>IF(Productos!$A750="","",Productos!H750)</f>
        <v/>
      </c>
      <c r="E750" s="18" t="str">
        <f t="shared" si="22"/>
        <v/>
      </c>
      <c r="F750" s="26" t="str">
        <f>IF(A750="","",IF(D750="",0,D750*Productos!G750))</f>
        <v/>
      </c>
      <c r="G750" s="26" t="str">
        <f>IF(A750="","",IF(D750="",0,D750*Productos!F750))</f>
        <v/>
      </c>
      <c r="H750" s="26" t="str">
        <f t="shared" si="23"/>
        <v/>
      </c>
      <c r="I750" t="str">
        <f>IF(A750="","",Productos!J750)</f>
        <v/>
      </c>
    </row>
    <row r="751" spans="1:9" x14ac:dyDescent="0.2">
      <c r="A751" s="18" t="str">
        <f>IF(Productos!A751="","",Productos!A751)</f>
        <v/>
      </c>
      <c r="B751" s="18" t="str">
        <f>IF(Productos!B751="","",Productos!B751)</f>
        <v/>
      </c>
      <c r="C751" s="18" t="str">
        <f>IF(Productos!$A751="","",Productos!H751)</f>
        <v/>
      </c>
      <c r="E751" s="18" t="str">
        <f t="shared" si="22"/>
        <v/>
      </c>
      <c r="F751" s="26" t="str">
        <f>IF(A751="","",IF(D751="",0,D751*Productos!G751))</f>
        <v/>
      </c>
      <c r="G751" s="26" t="str">
        <f>IF(A751="","",IF(D751="",0,D751*Productos!F751))</f>
        <v/>
      </c>
      <c r="H751" s="26" t="str">
        <f t="shared" si="23"/>
        <v/>
      </c>
      <c r="I751" t="str">
        <f>IF(A751="","",Productos!J751)</f>
        <v/>
      </c>
    </row>
    <row r="752" spans="1:9" x14ac:dyDescent="0.2">
      <c r="A752" s="18" t="str">
        <f>IF(Productos!A752="","",Productos!A752)</f>
        <v/>
      </c>
      <c r="B752" s="18" t="str">
        <f>IF(Productos!B752="","",Productos!B752)</f>
        <v/>
      </c>
      <c r="C752" s="18" t="str">
        <f>IF(Productos!$A752="","",Productos!H752)</f>
        <v/>
      </c>
      <c r="E752" s="18" t="str">
        <f t="shared" si="22"/>
        <v/>
      </c>
      <c r="F752" s="26" t="str">
        <f>IF(A752="","",IF(D752="",0,D752*Productos!G752))</f>
        <v/>
      </c>
      <c r="G752" s="26" t="str">
        <f>IF(A752="","",IF(D752="",0,D752*Productos!F752))</f>
        <v/>
      </c>
      <c r="H752" s="26" t="str">
        <f t="shared" si="23"/>
        <v/>
      </c>
      <c r="I752" t="str">
        <f>IF(A752="","",Productos!J752)</f>
        <v/>
      </c>
    </row>
    <row r="753" spans="1:9" x14ac:dyDescent="0.2">
      <c r="A753" s="18" t="str">
        <f>IF(Productos!A753="","",Productos!A753)</f>
        <v/>
      </c>
      <c r="B753" s="18" t="str">
        <f>IF(Productos!B753="","",Productos!B753)</f>
        <v/>
      </c>
      <c r="C753" s="18" t="str">
        <f>IF(Productos!$A753="","",Productos!H753)</f>
        <v/>
      </c>
      <c r="E753" s="18" t="str">
        <f t="shared" si="22"/>
        <v/>
      </c>
      <c r="F753" s="26" t="str">
        <f>IF(A753="","",IF(D753="",0,D753*Productos!G753))</f>
        <v/>
      </c>
      <c r="G753" s="26" t="str">
        <f>IF(A753="","",IF(D753="",0,D753*Productos!F753))</f>
        <v/>
      </c>
      <c r="H753" s="26" t="str">
        <f t="shared" si="23"/>
        <v/>
      </c>
      <c r="I753" t="str">
        <f>IF(A753="","",Productos!J753)</f>
        <v/>
      </c>
    </row>
    <row r="754" spans="1:9" x14ac:dyDescent="0.2">
      <c r="A754" s="18" t="str">
        <f>IF(Productos!A754="","",Productos!A754)</f>
        <v/>
      </c>
      <c r="B754" s="18" t="str">
        <f>IF(Productos!B754="","",Productos!B754)</f>
        <v/>
      </c>
      <c r="C754" s="18" t="str">
        <f>IF(Productos!$A754="","",Productos!H754)</f>
        <v/>
      </c>
      <c r="E754" s="18" t="str">
        <f t="shared" si="22"/>
        <v/>
      </c>
      <c r="F754" s="26" t="str">
        <f>IF(A754="","",IF(D754="",0,D754*Productos!G754))</f>
        <v/>
      </c>
      <c r="G754" s="26" t="str">
        <f>IF(A754="","",IF(D754="",0,D754*Productos!F754))</f>
        <v/>
      </c>
      <c r="H754" s="26" t="str">
        <f t="shared" si="23"/>
        <v/>
      </c>
      <c r="I754" t="str">
        <f>IF(A754="","",Productos!J754)</f>
        <v/>
      </c>
    </row>
    <row r="755" spans="1:9" x14ac:dyDescent="0.2">
      <c r="A755" s="18" t="str">
        <f>IF(Productos!A755="","",Productos!A755)</f>
        <v/>
      </c>
      <c r="B755" s="18" t="str">
        <f>IF(Productos!B755="","",Productos!B755)</f>
        <v/>
      </c>
      <c r="C755" s="18" t="str">
        <f>IF(Productos!$A755="","",Productos!H755)</f>
        <v/>
      </c>
      <c r="E755" s="18" t="str">
        <f t="shared" si="22"/>
        <v/>
      </c>
      <c r="F755" s="26" t="str">
        <f>IF(A755="","",IF(D755="",0,D755*Productos!G755))</f>
        <v/>
      </c>
      <c r="G755" s="26" t="str">
        <f>IF(A755="","",IF(D755="",0,D755*Productos!F755))</f>
        <v/>
      </c>
      <c r="H755" s="26" t="str">
        <f t="shared" si="23"/>
        <v/>
      </c>
      <c r="I755" t="str">
        <f>IF(A755="","",Productos!J755)</f>
        <v/>
      </c>
    </row>
    <row r="756" spans="1:9" x14ac:dyDescent="0.2">
      <c r="A756" s="18" t="str">
        <f>IF(Productos!A756="","",Productos!A756)</f>
        <v/>
      </c>
      <c r="B756" s="18" t="str">
        <f>IF(Productos!B756="","",Productos!B756)</f>
        <v/>
      </c>
      <c r="C756" s="18" t="str">
        <f>IF(Productos!$A756="","",Productos!H756)</f>
        <v/>
      </c>
      <c r="E756" s="18" t="str">
        <f t="shared" si="22"/>
        <v/>
      </c>
      <c r="F756" s="26" t="str">
        <f>IF(A756="","",IF(D756="",0,D756*Productos!G756))</f>
        <v/>
      </c>
      <c r="G756" s="26" t="str">
        <f>IF(A756="","",IF(D756="",0,D756*Productos!F756))</f>
        <v/>
      </c>
      <c r="H756" s="26" t="str">
        <f t="shared" si="23"/>
        <v/>
      </c>
      <c r="I756" t="str">
        <f>IF(A756="","",Productos!J756)</f>
        <v/>
      </c>
    </row>
    <row r="757" spans="1:9" x14ac:dyDescent="0.2">
      <c r="A757" s="18" t="str">
        <f>IF(Productos!A757="","",Productos!A757)</f>
        <v/>
      </c>
      <c r="B757" s="18" t="str">
        <f>IF(Productos!B757="","",Productos!B757)</f>
        <v/>
      </c>
      <c r="C757" s="18" t="str">
        <f>IF(Productos!$A757="","",Productos!H757)</f>
        <v/>
      </c>
      <c r="E757" s="18" t="str">
        <f t="shared" si="22"/>
        <v/>
      </c>
      <c r="F757" s="26" t="str">
        <f>IF(A757="","",IF(D757="",0,D757*Productos!G757))</f>
        <v/>
      </c>
      <c r="G757" s="26" t="str">
        <f>IF(A757="","",IF(D757="",0,D757*Productos!F757))</f>
        <v/>
      </c>
      <c r="H757" s="26" t="str">
        <f t="shared" si="23"/>
        <v/>
      </c>
      <c r="I757" t="str">
        <f>IF(A757="","",Productos!J757)</f>
        <v/>
      </c>
    </row>
    <row r="758" spans="1:9" x14ac:dyDescent="0.2">
      <c r="A758" s="18" t="str">
        <f>IF(Productos!A758="","",Productos!A758)</f>
        <v/>
      </c>
      <c r="B758" s="18" t="str">
        <f>IF(Productos!B758="","",Productos!B758)</f>
        <v/>
      </c>
      <c r="C758" s="18" t="str">
        <f>IF(Productos!$A758="","",Productos!H758)</f>
        <v/>
      </c>
      <c r="E758" s="18" t="str">
        <f t="shared" si="22"/>
        <v/>
      </c>
      <c r="F758" s="26" t="str">
        <f>IF(A758="","",IF(D758="",0,D758*Productos!G758))</f>
        <v/>
      </c>
      <c r="G758" s="26" t="str">
        <f>IF(A758="","",IF(D758="",0,D758*Productos!F758))</f>
        <v/>
      </c>
      <c r="H758" s="26" t="str">
        <f t="shared" si="23"/>
        <v/>
      </c>
      <c r="I758" t="str">
        <f>IF(A758="","",Productos!J758)</f>
        <v/>
      </c>
    </row>
    <row r="759" spans="1:9" x14ac:dyDescent="0.2">
      <c r="A759" s="18" t="str">
        <f>IF(Productos!A759="","",Productos!A759)</f>
        <v/>
      </c>
      <c r="B759" s="18" t="str">
        <f>IF(Productos!B759="","",Productos!B759)</f>
        <v/>
      </c>
      <c r="C759" s="18" t="str">
        <f>IF(Productos!$A759="","",Productos!H759)</f>
        <v/>
      </c>
      <c r="E759" s="18" t="str">
        <f t="shared" si="22"/>
        <v/>
      </c>
      <c r="F759" s="26" t="str">
        <f>IF(A759="","",IF(D759="",0,D759*Productos!G759))</f>
        <v/>
      </c>
      <c r="G759" s="26" t="str">
        <f>IF(A759="","",IF(D759="",0,D759*Productos!F759))</f>
        <v/>
      </c>
      <c r="H759" s="26" t="str">
        <f t="shared" si="23"/>
        <v/>
      </c>
      <c r="I759" t="str">
        <f>IF(A759="","",Productos!J759)</f>
        <v/>
      </c>
    </row>
    <row r="760" spans="1:9" x14ac:dyDescent="0.2">
      <c r="A760" s="18" t="str">
        <f>IF(Productos!A760="","",Productos!A760)</f>
        <v/>
      </c>
      <c r="B760" s="18" t="str">
        <f>IF(Productos!B760="","",Productos!B760)</f>
        <v/>
      </c>
      <c r="C760" s="18" t="str">
        <f>IF(Productos!$A760="","",Productos!H760)</f>
        <v/>
      </c>
      <c r="E760" s="18" t="str">
        <f t="shared" si="22"/>
        <v/>
      </c>
      <c r="F760" s="26" t="str">
        <f>IF(A760="","",IF(D760="",0,D760*Productos!G760))</f>
        <v/>
      </c>
      <c r="G760" s="26" t="str">
        <f>IF(A760="","",IF(D760="",0,D760*Productos!F760))</f>
        <v/>
      </c>
      <c r="H760" s="26" t="str">
        <f t="shared" si="23"/>
        <v/>
      </c>
      <c r="I760" t="str">
        <f>IF(A760="","",Productos!J760)</f>
        <v/>
      </c>
    </row>
    <row r="761" spans="1:9" x14ac:dyDescent="0.2">
      <c r="A761" s="18" t="str">
        <f>IF(Productos!A761="","",Productos!A761)</f>
        <v/>
      </c>
      <c r="B761" s="18" t="str">
        <f>IF(Productos!B761="","",Productos!B761)</f>
        <v/>
      </c>
      <c r="C761" s="18" t="str">
        <f>IF(Productos!$A761="","",Productos!H761)</f>
        <v/>
      </c>
      <c r="E761" s="18" t="str">
        <f t="shared" si="22"/>
        <v/>
      </c>
      <c r="F761" s="26" t="str">
        <f>IF(A761="","",IF(D761="",0,D761*Productos!G761))</f>
        <v/>
      </c>
      <c r="G761" s="26" t="str">
        <f>IF(A761="","",IF(D761="",0,D761*Productos!F761))</f>
        <v/>
      </c>
      <c r="H761" s="26" t="str">
        <f t="shared" si="23"/>
        <v/>
      </c>
      <c r="I761" t="str">
        <f>IF(A761="","",Productos!J761)</f>
        <v/>
      </c>
    </row>
    <row r="762" spans="1:9" x14ac:dyDescent="0.2">
      <c r="A762" s="18" t="str">
        <f>IF(Productos!A762="","",Productos!A762)</f>
        <v/>
      </c>
      <c r="B762" s="18" t="str">
        <f>IF(Productos!B762="","",Productos!B762)</f>
        <v/>
      </c>
      <c r="C762" s="18" t="str">
        <f>IF(Productos!$A762="","",Productos!H762)</f>
        <v/>
      </c>
      <c r="E762" s="18" t="str">
        <f t="shared" si="22"/>
        <v/>
      </c>
      <c r="F762" s="26" t="str">
        <f>IF(A762="","",IF(D762="",0,D762*Productos!G762))</f>
        <v/>
      </c>
      <c r="G762" s="26" t="str">
        <f>IF(A762="","",IF(D762="",0,D762*Productos!F762))</f>
        <v/>
      </c>
      <c r="H762" s="26" t="str">
        <f t="shared" si="23"/>
        <v/>
      </c>
      <c r="I762" t="str">
        <f>IF(A762="","",Productos!J762)</f>
        <v/>
      </c>
    </row>
    <row r="763" spans="1:9" x14ac:dyDescent="0.2">
      <c r="A763" s="18" t="str">
        <f>IF(Productos!A763="","",Productos!A763)</f>
        <v/>
      </c>
      <c r="B763" s="18" t="str">
        <f>IF(Productos!B763="","",Productos!B763)</f>
        <v/>
      </c>
      <c r="C763" s="18" t="str">
        <f>IF(Productos!$A763="","",Productos!H763)</f>
        <v/>
      </c>
      <c r="E763" s="18" t="str">
        <f t="shared" si="22"/>
        <v/>
      </c>
      <c r="F763" s="26" t="str">
        <f>IF(A763="","",IF(D763="",0,D763*Productos!G763))</f>
        <v/>
      </c>
      <c r="G763" s="26" t="str">
        <f>IF(A763="","",IF(D763="",0,D763*Productos!F763))</f>
        <v/>
      </c>
      <c r="H763" s="26" t="str">
        <f t="shared" si="23"/>
        <v/>
      </c>
      <c r="I763" t="str">
        <f>IF(A763="","",Productos!J763)</f>
        <v/>
      </c>
    </row>
    <row r="764" spans="1:9" x14ac:dyDescent="0.2">
      <c r="A764" s="18" t="str">
        <f>IF(Productos!A764="","",Productos!A764)</f>
        <v/>
      </c>
      <c r="B764" s="18" t="str">
        <f>IF(Productos!B764="","",Productos!B764)</f>
        <v/>
      </c>
      <c r="C764" s="18" t="str">
        <f>IF(Productos!$A764="","",Productos!H764)</f>
        <v/>
      </c>
      <c r="E764" s="18" t="str">
        <f t="shared" si="22"/>
        <v/>
      </c>
      <c r="F764" s="26" t="str">
        <f>IF(A764="","",IF(D764="",0,D764*Productos!G764))</f>
        <v/>
      </c>
      <c r="G764" s="26" t="str">
        <f>IF(A764="","",IF(D764="",0,D764*Productos!F764))</f>
        <v/>
      </c>
      <c r="H764" s="26" t="str">
        <f t="shared" si="23"/>
        <v/>
      </c>
      <c r="I764" t="str">
        <f>IF(A764="","",Productos!J764)</f>
        <v/>
      </c>
    </row>
    <row r="765" spans="1:9" x14ac:dyDescent="0.2">
      <c r="A765" s="18" t="str">
        <f>IF(Productos!A765="","",Productos!A765)</f>
        <v/>
      </c>
      <c r="B765" s="18" t="str">
        <f>IF(Productos!B765="","",Productos!B765)</f>
        <v/>
      </c>
      <c r="C765" s="18" t="str">
        <f>IF(Productos!$A765="","",Productos!H765)</f>
        <v/>
      </c>
      <c r="E765" s="18" t="str">
        <f t="shared" si="22"/>
        <v/>
      </c>
      <c r="F765" s="26" t="str">
        <f>IF(A765="","",IF(D765="",0,D765*Productos!G765))</f>
        <v/>
      </c>
      <c r="G765" s="26" t="str">
        <f>IF(A765="","",IF(D765="",0,D765*Productos!F765))</f>
        <v/>
      </c>
      <c r="H765" s="26" t="str">
        <f t="shared" si="23"/>
        <v/>
      </c>
      <c r="I765" t="str">
        <f>IF(A765="","",Productos!J765)</f>
        <v/>
      </c>
    </row>
    <row r="766" spans="1:9" x14ac:dyDescent="0.2">
      <c r="A766" s="18" t="str">
        <f>IF(Productos!A766="","",Productos!A766)</f>
        <v/>
      </c>
      <c r="B766" s="18" t="str">
        <f>IF(Productos!B766="","",Productos!B766)</f>
        <v/>
      </c>
      <c r="C766" s="18" t="str">
        <f>IF(Productos!$A766="","",Productos!H766)</f>
        <v/>
      </c>
      <c r="E766" s="18" t="str">
        <f t="shared" si="22"/>
        <v/>
      </c>
      <c r="F766" s="26" t="str">
        <f>IF(A766="","",IF(D766="",0,D766*Productos!G766))</f>
        <v/>
      </c>
      <c r="G766" s="26" t="str">
        <f>IF(A766="","",IF(D766="",0,D766*Productos!F766))</f>
        <v/>
      </c>
      <c r="H766" s="26" t="str">
        <f t="shared" si="23"/>
        <v/>
      </c>
      <c r="I766" t="str">
        <f>IF(A766="","",Productos!J766)</f>
        <v/>
      </c>
    </row>
    <row r="767" spans="1:9" x14ac:dyDescent="0.2">
      <c r="A767" s="18" t="str">
        <f>IF(Productos!A767="","",Productos!A767)</f>
        <v/>
      </c>
      <c r="B767" s="18" t="str">
        <f>IF(Productos!B767="","",Productos!B767)</f>
        <v/>
      </c>
      <c r="C767" s="18" t="str">
        <f>IF(Productos!$A767="","",Productos!H767)</f>
        <v/>
      </c>
      <c r="E767" s="18" t="str">
        <f t="shared" si="22"/>
        <v/>
      </c>
      <c r="F767" s="26" t="str">
        <f>IF(A767="","",IF(D767="",0,D767*Productos!G767))</f>
        <v/>
      </c>
      <c r="G767" s="26" t="str">
        <f>IF(A767="","",IF(D767="",0,D767*Productos!F767))</f>
        <v/>
      </c>
      <c r="H767" s="26" t="str">
        <f t="shared" si="23"/>
        <v/>
      </c>
      <c r="I767" t="str">
        <f>IF(A767="","",Productos!J767)</f>
        <v/>
      </c>
    </row>
    <row r="768" spans="1:9" x14ac:dyDescent="0.2">
      <c r="A768" s="18" t="str">
        <f>IF(Productos!A768="","",Productos!A768)</f>
        <v/>
      </c>
      <c r="B768" s="18" t="str">
        <f>IF(Productos!B768="","",Productos!B768)</f>
        <v/>
      </c>
      <c r="C768" s="18" t="str">
        <f>IF(Productos!$A768="","",Productos!H768)</f>
        <v/>
      </c>
      <c r="E768" s="18" t="str">
        <f t="shared" si="22"/>
        <v/>
      </c>
      <c r="F768" s="26" t="str">
        <f>IF(A768="","",IF(D768="",0,D768*Productos!G768))</f>
        <v/>
      </c>
      <c r="G768" s="26" t="str">
        <f>IF(A768="","",IF(D768="",0,D768*Productos!F768))</f>
        <v/>
      </c>
      <c r="H768" s="26" t="str">
        <f t="shared" si="23"/>
        <v/>
      </c>
      <c r="I768" t="str">
        <f>IF(A768="","",Productos!J768)</f>
        <v/>
      </c>
    </row>
    <row r="769" spans="1:9" x14ac:dyDescent="0.2">
      <c r="A769" s="18" t="str">
        <f>IF(Productos!A769="","",Productos!A769)</f>
        <v/>
      </c>
      <c r="B769" s="18" t="str">
        <f>IF(Productos!B769="","",Productos!B769)</f>
        <v/>
      </c>
      <c r="C769" s="18" t="str">
        <f>IF(Productos!$A769="","",Productos!H769)</f>
        <v/>
      </c>
      <c r="E769" s="18" t="str">
        <f t="shared" si="22"/>
        <v/>
      </c>
      <c r="F769" s="26" t="str">
        <f>IF(A769="","",IF(D769="",0,D769*Productos!G769))</f>
        <v/>
      </c>
      <c r="G769" s="26" t="str">
        <f>IF(A769="","",IF(D769="",0,D769*Productos!F769))</f>
        <v/>
      </c>
      <c r="H769" s="26" t="str">
        <f t="shared" si="23"/>
        <v/>
      </c>
      <c r="I769" t="str">
        <f>IF(A769="","",Productos!J769)</f>
        <v/>
      </c>
    </row>
    <row r="770" spans="1:9" x14ac:dyDescent="0.2">
      <c r="A770" s="18" t="str">
        <f>IF(Productos!A770="","",Productos!A770)</f>
        <v/>
      </c>
      <c r="B770" s="18" t="str">
        <f>IF(Productos!B770="","",Productos!B770)</f>
        <v/>
      </c>
      <c r="C770" s="18" t="str">
        <f>IF(Productos!$A770="","",Productos!H770)</f>
        <v/>
      </c>
      <c r="E770" s="18" t="str">
        <f t="shared" si="22"/>
        <v/>
      </c>
      <c r="F770" s="26" t="str">
        <f>IF(A770="","",IF(D770="",0,D770*Productos!G770))</f>
        <v/>
      </c>
      <c r="G770" s="26" t="str">
        <f>IF(A770="","",IF(D770="",0,D770*Productos!F770))</f>
        <v/>
      </c>
      <c r="H770" s="26" t="str">
        <f t="shared" si="23"/>
        <v/>
      </c>
      <c r="I770" t="str">
        <f>IF(A770="","",Productos!J770)</f>
        <v/>
      </c>
    </row>
    <row r="771" spans="1:9" x14ac:dyDescent="0.2">
      <c r="A771" s="18" t="str">
        <f>IF(Productos!A771="","",Productos!A771)</f>
        <v/>
      </c>
      <c r="B771" s="18" t="str">
        <f>IF(Productos!B771="","",Productos!B771)</f>
        <v/>
      </c>
      <c r="C771" s="18" t="str">
        <f>IF(Productos!$A771="","",Productos!H771)</f>
        <v/>
      </c>
      <c r="E771" s="18" t="str">
        <f t="shared" ref="E771:E834" si="24">IF(C771="","",C771-IF(D771="",0,D771))</f>
        <v/>
      </c>
      <c r="F771" s="26" t="str">
        <f>IF(A771="","",IF(D771="",0,D771*Productos!G771))</f>
        <v/>
      </c>
      <c r="G771" s="26" t="str">
        <f>IF(A771="","",IF(D771="",0,D771*Productos!F771))</f>
        <v/>
      </c>
      <c r="H771" s="26" t="str">
        <f t="shared" ref="H771:H834" si="25">IF(A771="","",F771-G771)</f>
        <v/>
      </c>
      <c r="I771" t="str">
        <f>IF(A771="","",Productos!J771)</f>
        <v/>
      </c>
    </row>
    <row r="772" spans="1:9" x14ac:dyDescent="0.2">
      <c r="A772" s="18" t="str">
        <f>IF(Productos!A772="","",Productos!A772)</f>
        <v/>
      </c>
      <c r="B772" s="18" t="str">
        <f>IF(Productos!B772="","",Productos!B772)</f>
        <v/>
      </c>
      <c r="C772" s="18" t="str">
        <f>IF(Productos!$A772="","",Productos!H772)</f>
        <v/>
      </c>
      <c r="E772" s="18" t="str">
        <f t="shared" si="24"/>
        <v/>
      </c>
      <c r="F772" s="26" t="str">
        <f>IF(A772="","",IF(D772="",0,D772*Productos!G772))</f>
        <v/>
      </c>
      <c r="G772" s="26" t="str">
        <f>IF(A772="","",IF(D772="",0,D772*Productos!F772))</f>
        <v/>
      </c>
      <c r="H772" s="26" t="str">
        <f t="shared" si="25"/>
        <v/>
      </c>
      <c r="I772" t="str">
        <f>IF(A772="","",Productos!J772)</f>
        <v/>
      </c>
    </row>
    <row r="773" spans="1:9" x14ac:dyDescent="0.2">
      <c r="A773" s="18" t="str">
        <f>IF(Productos!A773="","",Productos!A773)</f>
        <v/>
      </c>
      <c r="B773" s="18" t="str">
        <f>IF(Productos!B773="","",Productos!B773)</f>
        <v/>
      </c>
      <c r="C773" s="18" t="str">
        <f>IF(Productos!$A773="","",Productos!H773)</f>
        <v/>
      </c>
      <c r="E773" s="18" t="str">
        <f t="shared" si="24"/>
        <v/>
      </c>
      <c r="F773" s="26" t="str">
        <f>IF(A773="","",IF(D773="",0,D773*Productos!G773))</f>
        <v/>
      </c>
      <c r="G773" s="26" t="str">
        <f>IF(A773="","",IF(D773="",0,D773*Productos!F773))</f>
        <v/>
      </c>
      <c r="H773" s="26" t="str">
        <f t="shared" si="25"/>
        <v/>
      </c>
      <c r="I773" t="str">
        <f>IF(A773="","",Productos!J773)</f>
        <v/>
      </c>
    </row>
    <row r="774" spans="1:9" x14ac:dyDescent="0.2">
      <c r="A774" s="18" t="str">
        <f>IF(Productos!A774="","",Productos!A774)</f>
        <v/>
      </c>
      <c r="B774" s="18" t="str">
        <f>IF(Productos!B774="","",Productos!B774)</f>
        <v/>
      </c>
      <c r="C774" s="18" t="str">
        <f>IF(Productos!$A774="","",Productos!H774)</f>
        <v/>
      </c>
      <c r="E774" s="18" t="str">
        <f t="shared" si="24"/>
        <v/>
      </c>
      <c r="F774" s="26" t="str">
        <f>IF(A774="","",IF(D774="",0,D774*Productos!G774))</f>
        <v/>
      </c>
      <c r="G774" s="26" t="str">
        <f>IF(A774="","",IF(D774="",0,D774*Productos!F774))</f>
        <v/>
      </c>
      <c r="H774" s="26" t="str">
        <f t="shared" si="25"/>
        <v/>
      </c>
      <c r="I774" t="str">
        <f>IF(A774="","",Productos!J774)</f>
        <v/>
      </c>
    </row>
    <row r="775" spans="1:9" x14ac:dyDescent="0.2">
      <c r="A775" s="18" t="str">
        <f>IF(Productos!A775="","",Productos!A775)</f>
        <v/>
      </c>
      <c r="B775" s="18" t="str">
        <f>IF(Productos!B775="","",Productos!B775)</f>
        <v/>
      </c>
      <c r="C775" s="18" t="str">
        <f>IF(Productos!$A775="","",Productos!H775)</f>
        <v/>
      </c>
      <c r="E775" s="18" t="str">
        <f t="shared" si="24"/>
        <v/>
      </c>
      <c r="F775" s="26" t="str">
        <f>IF(A775="","",IF(D775="",0,D775*Productos!G775))</f>
        <v/>
      </c>
      <c r="G775" s="26" t="str">
        <f>IF(A775="","",IF(D775="",0,D775*Productos!F775))</f>
        <v/>
      </c>
      <c r="H775" s="26" t="str">
        <f t="shared" si="25"/>
        <v/>
      </c>
      <c r="I775" t="str">
        <f>IF(A775="","",Productos!J775)</f>
        <v/>
      </c>
    </row>
    <row r="776" spans="1:9" x14ac:dyDescent="0.2">
      <c r="A776" s="18" t="str">
        <f>IF(Productos!A776="","",Productos!A776)</f>
        <v/>
      </c>
      <c r="B776" s="18" t="str">
        <f>IF(Productos!B776="","",Productos!B776)</f>
        <v/>
      </c>
      <c r="C776" s="18" t="str">
        <f>IF(Productos!$A776="","",Productos!H776)</f>
        <v/>
      </c>
      <c r="E776" s="18" t="str">
        <f t="shared" si="24"/>
        <v/>
      </c>
      <c r="F776" s="26" t="str">
        <f>IF(A776="","",IF(D776="",0,D776*Productos!G776))</f>
        <v/>
      </c>
      <c r="G776" s="26" t="str">
        <f>IF(A776="","",IF(D776="",0,D776*Productos!F776))</f>
        <v/>
      </c>
      <c r="H776" s="26" t="str">
        <f t="shared" si="25"/>
        <v/>
      </c>
      <c r="I776" t="str">
        <f>IF(A776="","",Productos!J776)</f>
        <v/>
      </c>
    </row>
    <row r="777" spans="1:9" x14ac:dyDescent="0.2">
      <c r="A777" s="18" t="str">
        <f>IF(Productos!A777="","",Productos!A777)</f>
        <v/>
      </c>
      <c r="B777" s="18" t="str">
        <f>IF(Productos!B777="","",Productos!B777)</f>
        <v/>
      </c>
      <c r="C777" s="18" t="str">
        <f>IF(Productos!$A777="","",Productos!H777)</f>
        <v/>
      </c>
      <c r="E777" s="18" t="str">
        <f t="shared" si="24"/>
        <v/>
      </c>
      <c r="F777" s="26" t="str">
        <f>IF(A777="","",IF(D777="",0,D777*Productos!G777))</f>
        <v/>
      </c>
      <c r="G777" s="26" t="str">
        <f>IF(A777="","",IF(D777="",0,D777*Productos!F777))</f>
        <v/>
      </c>
      <c r="H777" s="26" t="str">
        <f t="shared" si="25"/>
        <v/>
      </c>
      <c r="I777" t="str">
        <f>IF(A777="","",Productos!J777)</f>
        <v/>
      </c>
    </row>
    <row r="778" spans="1:9" x14ac:dyDescent="0.2">
      <c r="A778" s="18" t="str">
        <f>IF(Productos!A778="","",Productos!A778)</f>
        <v/>
      </c>
      <c r="B778" s="18" t="str">
        <f>IF(Productos!B778="","",Productos!B778)</f>
        <v/>
      </c>
      <c r="C778" s="18" t="str">
        <f>IF(Productos!$A778="","",Productos!H778)</f>
        <v/>
      </c>
      <c r="E778" s="18" t="str">
        <f t="shared" si="24"/>
        <v/>
      </c>
      <c r="F778" s="26" t="str">
        <f>IF(A778="","",IF(D778="",0,D778*Productos!G778))</f>
        <v/>
      </c>
      <c r="G778" s="26" t="str">
        <f>IF(A778="","",IF(D778="",0,D778*Productos!F778))</f>
        <v/>
      </c>
      <c r="H778" s="26" t="str">
        <f t="shared" si="25"/>
        <v/>
      </c>
      <c r="I778" t="str">
        <f>IF(A778="","",Productos!J778)</f>
        <v/>
      </c>
    </row>
    <row r="779" spans="1:9" x14ac:dyDescent="0.2">
      <c r="A779" s="18" t="str">
        <f>IF(Productos!A779="","",Productos!A779)</f>
        <v/>
      </c>
      <c r="B779" s="18" t="str">
        <f>IF(Productos!B779="","",Productos!B779)</f>
        <v/>
      </c>
      <c r="C779" s="18" t="str">
        <f>IF(Productos!$A779="","",Productos!H779)</f>
        <v/>
      </c>
      <c r="E779" s="18" t="str">
        <f t="shared" si="24"/>
        <v/>
      </c>
      <c r="F779" s="26" t="str">
        <f>IF(A779="","",IF(D779="",0,D779*Productos!G779))</f>
        <v/>
      </c>
      <c r="G779" s="26" t="str">
        <f>IF(A779="","",IF(D779="",0,D779*Productos!F779))</f>
        <v/>
      </c>
      <c r="H779" s="26" t="str">
        <f t="shared" si="25"/>
        <v/>
      </c>
      <c r="I779" t="str">
        <f>IF(A779="","",Productos!J779)</f>
        <v/>
      </c>
    </row>
    <row r="780" spans="1:9" x14ac:dyDescent="0.2">
      <c r="A780" s="18" t="str">
        <f>IF(Productos!A780="","",Productos!A780)</f>
        <v/>
      </c>
      <c r="B780" s="18" t="str">
        <f>IF(Productos!B780="","",Productos!B780)</f>
        <v/>
      </c>
      <c r="C780" s="18" t="str">
        <f>IF(Productos!$A780="","",Productos!H780)</f>
        <v/>
      </c>
      <c r="E780" s="18" t="str">
        <f t="shared" si="24"/>
        <v/>
      </c>
      <c r="F780" s="26" t="str">
        <f>IF(A780="","",IF(D780="",0,D780*Productos!G780))</f>
        <v/>
      </c>
      <c r="G780" s="26" t="str">
        <f>IF(A780="","",IF(D780="",0,D780*Productos!F780))</f>
        <v/>
      </c>
      <c r="H780" s="26" t="str">
        <f t="shared" si="25"/>
        <v/>
      </c>
      <c r="I780" t="str">
        <f>IF(A780="","",Productos!J780)</f>
        <v/>
      </c>
    </row>
    <row r="781" spans="1:9" x14ac:dyDescent="0.2">
      <c r="A781" s="18" t="str">
        <f>IF(Productos!A781="","",Productos!A781)</f>
        <v/>
      </c>
      <c r="B781" s="18" t="str">
        <f>IF(Productos!B781="","",Productos!B781)</f>
        <v/>
      </c>
      <c r="C781" s="18" t="str">
        <f>IF(Productos!$A781="","",Productos!H781)</f>
        <v/>
      </c>
      <c r="E781" s="18" t="str">
        <f t="shared" si="24"/>
        <v/>
      </c>
      <c r="F781" s="26" t="str">
        <f>IF(A781="","",IF(D781="",0,D781*Productos!G781))</f>
        <v/>
      </c>
      <c r="G781" s="26" t="str">
        <f>IF(A781="","",IF(D781="",0,D781*Productos!F781))</f>
        <v/>
      </c>
      <c r="H781" s="26" t="str">
        <f t="shared" si="25"/>
        <v/>
      </c>
      <c r="I781" t="str">
        <f>IF(A781="","",Productos!J781)</f>
        <v/>
      </c>
    </row>
    <row r="782" spans="1:9" x14ac:dyDescent="0.2">
      <c r="A782" s="18" t="str">
        <f>IF(Productos!A782="","",Productos!A782)</f>
        <v/>
      </c>
      <c r="B782" s="18" t="str">
        <f>IF(Productos!B782="","",Productos!B782)</f>
        <v/>
      </c>
      <c r="C782" s="18" t="str">
        <f>IF(Productos!$A782="","",Productos!H782)</f>
        <v/>
      </c>
      <c r="E782" s="18" t="str">
        <f t="shared" si="24"/>
        <v/>
      </c>
      <c r="F782" s="26" t="str">
        <f>IF(A782="","",IF(D782="",0,D782*Productos!G782))</f>
        <v/>
      </c>
      <c r="G782" s="26" t="str">
        <f>IF(A782="","",IF(D782="",0,D782*Productos!F782))</f>
        <v/>
      </c>
      <c r="H782" s="26" t="str">
        <f t="shared" si="25"/>
        <v/>
      </c>
      <c r="I782" t="str">
        <f>IF(A782="","",Productos!J782)</f>
        <v/>
      </c>
    </row>
    <row r="783" spans="1:9" x14ac:dyDescent="0.2">
      <c r="A783" s="18" t="str">
        <f>IF(Productos!A783="","",Productos!A783)</f>
        <v/>
      </c>
      <c r="B783" s="18" t="str">
        <f>IF(Productos!B783="","",Productos!B783)</f>
        <v/>
      </c>
      <c r="C783" s="18" t="str">
        <f>IF(Productos!$A783="","",Productos!H783)</f>
        <v/>
      </c>
      <c r="E783" s="18" t="str">
        <f t="shared" si="24"/>
        <v/>
      </c>
      <c r="F783" s="26" t="str">
        <f>IF(A783="","",IF(D783="",0,D783*Productos!G783))</f>
        <v/>
      </c>
      <c r="G783" s="26" t="str">
        <f>IF(A783="","",IF(D783="",0,D783*Productos!F783))</f>
        <v/>
      </c>
      <c r="H783" s="26" t="str">
        <f t="shared" si="25"/>
        <v/>
      </c>
      <c r="I783" t="str">
        <f>IF(A783="","",Productos!J783)</f>
        <v/>
      </c>
    </row>
    <row r="784" spans="1:9" x14ac:dyDescent="0.2">
      <c r="A784" s="18" t="str">
        <f>IF(Productos!A784="","",Productos!A784)</f>
        <v/>
      </c>
      <c r="B784" s="18" t="str">
        <f>IF(Productos!B784="","",Productos!B784)</f>
        <v/>
      </c>
      <c r="C784" s="18" t="str">
        <f>IF(Productos!$A784="","",Productos!H784)</f>
        <v/>
      </c>
      <c r="E784" s="18" t="str">
        <f t="shared" si="24"/>
        <v/>
      </c>
      <c r="F784" s="26" t="str">
        <f>IF(A784="","",IF(D784="",0,D784*Productos!G784))</f>
        <v/>
      </c>
      <c r="G784" s="26" t="str">
        <f>IF(A784="","",IF(D784="",0,D784*Productos!F784))</f>
        <v/>
      </c>
      <c r="H784" s="26" t="str">
        <f t="shared" si="25"/>
        <v/>
      </c>
      <c r="I784" t="str">
        <f>IF(A784="","",Productos!J784)</f>
        <v/>
      </c>
    </row>
    <row r="785" spans="1:9" x14ac:dyDescent="0.2">
      <c r="A785" s="18" t="str">
        <f>IF(Productos!A785="","",Productos!A785)</f>
        <v/>
      </c>
      <c r="B785" s="18" t="str">
        <f>IF(Productos!B785="","",Productos!B785)</f>
        <v/>
      </c>
      <c r="C785" s="18" t="str">
        <f>IF(Productos!$A785="","",Productos!H785)</f>
        <v/>
      </c>
      <c r="E785" s="18" t="str">
        <f t="shared" si="24"/>
        <v/>
      </c>
      <c r="F785" s="26" t="str">
        <f>IF(A785="","",IF(D785="",0,D785*Productos!G785))</f>
        <v/>
      </c>
      <c r="G785" s="26" t="str">
        <f>IF(A785="","",IF(D785="",0,D785*Productos!F785))</f>
        <v/>
      </c>
      <c r="H785" s="26" t="str">
        <f t="shared" si="25"/>
        <v/>
      </c>
      <c r="I785" t="str">
        <f>IF(A785="","",Productos!J785)</f>
        <v/>
      </c>
    </row>
    <row r="786" spans="1:9" x14ac:dyDescent="0.2">
      <c r="A786" s="18" t="str">
        <f>IF(Productos!A786="","",Productos!A786)</f>
        <v/>
      </c>
      <c r="B786" s="18" t="str">
        <f>IF(Productos!B786="","",Productos!B786)</f>
        <v/>
      </c>
      <c r="C786" s="18" t="str">
        <f>IF(Productos!$A786="","",Productos!H786)</f>
        <v/>
      </c>
      <c r="E786" s="18" t="str">
        <f t="shared" si="24"/>
        <v/>
      </c>
      <c r="F786" s="26" t="str">
        <f>IF(A786="","",IF(D786="",0,D786*Productos!G786))</f>
        <v/>
      </c>
      <c r="G786" s="26" t="str">
        <f>IF(A786="","",IF(D786="",0,D786*Productos!F786))</f>
        <v/>
      </c>
      <c r="H786" s="26" t="str">
        <f t="shared" si="25"/>
        <v/>
      </c>
      <c r="I786" t="str">
        <f>IF(A786="","",Productos!J786)</f>
        <v/>
      </c>
    </row>
    <row r="787" spans="1:9" x14ac:dyDescent="0.2">
      <c r="A787" s="18" t="str">
        <f>IF(Productos!A787="","",Productos!A787)</f>
        <v/>
      </c>
      <c r="B787" s="18" t="str">
        <f>IF(Productos!B787="","",Productos!B787)</f>
        <v/>
      </c>
      <c r="C787" s="18" t="str">
        <f>IF(Productos!$A787="","",Productos!H787)</f>
        <v/>
      </c>
      <c r="E787" s="18" t="str">
        <f t="shared" si="24"/>
        <v/>
      </c>
      <c r="F787" s="26" t="str">
        <f>IF(A787="","",IF(D787="",0,D787*Productos!G787))</f>
        <v/>
      </c>
      <c r="G787" s="26" t="str">
        <f>IF(A787="","",IF(D787="",0,D787*Productos!F787))</f>
        <v/>
      </c>
      <c r="H787" s="26" t="str">
        <f t="shared" si="25"/>
        <v/>
      </c>
      <c r="I787" t="str">
        <f>IF(A787="","",Productos!J787)</f>
        <v/>
      </c>
    </row>
    <row r="788" spans="1:9" x14ac:dyDescent="0.2">
      <c r="A788" s="18" t="str">
        <f>IF(Productos!A788="","",Productos!A788)</f>
        <v/>
      </c>
      <c r="B788" s="18" t="str">
        <f>IF(Productos!B788="","",Productos!B788)</f>
        <v/>
      </c>
      <c r="C788" s="18" t="str">
        <f>IF(Productos!$A788="","",Productos!H788)</f>
        <v/>
      </c>
      <c r="E788" s="18" t="str">
        <f t="shared" si="24"/>
        <v/>
      </c>
      <c r="F788" s="26" t="str">
        <f>IF(A788="","",IF(D788="",0,D788*Productos!G788))</f>
        <v/>
      </c>
      <c r="G788" s="26" t="str">
        <f>IF(A788="","",IF(D788="",0,D788*Productos!F788))</f>
        <v/>
      </c>
      <c r="H788" s="26" t="str">
        <f t="shared" si="25"/>
        <v/>
      </c>
      <c r="I788" t="str">
        <f>IF(A788="","",Productos!J788)</f>
        <v/>
      </c>
    </row>
    <row r="789" spans="1:9" x14ac:dyDescent="0.2">
      <c r="A789" s="18" t="str">
        <f>IF(Productos!A789="","",Productos!A789)</f>
        <v/>
      </c>
      <c r="B789" s="18" t="str">
        <f>IF(Productos!B789="","",Productos!B789)</f>
        <v/>
      </c>
      <c r="C789" s="18" t="str">
        <f>IF(Productos!$A789="","",Productos!H789)</f>
        <v/>
      </c>
      <c r="E789" s="18" t="str">
        <f t="shared" si="24"/>
        <v/>
      </c>
      <c r="F789" s="26" t="str">
        <f>IF(A789="","",IF(D789="",0,D789*Productos!G789))</f>
        <v/>
      </c>
      <c r="G789" s="26" t="str">
        <f>IF(A789="","",IF(D789="",0,D789*Productos!F789))</f>
        <v/>
      </c>
      <c r="H789" s="26" t="str">
        <f t="shared" si="25"/>
        <v/>
      </c>
      <c r="I789" t="str">
        <f>IF(A789="","",Productos!J789)</f>
        <v/>
      </c>
    </row>
    <row r="790" spans="1:9" x14ac:dyDescent="0.2">
      <c r="A790" s="18" t="str">
        <f>IF(Productos!A790="","",Productos!A790)</f>
        <v/>
      </c>
      <c r="B790" s="18" t="str">
        <f>IF(Productos!B790="","",Productos!B790)</f>
        <v/>
      </c>
      <c r="C790" s="18" t="str">
        <f>IF(Productos!$A790="","",Productos!H790)</f>
        <v/>
      </c>
      <c r="E790" s="18" t="str">
        <f t="shared" si="24"/>
        <v/>
      </c>
      <c r="F790" s="26" t="str">
        <f>IF(A790="","",IF(D790="",0,D790*Productos!G790))</f>
        <v/>
      </c>
      <c r="G790" s="26" t="str">
        <f>IF(A790="","",IF(D790="",0,D790*Productos!F790))</f>
        <v/>
      </c>
      <c r="H790" s="26" t="str">
        <f t="shared" si="25"/>
        <v/>
      </c>
      <c r="I790" t="str">
        <f>IF(A790="","",Productos!J790)</f>
        <v/>
      </c>
    </row>
    <row r="791" spans="1:9" x14ac:dyDescent="0.2">
      <c r="A791" s="18" t="str">
        <f>IF(Productos!A791="","",Productos!A791)</f>
        <v/>
      </c>
      <c r="B791" s="18" t="str">
        <f>IF(Productos!B791="","",Productos!B791)</f>
        <v/>
      </c>
      <c r="C791" s="18" t="str">
        <f>IF(Productos!$A791="","",Productos!H791)</f>
        <v/>
      </c>
      <c r="E791" s="18" t="str">
        <f t="shared" si="24"/>
        <v/>
      </c>
      <c r="F791" s="26" t="str">
        <f>IF(A791="","",IF(D791="",0,D791*Productos!G791))</f>
        <v/>
      </c>
      <c r="G791" s="26" t="str">
        <f>IF(A791="","",IF(D791="",0,D791*Productos!F791))</f>
        <v/>
      </c>
      <c r="H791" s="26" t="str">
        <f t="shared" si="25"/>
        <v/>
      </c>
      <c r="I791" t="str">
        <f>IF(A791="","",Productos!J791)</f>
        <v/>
      </c>
    </row>
    <row r="792" spans="1:9" x14ac:dyDescent="0.2">
      <c r="A792" s="18" t="str">
        <f>IF(Productos!A792="","",Productos!A792)</f>
        <v/>
      </c>
      <c r="B792" s="18" t="str">
        <f>IF(Productos!B792="","",Productos!B792)</f>
        <v/>
      </c>
      <c r="C792" s="18" t="str">
        <f>IF(Productos!$A792="","",Productos!H792)</f>
        <v/>
      </c>
      <c r="E792" s="18" t="str">
        <f t="shared" si="24"/>
        <v/>
      </c>
      <c r="F792" s="26" t="str">
        <f>IF(A792="","",IF(D792="",0,D792*Productos!G792))</f>
        <v/>
      </c>
      <c r="G792" s="26" t="str">
        <f>IF(A792="","",IF(D792="",0,D792*Productos!F792))</f>
        <v/>
      </c>
      <c r="H792" s="26" t="str">
        <f t="shared" si="25"/>
        <v/>
      </c>
      <c r="I792" t="str">
        <f>IF(A792="","",Productos!J792)</f>
        <v/>
      </c>
    </row>
    <row r="793" spans="1:9" x14ac:dyDescent="0.2">
      <c r="A793" s="18" t="str">
        <f>IF(Productos!A793="","",Productos!A793)</f>
        <v/>
      </c>
      <c r="B793" s="18" t="str">
        <f>IF(Productos!B793="","",Productos!B793)</f>
        <v/>
      </c>
      <c r="C793" s="18" t="str">
        <f>IF(Productos!$A793="","",Productos!H793)</f>
        <v/>
      </c>
      <c r="E793" s="18" t="str">
        <f t="shared" si="24"/>
        <v/>
      </c>
      <c r="F793" s="26" t="str">
        <f>IF(A793="","",IF(D793="",0,D793*Productos!G793))</f>
        <v/>
      </c>
      <c r="G793" s="26" t="str">
        <f>IF(A793="","",IF(D793="",0,D793*Productos!F793))</f>
        <v/>
      </c>
      <c r="H793" s="26" t="str">
        <f t="shared" si="25"/>
        <v/>
      </c>
      <c r="I793" t="str">
        <f>IF(A793="","",Productos!J793)</f>
        <v/>
      </c>
    </row>
    <row r="794" spans="1:9" x14ac:dyDescent="0.2">
      <c r="A794" s="18" t="str">
        <f>IF(Productos!A794="","",Productos!A794)</f>
        <v/>
      </c>
      <c r="B794" s="18" t="str">
        <f>IF(Productos!B794="","",Productos!B794)</f>
        <v/>
      </c>
      <c r="C794" s="18" t="str">
        <f>IF(Productos!$A794="","",Productos!H794)</f>
        <v/>
      </c>
      <c r="E794" s="18" t="str">
        <f t="shared" si="24"/>
        <v/>
      </c>
      <c r="F794" s="26" t="str">
        <f>IF(A794="","",IF(D794="",0,D794*Productos!G794))</f>
        <v/>
      </c>
      <c r="G794" s="26" t="str">
        <f>IF(A794="","",IF(D794="",0,D794*Productos!F794))</f>
        <v/>
      </c>
      <c r="H794" s="26" t="str">
        <f t="shared" si="25"/>
        <v/>
      </c>
      <c r="I794" t="str">
        <f>IF(A794="","",Productos!J794)</f>
        <v/>
      </c>
    </row>
    <row r="795" spans="1:9" x14ac:dyDescent="0.2">
      <c r="A795" s="18" t="str">
        <f>IF(Productos!A795="","",Productos!A795)</f>
        <v/>
      </c>
      <c r="B795" s="18" t="str">
        <f>IF(Productos!B795="","",Productos!B795)</f>
        <v/>
      </c>
      <c r="C795" s="18" t="str">
        <f>IF(Productos!$A795="","",Productos!H795)</f>
        <v/>
      </c>
      <c r="E795" s="18" t="str">
        <f t="shared" si="24"/>
        <v/>
      </c>
      <c r="F795" s="26" t="str">
        <f>IF(A795="","",IF(D795="",0,D795*Productos!G795))</f>
        <v/>
      </c>
      <c r="G795" s="26" t="str">
        <f>IF(A795="","",IF(D795="",0,D795*Productos!F795))</f>
        <v/>
      </c>
      <c r="H795" s="26" t="str">
        <f t="shared" si="25"/>
        <v/>
      </c>
      <c r="I795" t="str">
        <f>IF(A795="","",Productos!J795)</f>
        <v/>
      </c>
    </row>
    <row r="796" spans="1:9" x14ac:dyDescent="0.2">
      <c r="A796" s="18" t="str">
        <f>IF(Productos!A796="","",Productos!A796)</f>
        <v/>
      </c>
      <c r="B796" s="18" t="str">
        <f>IF(Productos!B796="","",Productos!B796)</f>
        <v/>
      </c>
      <c r="C796" s="18" t="str">
        <f>IF(Productos!$A796="","",Productos!H796)</f>
        <v/>
      </c>
      <c r="E796" s="18" t="str">
        <f t="shared" si="24"/>
        <v/>
      </c>
      <c r="F796" s="26" t="str">
        <f>IF(A796="","",IF(D796="",0,D796*Productos!G796))</f>
        <v/>
      </c>
      <c r="G796" s="26" t="str">
        <f>IF(A796="","",IF(D796="",0,D796*Productos!F796))</f>
        <v/>
      </c>
      <c r="H796" s="26" t="str">
        <f t="shared" si="25"/>
        <v/>
      </c>
      <c r="I796" t="str">
        <f>IF(A796="","",Productos!J796)</f>
        <v/>
      </c>
    </row>
    <row r="797" spans="1:9" x14ac:dyDescent="0.2">
      <c r="A797" s="18" t="str">
        <f>IF(Productos!A797="","",Productos!A797)</f>
        <v/>
      </c>
      <c r="B797" s="18" t="str">
        <f>IF(Productos!B797="","",Productos!B797)</f>
        <v/>
      </c>
      <c r="C797" s="18" t="str">
        <f>IF(Productos!$A797="","",Productos!H797)</f>
        <v/>
      </c>
      <c r="E797" s="18" t="str">
        <f t="shared" si="24"/>
        <v/>
      </c>
      <c r="F797" s="26" t="str">
        <f>IF(A797="","",IF(D797="",0,D797*Productos!G797))</f>
        <v/>
      </c>
      <c r="G797" s="26" t="str">
        <f>IF(A797="","",IF(D797="",0,D797*Productos!F797))</f>
        <v/>
      </c>
      <c r="H797" s="26" t="str">
        <f t="shared" si="25"/>
        <v/>
      </c>
      <c r="I797" t="str">
        <f>IF(A797="","",Productos!J797)</f>
        <v/>
      </c>
    </row>
    <row r="798" spans="1:9" x14ac:dyDescent="0.2">
      <c r="A798" s="18" t="str">
        <f>IF(Productos!A798="","",Productos!A798)</f>
        <v/>
      </c>
      <c r="B798" s="18" t="str">
        <f>IF(Productos!B798="","",Productos!B798)</f>
        <v/>
      </c>
      <c r="C798" s="18" t="str">
        <f>IF(Productos!$A798="","",Productos!H798)</f>
        <v/>
      </c>
      <c r="E798" s="18" t="str">
        <f t="shared" si="24"/>
        <v/>
      </c>
      <c r="F798" s="26" t="str">
        <f>IF(A798="","",IF(D798="",0,D798*Productos!G798))</f>
        <v/>
      </c>
      <c r="G798" s="26" t="str">
        <f>IF(A798="","",IF(D798="",0,D798*Productos!F798))</f>
        <v/>
      </c>
      <c r="H798" s="26" t="str">
        <f t="shared" si="25"/>
        <v/>
      </c>
      <c r="I798" t="str">
        <f>IF(A798="","",Productos!J798)</f>
        <v/>
      </c>
    </row>
    <row r="799" spans="1:9" x14ac:dyDescent="0.2">
      <c r="A799" s="18" t="str">
        <f>IF(Productos!A799="","",Productos!A799)</f>
        <v/>
      </c>
      <c r="B799" s="18" t="str">
        <f>IF(Productos!B799="","",Productos!B799)</f>
        <v/>
      </c>
      <c r="C799" s="18" t="str">
        <f>IF(Productos!$A799="","",Productos!H799)</f>
        <v/>
      </c>
      <c r="E799" s="18" t="str">
        <f t="shared" si="24"/>
        <v/>
      </c>
      <c r="F799" s="26" t="str">
        <f>IF(A799="","",IF(D799="",0,D799*Productos!G799))</f>
        <v/>
      </c>
      <c r="G799" s="26" t="str">
        <f>IF(A799="","",IF(D799="",0,D799*Productos!F799))</f>
        <v/>
      </c>
      <c r="H799" s="26" t="str">
        <f t="shared" si="25"/>
        <v/>
      </c>
      <c r="I799" t="str">
        <f>IF(A799="","",Productos!J799)</f>
        <v/>
      </c>
    </row>
    <row r="800" spans="1:9" x14ac:dyDescent="0.2">
      <c r="A800" s="18" t="str">
        <f>IF(Productos!A800="","",Productos!A800)</f>
        <v/>
      </c>
      <c r="B800" s="18" t="str">
        <f>IF(Productos!B800="","",Productos!B800)</f>
        <v/>
      </c>
      <c r="C800" s="18" t="str">
        <f>IF(Productos!$A800="","",Productos!H800)</f>
        <v/>
      </c>
      <c r="E800" s="18" t="str">
        <f t="shared" si="24"/>
        <v/>
      </c>
      <c r="F800" s="26" t="str">
        <f>IF(A800="","",IF(D800="",0,D800*Productos!G800))</f>
        <v/>
      </c>
      <c r="G800" s="26" t="str">
        <f>IF(A800="","",IF(D800="",0,D800*Productos!F800))</f>
        <v/>
      </c>
      <c r="H800" s="26" t="str">
        <f t="shared" si="25"/>
        <v/>
      </c>
      <c r="I800" t="str">
        <f>IF(A800="","",Productos!J800)</f>
        <v/>
      </c>
    </row>
    <row r="801" spans="1:9" x14ac:dyDescent="0.2">
      <c r="A801" s="18" t="str">
        <f>IF(Productos!A801="","",Productos!A801)</f>
        <v/>
      </c>
      <c r="B801" s="18" t="str">
        <f>IF(Productos!B801="","",Productos!B801)</f>
        <v/>
      </c>
      <c r="C801" s="18" t="str">
        <f>IF(Productos!$A801="","",Productos!H801)</f>
        <v/>
      </c>
      <c r="E801" s="18" t="str">
        <f t="shared" si="24"/>
        <v/>
      </c>
      <c r="F801" s="26" t="str">
        <f>IF(A801="","",IF(D801="",0,D801*Productos!G801))</f>
        <v/>
      </c>
      <c r="G801" s="26" t="str">
        <f>IF(A801="","",IF(D801="",0,D801*Productos!F801))</f>
        <v/>
      </c>
      <c r="H801" s="26" t="str">
        <f t="shared" si="25"/>
        <v/>
      </c>
      <c r="I801" t="str">
        <f>IF(A801="","",Productos!J801)</f>
        <v/>
      </c>
    </row>
    <row r="802" spans="1:9" x14ac:dyDescent="0.2">
      <c r="A802" s="18" t="str">
        <f>IF(Productos!A802="","",Productos!A802)</f>
        <v/>
      </c>
      <c r="B802" s="18" t="str">
        <f>IF(Productos!B802="","",Productos!B802)</f>
        <v/>
      </c>
      <c r="C802" s="18" t="str">
        <f>IF(Productos!$A802="","",Productos!H802)</f>
        <v/>
      </c>
      <c r="E802" s="18" t="str">
        <f t="shared" si="24"/>
        <v/>
      </c>
      <c r="F802" s="26" t="str">
        <f>IF(A802="","",IF(D802="",0,D802*Productos!G802))</f>
        <v/>
      </c>
      <c r="G802" s="26" t="str">
        <f>IF(A802="","",IF(D802="",0,D802*Productos!F802))</f>
        <v/>
      </c>
      <c r="H802" s="26" t="str">
        <f t="shared" si="25"/>
        <v/>
      </c>
      <c r="I802" t="str">
        <f>IF(A802="","",Productos!J802)</f>
        <v/>
      </c>
    </row>
    <row r="803" spans="1:9" x14ac:dyDescent="0.2">
      <c r="A803" s="18" t="str">
        <f>IF(Productos!A803="","",Productos!A803)</f>
        <v/>
      </c>
      <c r="B803" s="18" t="str">
        <f>IF(Productos!B803="","",Productos!B803)</f>
        <v/>
      </c>
      <c r="C803" s="18" t="str">
        <f>IF(Productos!$A803="","",Productos!H803)</f>
        <v/>
      </c>
      <c r="E803" s="18" t="str">
        <f t="shared" si="24"/>
        <v/>
      </c>
      <c r="F803" s="26" t="str">
        <f>IF(A803="","",IF(D803="",0,D803*Productos!G803))</f>
        <v/>
      </c>
      <c r="G803" s="26" t="str">
        <f>IF(A803="","",IF(D803="",0,D803*Productos!F803))</f>
        <v/>
      </c>
      <c r="H803" s="26" t="str">
        <f t="shared" si="25"/>
        <v/>
      </c>
      <c r="I803" t="str">
        <f>IF(A803="","",Productos!J803)</f>
        <v/>
      </c>
    </row>
    <row r="804" spans="1:9" x14ac:dyDescent="0.2">
      <c r="A804" s="18" t="str">
        <f>IF(Productos!A804="","",Productos!A804)</f>
        <v/>
      </c>
      <c r="B804" s="18" t="str">
        <f>IF(Productos!B804="","",Productos!B804)</f>
        <v/>
      </c>
      <c r="C804" s="18" t="str">
        <f>IF(Productos!$A804="","",Productos!H804)</f>
        <v/>
      </c>
      <c r="E804" s="18" t="str">
        <f t="shared" si="24"/>
        <v/>
      </c>
      <c r="F804" s="26" t="str">
        <f>IF(A804="","",IF(D804="",0,D804*Productos!G804))</f>
        <v/>
      </c>
      <c r="G804" s="26" t="str">
        <f>IF(A804="","",IF(D804="",0,D804*Productos!F804))</f>
        <v/>
      </c>
      <c r="H804" s="26" t="str">
        <f t="shared" si="25"/>
        <v/>
      </c>
      <c r="I804" t="str">
        <f>IF(A804="","",Productos!J804)</f>
        <v/>
      </c>
    </row>
    <row r="805" spans="1:9" x14ac:dyDescent="0.2">
      <c r="A805" s="18" t="str">
        <f>IF(Productos!A805="","",Productos!A805)</f>
        <v/>
      </c>
      <c r="B805" s="18" t="str">
        <f>IF(Productos!B805="","",Productos!B805)</f>
        <v/>
      </c>
      <c r="C805" s="18" t="str">
        <f>IF(Productos!$A805="","",Productos!H805)</f>
        <v/>
      </c>
      <c r="E805" s="18" t="str">
        <f t="shared" si="24"/>
        <v/>
      </c>
      <c r="F805" s="26" t="str">
        <f>IF(A805="","",IF(D805="",0,D805*Productos!G805))</f>
        <v/>
      </c>
      <c r="G805" s="26" t="str">
        <f>IF(A805="","",IF(D805="",0,D805*Productos!F805))</f>
        <v/>
      </c>
      <c r="H805" s="26" t="str">
        <f t="shared" si="25"/>
        <v/>
      </c>
      <c r="I805" t="str">
        <f>IF(A805="","",Productos!J805)</f>
        <v/>
      </c>
    </row>
    <row r="806" spans="1:9" x14ac:dyDescent="0.2">
      <c r="A806" s="18" t="str">
        <f>IF(Productos!A806="","",Productos!A806)</f>
        <v/>
      </c>
      <c r="B806" s="18" t="str">
        <f>IF(Productos!B806="","",Productos!B806)</f>
        <v/>
      </c>
      <c r="C806" s="18" t="str">
        <f>IF(Productos!$A806="","",Productos!H806)</f>
        <v/>
      </c>
      <c r="E806" s="18" t="str">
        <f t="shared" si="24"/>
        <v/>
      </c>
      <c r="F806" s="26" t="str">
        <f>IF(A806="","",IF(D806="",0,D806*Productos!G806))</f>
        <v/>
      </c>
      <c r="G806" s="26" t="str">
        <f>IF(A806="","",IF(D806="",0,D806*Productos!F806))</f>
        <v/>
      </c>
      <c r="H806" s="26" t="str">
        <f t="shared" si="25"/>
        <v/>
      </c>
      <c r="I806" t="str">
        <f>IF(A806="","",Productos!J806)</f>
        <v/>
      </c>
    </row>
    <row r="807" spans="1:9" x14ac:dyDescent="0.2">
      <c r="A807" s="18" t="str">
        <f>IF(Productos!A807="","",Productos!A807)</f>
        <v/>
      </c>
      <c r="B807" s="18" t="str">
        <f>IF(Productos!B807="","",Productos!B807)</f>
        <v/>
      </c>
      <c r="C807" s="18" t="str">
        <f>IF(Productos!$A807="","",Productos!H807)</f>
        <v/>
      </c>
      <c r="E807" s="18" t="str">
        <f t="shared" si="24"/>
        <v/>
      </c>
      <c r="F807" s="26" t="str">
        <f>IF(A807="","",IF(D807="",0,D807*Productos!G807))</f>
        <v/>
      </c>
      <c r="G807" s="26" t="str">
        <f>IF(A807="","",IF(D807="",0,D807*Productos!F807))</f>
        <v/>
      </c>
      <c r="H807" s="26" t="str">
        <f t="shared" si="25"/>
        <v/>
      </c>
      <c r="I807" t="str">
        <f>IF(A807="","",Productos!J807)</f>
        <v/>
      </c>
    </row>
    <row r="808" spans="1:9" x14ac:dyDescent="0.2">
      <c r="A808" s="18" t="str">
        <f>IF(Productos!A808="","",Productos!A808)</f>
        <v/>
      </c>
      <c r="B808" s="18" t="str">
        <f>IF(Productos!B808="","",Productos!B808)</f>
        <v/>
      </c>
      <c r="C808" s="18" t="str">
        <f>IF(Productos!$A808="","",Productos!H808)</f>
        <v/>
      </c>
      <c r="E808" s="18" t="str">
        <f t="shared" si="24"/>
        <v/>
      </c>
      <c r="F808" s="26" t="str">
        <f>IF(A808="","",IF(D808="",0,D808*Productos!G808))</f>
        <v/>
      </c>
      <c r="G808" s="26" t="str">
        <f>IF(A808="","",IF(D808="",0,D808*Productos!F808))</f>
        <v/>
      </c>
      <c r="H808" s="26" t="str">
        <f t="shared" si="25"/>
        <v/>
      </c>
      <c r="I808" t="str">
        <f>IF(A808="","",Productos!J808)</f>
        <v/>
      </c>
    </row>
    <row r="809" spans="1:9" x14ac:dyDescent="0.2">
      <c r="A809" s="18" t="str">
        <f>IF(Productos!A809="","",Productos!A809)</f>
        <v/>
      </c>
      <c r="B809" s="18" t="str">
        <f>IF(Productos!B809="","",Productos!B809)</f>
        <v/>
      </c>
      <c r="C809" s="18" t="str">
        <f>IF(Productos!$A809="","",Productos!H809)</f>
        <v/>
      </c>
      <c r="E809" s="18" t="str">
        <f t="shared" si="24"/>
        <v/>
      </c>
      <c r="F809" s="26" t="str">
        <f>IF(A809="","",IF(D809="",0,D809*Productos!G809))</f>
        <v/>
      </c>
      <c r="G809" s="26" t="str">
        <f>IF(A809="","",IF(D809="",0,D809*Productos!F809))</f>
        <v/>
      </c>
      <c r="H809" s="26" t="str">
        <f t="shared" si="25"/>
        <v/>
      </c>
      <c r="I809" t="str">
        <f>IF(A809="","",Productos!J809)</f>
        <v/>
      </c>
    </row>
    <row r="810" spans="1:9" x14ac:dyDescent="0.2">
      <c r="A810" s="18" t="str">
        <f>IF(Productos!A810="","",Productos!A810)</f>
        <v/>
      </c>
      <c r="B810" s="18" t="str">
        <f>IF(Productos!B810="","",Productos!B810)</f>
        <v/>
      </c>
      <c r="C810" s="18" t="str">
        <f>IF(Productos!$A810="","",Productos!H810)</f>
        <v/>
      </c>
      <c r="E810" s="18" t="str">
        <f t="shared" si="24"/>
        <v/>
      </c>
      <c r="F810" s="26" t="str">
        <f>IF(A810="","",IF(D810="",0,D810*Productos!G810))</f>
        <v/>
      </c>
      <c r="G810" s="26" t="str">
        <f>IF(A810="","",IF(D810="",0,D810*Productos!F810))</f>
        <v/>
      </c>
      <c r="H810" s="26" t="str">
        <f t="shared" si="25"/>
        <v/>
      </c>
      <c r="I810" t="str">
        <f>IF(A810="","",Productos!J810)</f>
        <v/>
      </c>
    </row>
    <row r="811" spans="1:9" x14ac:dyDescent="0.2">
      <c r="A811" s="18" t="str">
        <f>IF(Productos!A811="","",Productos!A811)</f>
        <v/>
      </c>
      <c r="B811" s="18" t="str">
        <f>IF(Productos!B811="","",Productos!B811)</f>
        <v/>
      </c>
      <c r="C811" s="18" t="str">
        <f>IF(Productos!$A811="","",Productos!H811)</f>
        <v/>
      </c>
      <c r="E811" s="18" t="str">
        <f t="shared" si="24"/>
        <v/>
      </c>
      <c r="F811" s="26" t="str">
        <f>IF(A811="","",IF(D811="",0,D811*Productos!G811))</f>
        <v/>
      </c>
      <c r="G811" s="26" t="str">
        <f>IF(A811="","",IF(D811="",0,D811*Productos!F811))</f>
        <v/>
      </c>
      <c r="H811" s="26" t="str">
        <f t="shared" si="25"/>
        <v/>
      </c>
      <c r="I811" t="str">
        <f>IF(A811="","",Productos!J811)</f>
        <v/>
      </c>
    </row>
    <row r="812" spans="1:9" x14ac:dyDescent="0.2">
      <c r="A812" s="18" t="str">
        <f>IF(Productos!A812="","",Productos!A812)</f>
        <v/>
      </c>
      <c r="B812" s="18" t="str">
        <f>IF(Productos!B812="","",Productos!B812)</f>
        <v/>
      </c>
      <c r="C812" s="18" t="str">
        <f>IF(Productos!$A812="","",Productos!H812)</f>
        <v/>
      </c>
      <c r="E812" s="18" t="str">
        <f t="shared" si="24"/>
        <v/>
      </c>
      <c r="F812" s="26" t="str">
        <f>IF(A812="","",IF(D812="",0,D812*Productos!G812))</f>
        <v/>
      </c>
      <c r="G812" s="26" t="str">
        <f>IF(A812="","",IF(D812="",0,D812*Productos!F812))</f>
        <v/>
      </c>
      <c r="H812" s="26" t="str">
        <f t="shared" si="25"/>
        <v/>
      </c>
      <c r="I812" t="str">
        <f>IF(A812="","",Productos!J812)</f>
        <v/>
      </c>
    </row>
    <row r="813" spans="1:9" x14ac:dyDescent="0.2">
      <c r="A813" s="18" t="str">
        <f>IF(Productos!A813="","",Productos!A813)</f>
        <v/>
      </c>
      <c r="B813" s="18" t="str">
        <f>IF(Productos!B813="","",Productos!B813)</f>
        <v/>
      </c>
      <c r="C813" s="18" t="str">
        <f>IF(Productos!$A813="","",Productos!H813)</f>
        <v/>
      </c>
      <c r="E813" s="18" t="str">
        <f t="shared" si="24"/>
        <v/>
      </c>
      <c r="F813" s="26" t="str">
        <f>IF(A813="","",IF(D813="",0,D813*Productos!G813))</f>
        <v/>
      </c>
      <c r="G813" s="26" t="str">
        <f>IF(A813="","",IF(D813="",0,D813*Productos!F813))</f>
        <v/>
      </c>
      <c r="H813" s="26" t="str">
        <f t="shared" si="25"/>
        <v/>
      </c>
      <c r="I813" t="str">
        <f>IF(A813="","",Productos!J813)</f>
        <v/>
      </c>
    </row>
    <row r="814" spans="1:9" x14ac:dyDescent="0.2">
      <c r="A814" s="18" t="str">
        <f>IF(Productos!A814="","",Productos!A814)</f>
        <v/>
      </c>
      <c r="B814" s="18" t="str">
        <f>IF(Productos!B814="","",Productos!B814)</f>
        <v/>
      </c>
      <c r="C814" s="18" t="str">
        <f>IF(Productos!$A814="","",Productos!H814)</f>
        <v/>
      </c>
      <c r="E814" s="18" t="str">
        <f t="shared" si="24"/>
        <v/>
      </c>
      <c r="F814" s="26" t="str">
        <f>IF(A814="","",IF(D814="",0,D814*Productos!G814))</f>
        <v/>
      </c>
      <c r="G814" s="26" t="str">
        <f>IF(A814="","",IF(D814="",0,D814*Productos!F814))</f>
        <v/>
      </c>
      <c r="H814" s="26" t="str">
        <f t="shared" si="25"/>
        <v/>
      </c>
      <c r="I814" t="str">
        <f>IF(A814="","",Productos!J814)</f>
        <v/>
      </c>
    </row>
    <row r="815" spans="1:9" x14ac:dyDescent="0.2">
      <c r="A815" s="18" t="str">
        <f>IF(Productos!A815="","",Productos!A815)</f>
        <v/>
      </c>
      <c r="B815" s="18" t="str">
        <f>IF(Productos!B815="","",Productos!B815)</f>
        <v/>
      </c>
      <c r="C815" s="18" t="str">
        <f>IF(Productos!$A815="","",Productos!H815)</f>
        <v/>
      </c>
      <c r="E815" s="18" t="str">
        <f t="shared" si="24"/>
        <v/>
      </c>
      <c r="F815" s="26" t="str">
        <f>IF(A815="","",IF(D815="",0,D815*Productos!G815))</f>
        <v/>
      </c>
      <c r="G815" s="26" t="str">
        <f>IF(A815="","",IF(D815="",0,D815*Productos!F815))</f>
        <v/>
      </c>
      <c r="H815" s="26" t="str">
        <f t="shared" si="25"/>
        <v/>
      </c>
      <c r="I815" t="str">
        <f>IF(A815="","",Productos!J815)</f>
        <v/>
      </c>
    </row>
    <row r="816" spans="1:9" x14ac:dyDescent="0.2">
      <c r="A816" s="18" t="str">
        <f>IF(Productos!A816="","",Productos!A816)</f>
        <v/>
      </c>
      <c r="B816" s="18" t="str">
        <f>IF(Productos!B816="","",Productos!B816)</f>
        <v/>
      </c>
      <c r="C816" s="18" t="str">
        <f>IF(Productos!$A816="","",Productos!H816)</f>
        <v/>
      </c>
      <c r="E816" s="18" t="str">
        <f t="shared" si="24"/>
        <v/>
      </c>
      <c r="F816" s="26" t="str">
        <f>IF(A816="","",IF(D816="",0,D816*Productos!G816))</f>
        <v/>
      </c>
      <c r="G816" s="26" t="str">
        <f>IF(A816="","",IF(D816="",0,D816*Productos!F816))</f>
        <v/>
      </c>
      <c r="H816" s="26" t="str">
        <f t="shared" si="25"/>
        <v/>
      </c>
      <c r="I816" t="str">
        <f>IF(A816="","",Productos!J816)</f>
        <v/>
      </c>
    </row>
    <row r="817" spans="1:9" x14ac:dyDescent="0.2">
      <c r="A817" s="18" t="str">
        <f>IF(Productos!A817="","",Productos!A817)</f>
        <v/>
      </c>
      <c r="B817" s="18" t="str">
        <f>IF(Productos!B817="","",Productos!B817)</f>
        <v/>
      </c>
      <c r="C817" s="18" t="str">
        <f>IF(Productos!$A817="","",Productos!H817)</f>
        <v/>
      </c>
      <c r="E817" s="18" t="str">
        <f t="shared" si="24"/>
        <v/>
      </c>
      <c r="F817" s="26" t="str">
        <f>IF(A817="","",IF(D817="",0,D817*Productos!G817))</f>
        <v/>
      </c>
      <c r="G817" s="26" t="str">
        <f>IF(A817="","",IF(D817="",0,D817*Productos!F817))</f>
        <v/>
      </c>
      <c r="H817" s="26" t="str">
        <f t="shared" si="25"/>
        <v/>
      </c>
      <c r="I817" t="str">
        <f>IF(A817="","",Productos!J817)</f>
        <v/>
      </c>
    </row>
    <row r="818" spans="1:9" x14ac:dyDescent="0.2">
      <c r="A818" s="18" t="str">
        <f>IF(Productos!A818="","",Productos!A818)</f>
        <v/>
      </c>
      <c r="B818" s="18" t="str">
        <f>IF(Productos!B818="","",Productos!B818)</f>
        <v/>
      </c>
      <c r="C818" s="18" t="str">
        <f>IF(Productos!$A818="","",Productos!H818)</f>
        <v/>
      </c>
      <c r="E818" s="18" t="str">
        <f t="shared" si="24"/>
        <v/>
      </c>
      <c r="F818" s="26" t="str">
        <f>IF(A818="","",IF(D818="",0,D818*Productos!G818))</f>
        <v/>
      </c>
      <c r="G818" s="26" t="str">
        <f>IF(A818="","",IF(D818="",0,D818*Productos!F818))</f>
        <v/>
      </c>
      <c r="H818" s="26" t="str">
        <f t="shared" si="25"/>
        <v/>
      </c>
      <c r="I818" t="str">
        <f>IF(A818="","",Productos!J818)</f>
        <v/>
      </c>
    </row>
    <row r="819" spans="1:9" x14ac:dyDescent="0.2">
      <c r="A819" s="18" t="str">
        <f>IF(Productos!A819="","",Productos!A819)</f>
        <v/>
      </c>
      <c r="B819" s="18" t="str">
        <f>IF(Productos!B819="","",Productos!B819)</f>
        <v/>
      </c>
      <c r="C819" s="18" t="str">
        <f>IF(Productos!$A819="","",Productos!H819)</f>
        <v/>
      </c>
      <c r="E819" s="18" t="str">
        <f t="shared" si="24"/>
        <v/>
      </c>
      <c r="F819" s="26" t="str">
        <f>IF(A819="","",IF(D819="",0,D819*Productos!G819))</f>
        <v/>
      </c>
      <c r="G819" s="26" t="str">
        <f>IF(A819="","",IF(D819="",0,D819*Productos!F819))</f>
        <v/>
      </c>
      <c r="H819" s="26" t="str">
        <f t="shared" si="25"/>
        <v/>
      </c>
      <c r="I819" t="str">
        <f>IF(A819="","",Productos!J819)</f>
        <v/>
      </c>
    </row>
    <row r="820" spans="1:9" x14ac:dyDescent="0.2">
      <c r="A820" s="18" t="str">
        <f>IF(Productos!A820="","",Productos!A820)</f>
        <v/>
      </c>
      <c r="B820" s="18" t="str">
        <f>IF(Productos!B820="","",Productos!B820)</f>
        <v/>
      </c>
      <c r="C820" s="18" t="str">
        <f>IF(Productos!$A820="","",Productos!H820)</f>
        <v/>
      </c>
      <c r="E820" s="18" t="str">
        <f t="shared" si="24"/>
        <v/>
      </c>
      <c r="F820" s="26" t="str">
        <f>IF(A820="","",IF(D820="",0,D820*Productos!G820))</f>
        <v/>
      </c>
      <c r="G820" s="26" t="str">
        <f>IF(A820="","",IF(D820="",0,D820*Productos!F820))</f>
        <v/>
      </c>
      <c r="H820" s="26" t="str">
        <f t="shared" si="25"/>
        <v/>
      </c>
      <c r="I820" t="str">
        <f>IF(A820="","",Productos!J820)</f>
        <v/>
      </c>
    </row>
    <row r="821" spans="1:9" x14ac:dyDescent="0.2">
      <c r="A821" s="18" t="str">
        <f>IF(Productos!A821="","",Productos!A821)</f>
        <v/>
      </c>
      <c r="B821" s="18" t="str">
        <f>IF(Productos!B821="","",Productos!B821)</f>
        <v/>
      </c>
      <c r="C821" s="18" t="str">
        <f>IF(Productos!$A821="","",Productos!H821)</f>
        <v/>
      </c>
      <c r="E821" s="18" t="str">
        <f t="shared" si="24"/>
        <v/>
      </c>
      <c r="F821" s="26" t="str">
        <f>IF(A821="","",IF(D821="",0,D821*Productos!G821))</f>
        <v/>
      </c>
      <c r="G821" s="26" t="str">
        <f>IF(A821="","",IF(D821="",0,D821*Productos!F821))</f>
        <v/>
      </c>
      <c r="H821" s="26" t="str">
        <f t="shared" si="25"/>
        <v/>
      </c>
      <c r="I821" t="str">
        <f>IF(A821="","",Productos!J821)</f>
        <v/>
      </c>
    </row>
    <row r="822" spans="1:9" x14ac:dyDescent="0.2">
      <c r="A822" s="18" t="str">
        <f>IF(Productos!A822="","",Productos!A822)</f>
        <v/>
      </c>
      <c r="B822" s="18" t="str">
        <f>IF(Productos!B822="","",Productos!B822)</f>
        <v/>
      </c>
      <c r="C822" s="18" t="str">
        <f>IF(Productos!$A822="","",Productos!H822)</f>
        <v/>
      </c>
      <c r="E822" s="18" t="str">
        <f t="shared" si="24"/>
        <v/>
      </c>
      <c r="F822" s="26" t="str">
        <f>IF(A822="","",IF(D822="",0,D822*Productos!G822))</f>
        <v/>
      </c>
      <c r="G822" s="26" t="str">
        <f>IF(A822="","",IF(D822="",0,D822*Productos!F822))</f>
        <v/>
      </c>
      <c r="H822" s="26" t="str">
        <f t="shared" si="25"/>
        <v/>
      </c>
      <c r="I822" t="str">
        <f>IF(A822="","",Productos!J822)</f>
        <v/>
      </c>
    </row>
    <row r="823" spans="1:9" x14ac:dyDescent="0.2">
      <c r="A823" s="18" t="str">
        <f>IF(Productos!A823="","",Productos!A823)</f>
        <v/>
      </c>
      <c r="B823" s="18" t="str">
        <f>IF(Productos!B823="","",Productos!B823)</f>
        <v/>
      </c>
      <c r="C823" s="18" t="str">
        <f>IF(Productos!$A823="","",Productos!H823)</f>
        <v/>
      </c>
      <c r="E823" s="18" t="str">
        <f t="shared" si="24"/>
        <v/>
      </c>
      <c r="F823" s="26" t="str">
        <f>IF(A823="","",IF(D823="",0,D823*Productos!G823))</f>
        <v/>
      </c>
      <c r="G823" s="26" t="str">
        <f>IF(A823="","",IF(D823="",0,D823*Productos!F823))</f>
        <v/>
      </c>
      <c r="H823" s="26" t="str">
        <f t="shared" si="25"/>
        <v/>
      </c>
      <c r="I823" t="str">
        <f>IF(A823="","",Productos!J823)</f>
        <v/>
      </c>
    </row>
    <row r="824" spans="1:9" x14ac:dyDescent="0.2">
      <c r="A824" s="18" t="str">
        <f>IF(Productos!A824="","",Productos!A824)</f>
        <v/>
      </c>
      <c r="B824" s="18" t="str">
        <f>IF(Productos!B824="","",Productos!B824)</f>
        <v/>
      </c>
      <c r="C824" s="18" t="str">
        <f>IF(Productos!$A824="","",Productos!H824)</f>
        <v/>
      </c>
      <c r="E824" s="18" t="str">
        <f t="shared" si="24"/>
        <v/>
      </c>
      <c r="F824" s="26" t="str">
        <f>IF(A824="","",IF(D824="",0,D824*Productos!G824))</f>
        <v/>
      </c>
      <c r="G824" s="26" t="str">
        <f>IF(A824="","",IF(D824="",0,D824*Productos!F824))</f>
        <v/>
      </c>
      <c r="H824" s="26" t="str">
        <f t="shared" si="25"/>
        <v/>
      </c>
      <c r="I824" t="str">
        <f>IF(A824="","",Productos!J824)</f>
        <v/>
      </c>
    </row>
    <row r="825" spans="1:9" x14ac:dyDescent="0.2">
      <c r="A825" s="18" t="str">
        <f>IF(Productos!A825="","",Productos!A825)</f>
        <v/>
      </c>
      <c r="B825" s="18" t="str">
        <f>IF(Productos!B825="","",Productos!B825)</f>
        <v/>
      </c>
      <c r="C825" s="18" t="str">
        <f>IF(Productos!$A825="","",Productos!H825)</f>
        <v/>
      </c>
      <c r="E825" s="18" t="str">
        <f t="shared" si="24"/>
        <v/>
      </c>
      <c r="F825" s="26" t="str">
        <f>IF(A825="","",IF(D825="",0,D825*Productos!G825))</f>
        <v/>
      </c>
      <c r="G825" s="26" t="str">
        <f>IF(A825="","",IF(D825="",0,D825*Productos!F825))</f>
        <v/>
      </c>
      <c r="H825" s="26" t="str">
        <f t="shared" si="25"/>
        <v/>
      </c>
      <c r="I825" t="str">
        <f>IF(A825="","",Productos!J825)</f>
        <v/>
      </c>
    </row>
    <row r="826" spans="1:9" x14ac:dyDescent="0.2">
      <c r="A826" s="18" t="str">
        <f>IF(Productos!A826="","",Productos!A826)</f>
        <v/>
      </c>
      <c r="B826" s="18" t="str">
        <f>IF(Productos!B826="","",Productos!B826)</f>
        <v/>
      </c>
      <c r="C826" s="18" t="str">
        <f>IF(Productos!$A826="","",Productos!H826)</f>
        <v/>
      </c>
      <c r="E826" s="18" t="str">
        <f t="shared" si="24"/>
        <v/>
      </c>
      <c r="F826" s="26" t="str">
        <f>IF(A826="","",IF(D826="",0,D826*Productos!G826))</f>
        <v/>
      </c>
      <c r="G826" s="26" t="str">
        <f>IF(A826="","",IF(D826="",0,D826*Productos!F826))</f>
        <v/>
      </c>
      <c r="H826" s="26" t="str">
        <f t="shared" si="25"/>
        <v/>
      </c>
      <c r="I826" t="str">
        <f>IF(A826="","",Productos!J826)</f>
        <v/>
      </c>
    </row>
    <row r="827" spans="1:9" x14ac:dyDescent="0.2">
      <c r="A827" s="18" t="str">
        <f>IF(Productos!A827="","",Productos!A827)</f>
        <v/>
      </c>
      <c r="B827" s="18" t="str">
        <f>IF(Productos!B827="","",Productos!B827)</f>
        <v/>
      </c>
      <c r="C827" s="18" t="str">
        <f>IF(Productos!$A827="","",Productos!H827)</f>
        <v/>
      </c>
      <c r="E827" s="18" t="str">
        <f t="shared" si="24"/>
        <v/>
      </c>
      <c r="F827" s="26" t="str">
        <f>IF(A827="","",IF(D827="",0,D827*Productos!G827))</f>
        <v/>
      </c>
      <c r="G827" s="26" t="str">
        <f>IF(A827="","",IF(D827="",0,D827*Productos!F827))</f>
        <v/>
      </c>
      <c r="H827" s="26" t="str">
        <f t="shared" si="25"/>
        <v/>
      </c>
      <c r="I827" t="str">
        <f>IF(A827="","",Productos!J827)</f>
        <v/>
      </c>
    </row>
    <row r="828" spans="1:9" x14ac:dyDescent="0.2">
      <c r="A828" s="18" t="str">
        <f>IF(Productos!A828="","",Productos!A828)</f>
        <v/>
      </c>
      <c r="B828" s="18" t="str">
        <f>IF(Productos!B828="","",Productos!B828)</f>
        <v/>
      </c>
      <c r="C828" s="18" t="str">
        <f>IF(Productos!$A828="","",Productos!H828)</f>
        <v/>
      </c>
      <c r="E828" s="18" t="str">
        <f t="shared" si="24"/>
        <v/>
      </c>
      <c r="F828" s="26" t="str">
        <f>IF(A828="","",IF(D828="",0,D828*Productos!G828))</f>
        <v/>
      </c>
      <c r="G828" s="26" t="str">
        <f>IF(A828="","",IF(D828="",0,D828*Productos!F828))</f>
        <v/>
      </c>
      <c r="H828" s="26" t="str">
        <f t="shared" si="25"/>
        <v/>
      </c>
      <c r="I828" t="str">
        <f>IF(A828="","",Productos!J828)</f>
        <v/>
      </c>
    </row>
    <row r="829" spans="1:9" x14ac:dyDescent="0.2">
      <c r="A829" s="18" t="str">
        <f>IF(Productos!A829="","",Productos!A829)</f>
        <v/>
      </c>
      <c r="B829" s="18" t="str">
        <f>IF(Productos!B829="","",Productos!B829)</f>
        <v/>
      </c>
      <c r="C829" s="18" t="str">
        <f>IF(Productos!$A829="","",Productos!H829)</f>
        <v/>
      </c>
      <c r="E829" s="18" t="str">
        <f t="shared" si="24"/>
        <v/>
      </c>
      <c r="F829" s="26" t="str">
        <f>IF(A829="","",IF(D829="",0,D829*Productos!G829))</f>
        <v/>
      </c>
      <c r="G829" s="26" t="str">
        <f>IF(A829="","",IF(D829="",0,D829*Productos!F829))</f>
        <v/>
      </c>
      <c r="H829" s="26" t="str">
        <f t="shared" si="25"/>
        <v/>
      </c>
      <c r="I829" t="str">
        <f>IF(A829="","",Productos!J829)</f>
        <v/>
      </c>
    </row>
    <row r="830" spans="1:9" x14ac:dyDescent="0.2">
      <c r="A830" s="18" t="str">
        <f>IF(Productos!A830="","",Productos!A830)</f>
        <v/>
      </c>
      <c r="B830" s="18" t="str">
        <f>IF(Productos!B830="","",Productos!B830)</f>
        <v/>
      </c>
      <c r="C830" s="18" t="str">
        <f>IF(Productos!$A830="","",Productos!H830)</f>
        <v/>
      </c>
      <c r="E830" s="18" t="str">
        <f t="shared" si="24"/>
        <v/>
      </c>
      <c r="F830" s="26" t="str">
        <f>IF(A830="","",IF(D830="",0,D830*Productos!G830))</f>
        <v/>
      </c>
      <c r="G830" s="26" t="str">
        <f>IF(A830="","",IF(D830="",0,D830*Productos!F830))</f>
        <v/>
      </c>
      <c r="H830" s="26" t="str">
        <f t="shared" si="25"/>
        <v/>
      </c>
      <c r="I830" t="str">
        <f>IF(A830="","",Productos!J830)</f>
        <v/>
      </c>
    </row>
    <row r="831" spans="1:9" x14ac:dyDescent="0.2">
      <c r="A831" s="18" t="str">
        <f>IF(Productos!A831="","",Productos!A831)</f>
        <v/>
      </c>
      <c r="B831" s="18" t="str">
        <f>IF(Productos!B831="","",Productos!B831)</f>
        <v/>
      </c>
      <c r="C831" s="18" t="str">
        <f>IF(Productos!$A831="","",Productos!H831)</f>
        <v/>
      </c>
      <c r="E831" s="18" t="str">
        <f t="shared" si="24"/>
        <v/>
      </c>
      <c r="F831" s="26" t="str">
        <f>IF(A831="","",IF(D831="",0,D831*Productos!G831))</f>
        <v/>
      </c>
      <c r="G831" s="26" t="str">
        <f>IF(A831="","",IF(D831="",0,D831*Productos!F831))</f>
        <v/>
      </c>
      <c r="H831" s="26" t="str">
        <f t="shared" si="25"/>
        <v/>
      </c>
      <c r="I831" t="str">
        <f>IF(A831="","",Productos!J831)</f>
        <v/>
      </c>
    </row>
    <row r="832" spans="1:9" x14ac:dyDescent="0.2">
      <c r="A832" s="18" t="str">
        <f>IF(Productos!A832="","",Productos!A832)</f>
        <v/>
      </c>
      <c r="B832" s="18" t="str">
        <f>IF(Productos!B832="","",Productos!B832)</f>
        <v/>
      </c>
      <c r="C832" s="18" t="str">
        <f>IF(Productos!$A832="","",Productos!H832)</f>
        <v/>
      </c>
      <c r="E832" s="18" t="str">
        <f t="shared" si="24"/>
        <v/>
      </c>
      <c r="F832" s="26" t="str">
        <f>IF(A832="","",IF(D832="",0,D832*Productos!G832))</f>
        <v/>
      </c>
      <c r="G832" s="26" t="str">
        <f>IF(A832="","",IF(D832="",0,D832*Productos!F832))</f>
        <v/>
      </c>
      <c r="H832" s="26" t="str">
        <f t="shared" si="25"/>
        <v/>
      </c>
      <c r="I832" t="str">
        <f>IF(A832="","",Productos!J832)</f>
        <v/>
      </c>
    </row>
    <row r="833" spans="1:9" x14ac:dyDescent="0.2">
      <c r="A833" s="18" t="str">
        <f>IF(Productos!A833="","",Productos!A833)</f>
        <v/>
      </c>
      <c r="B833" s="18" t="str">
        <f>IF(Productos!B833="","",Productos!B833)</f>
        <v/>
      </c>
      <c r="C833" s="18" t="str">
        <f>IF(Productos!$A833="","",Productos!H833)</f>
        <v/>
      </c>
      <c r="E833" s="18" t="str">
        <f t="shared" si="24"/>
        <v/>
      </c>
      <c r="F833" s="26" t="str">
        <f>IF(A833="","",IF(D833="",0,D833*Productos!G833))</f>
        <v/>
      </c>
      <c r="G833" s="26" t="str">
        <f>IF(A833="","",IF(D833="",0,D833*Productos!F833))</f>
        <v/>
      </c>
      <c r="H833" s="26" t="str">
        <f t="shared" si="25"/>
        <v/>
      </c>
      <c r="I833" t="str">
        <f>IF(A833="","",Productos!J833)</f>
        <v/>
      </c>
    </row>
    <row r="834" spans="1:9" x14ac:dyDescent="0.2">
      <c r="A834" s="18" t="str">
        <f>IF(Productos!A834="","",Productos!A834)</f>
        <v/>
      </c>
      <c r="B834" s="18" t="str">
        <f>IF(Productos!B834="","",Productos!B834)</f>
        <v/>
      </c>
      <c r="C834" s="18" t="str">
        <f>IF(Productos!$A834="","",Productos!H834)</f>
        <v/>
      </c>
      <c r="E834" s="18" t="str">
        <f t="shared" si="24"/>
        <v/>
      </c>
      <c r="F834" s="26" t="str">
        <f>IF(A834="","",IF(D834="",0,D834*Productos!G834))</f>
        <v/>
      </c>
      <c r="G834" s="26" t="str">
        <f>IF(A834="","",IF(D834="",0,D834*Productos!F834))</f>
        <v/>
      </c>
      <c r="H834" s="26" t="str">
        <f t="shared" si="25"/>
        <v/>
      </c>
      <c r="I834" t="str">
        <f>IF(A834="","",Productos!J834)</f>
        <v/>
      </c>
    </row>
    <row r="835" spans="1:9" x14ac:dyDescent="0.2">
      <c r="A835" s="18" t="str">
        <f>IF(Productos!A835="","",Productos!A835)</f>
        <v/>
      </c>
      <c r="B835" s="18" t="str">
        <f>IF(Productos!B835="","",Productos!B835)</f>
        <v/>
      </c>
      <c r="C835" s="18" t="str">
        <f>IF(Productos!$A835="","",Productos!H835)</f>
        <v/>
      </c>
      <c r="E835" s="18" t="str">
        <f t="shared" ref="E835:E898" si="26">IF(C835="","",C835-IF(D835="",0,D835))</f>
        <v/>
      </c>
      <c r="F835" s="26" t="str">
        <f>IF(A835="","",IF(D835="",0,D835*Productos!G835))</f>
        <v/>
      </c>
      <c r="G835" s="26" t="str">
        <f>IF(A835="","",IF(D835="",0,D835*Productos!F835))</f>
        <v/>
      </c>
      <c r="H835" s="26" t="str">
        <f t="shared" ref="H835:H898" si="27">IF(A835="","",F835-G835)</f>
        <v/>
      </c>
      <c r="I835" t="str">
        <f>IF(A835="","",Productos!J835)</f>
        <v/>
      </c>
    </row>
    <row r="836" spans="1:9" x14ac:dyDescent="0.2">
      <c r="A836" s="18" t="str">
        <f>IF(Productos!A836="","",Productos!A836)</f>
        <v/>
      </c>
      <c r="B836" s="18" t="str">
        <f>IF(Productos!B836="","",Productos!B836)</f>
        <v/>
      </c>
      <c r="C836" s="18" t="str">
        <f>IF(Productos!$A836="","",Productos!H836)</f>
        <v/>
      </c>
      <c r="E836" s="18" t="str">
        <f t="shared" si="26"/>
        <v/>
      </c>
      <c r="F836" s="26" t="str">
        <f>IF(A836="","",IF(D836="",0,D836*Productos!G836))</f>
        <v/>
      </c>
      <c r="G836" s="26" t="str">
        <f>IF(A836="","",IF(D836="",0,D836*Productos!F836))</f>
        <v/>
      </c>
      <c r="H836" s="26" t="str">
        <f t="shared" si="27"/>
        <v/>
      </c>
      <c r="I836" t="str">
        <f>IF(A836="","",Productos!J836)</f>
        <v/>
      </c>
    </row>
    <row r="837" spans="1:9" x14ac:dyDescent="0.2">
      <c r="A837" s="18" t="str">
        <f>IF(Productos!A837="","",Productos!A837)</f>
        <v/>
      </c>
      <c r="B837" s="18" t="str">
        <f>IF(Productos!B837="","",Productos!B837)</f>
        <v/>
      </c>
      <c r="C837" s="18" t="str">
        <f>IF(Productos!$A837="","",Productos!H837)</f>
        <v/>
      </c>
      <c r="E837" s="18" t="str">
        <f t="shared" si="26"/>
        <v/>
      </c>
      <c r="F837" s="26" t="str">
        <f>IF(A837="","",IF(D837="",0,D837*Productos!G837))</f>
        <v/>
      </c>
      <c r="G837" s="26" t="str">
        <f>IF(A837="","",IF(D837="",0,D837*Productos!F837))</f>
        <v/>
      </c>
      <c r="H837" s="26" t="str">
        <f t="shared" si="27"/>
        <v/>
      </c>
      <c r="I837" t="str">
        <f>IF(A837="","",Productos!J837)</f>
        <v/>
      </c>
    </row>
    <row r="838" spans="1:9" x14ac:dyDescent="0.2">
      <c r="A838" s="18" t="str">
        <f>IF(Productos!A838="","",Productos!A838)</f>
        <v/>
      </c>
      <c r="B838" s="18" t="str">
        <f>IF(Productos!B838="","",Productos!B838)</f>
        <v/>
      </c>
      <c r="C838" s="18" t="str">
        <f>IF(Productos!$A838="","",Productos!H838)</f>
        <v/>
      </c>
      <c r="E838" s="18" t="str">
        <f t="shared" si="26"/>
        <v/>
      </c>
      <c r="F838" s="26" t="str">
        <f>IF(A838="","",IF(D838="",0,D838*Productos!G838))</f>
        <v/>
      </c>
      <c r="G838" s="26" t="str">
        <f>IF(A838="","",IF(D838="",0,D838*Productos!F838))</f>
        <v/>
      </c>
      <c r="H838" s="26" t="str">
        <f t="shared" si="27"/>
        <v/>
      </c>
      <c r="I838" t="str">
        <f>IF(A838="","",Productos!J838)</f>
        <v/>
      </c>
    </row>
    <row r="839" spans="1:9" x14ac:dyDescent="0.2">
      <c r="A839" s="18" t="str">
        <f>IF(Productos!A839="","",Productos!A839)</f>
        <v/>
      </c>
      <c r="B839" s="18" t="str">
        <f>IF(Productos!B839="","",Productos!B839)</f>
        <v/>
      </c>
      <c r="C839" s="18" t="str">
        <f>IF(Productos!$A839="","",Productos!H839)</f>
        <v/>
      </c>
      <c r="E839" s="18" t="str">
        <f t="shared" si="26"/>
        <v/>
      </c>
      <c r="F839" s="26" t="str">
        <f>IF(A839="","",IF(D839="",0,D839*Productos!G839))</f>
        <v/>
      </c>
      <c r="G839" s="26" t="str">
        <f>IF(A839="","",IF(D839="",0,D839*Productos!F839))</f>
        <v/>
      </c>
      <c r="H839" s="26" t="str">
        <f t="shared" si="27"/>
        <v/>
      </c>
      <c r="I839" t="str">
        <f>IF(A839="","",Productos!J839)</f>
        <v/>
      </c>
    </row>
    <row r="840" spans="1:9" x14ac:dyDescent="0.2">
      <c r="A840" s="18" t="str">
        <f>IF(Productos!A840="","",Productos!A840)</f>
        <v/>
      </c>
      <c r="B840" s="18" t="str">
        <f>IF(Productos!B840="","",Productos!B840)</f>
        <v/>
      </c>
      <c r="C840" s="18" t="str">
        <f>IF(Productos!$A840="","",Productos!H840)</f>
        <v/>
      </c>
      <c r="E840" s="18" t="str">
        <f t="shared" si="26"/>
        <v/>
      </c>
      <c r="F840" s="26" t="str">
        <f>IF(A840="","",IF(D840="",0,D840*Productos!G840))</f>
        <v/>
      </c>
      <c r="G840" s="26" t="str">
        <f>IF(A840="","",IF(D840="",0,D840*Productos!F840))</f>
        <v/>
      </c>
      <c r="H840" s="26" t="str">
        <f t="shared" si="27"/>
        <v/>
      </c>
      <c r="I840" t="str">
        <f>IF(A840="","",Productos!J840)</f>
        <v/>
      </c>
    </row>
    <row r="841" spans="1:9" x14ac:dyDescent="0.2">
      <c r="A841" s="18" t="str">
        <f>IF(Productos!A841="","",Productos!A841)</f>
        <v/>
      </c>
      <c r="B841" s="18" t="str">
        <f>IF(Productos!B841="","",Productos!B841)</f>
        <v/>
      </c>
      <c r="C841" s="18" t="str">
        <f>IF(Productos!$A841="","",Productos!H841)</f>
        <v/>
      </c>
      <c r="E841" s="18" t="str">
        <f t="shared" si="26"/>
        <v/>
      </c>
      <c r="F841" s="26" t="str">
        <f>IF(A841="","",IF(D841="",0,D841*Productos!G841))</f>
        <v/>
      </c>
      <c r="G841" s="26" t="str">
        <f>IF(A841="","",IF(D841="",0,D841*Productos!F841))</f>
        <v/>
      </c>
      <c r="H841" s="26" t="str">
        <f t="shared" si="27"/>
        <v/>
      </c>
      <c r="I841" t="str">
        <f>IF(A841="","",Productos!J841)</f>
        <v/>
      </c>
    </row>
    <row r="842" spans="1:9" x14ac:dyDescent="0.2">
      <c r="A842" s="18" t="str">
        <f>IF(Productos!A842="","",Productos!A842)</f>
        <v/>
      </c>
      <c r="B842" s="18" t="str">
        <f>IF(Productos!B842="","",Productos!B842)</f>
        <v/>
      </c>
      <c r="C842" s="18" t="str">
        <f>IF(Productos!$A842="","",Productos!H842)</f>
        <v/>
      </c>
      <c r="E842" s="18" t="str">
        <f t="shared" si="26"/>
        <v/>
      </c>
      <c r="F842" s="26" t="str">
        <f>IF(A842="","",IF(D842="",0,D842*Productos!G842))</f>
        <v/>
      </c>
      <c r="G842" s="26" t="str">
        <f>IF(A842="","",IF(D842="",0,D842*Productos!F842))</f>
        <v/>
      </c>
      <c r="H842" s="26" t="str">
        <f t="shared" si="27"/>
        <v/>
      </c>
      <c r="I842" t="str">
        <f>IF(A842="","",Productos!J842)</f>
        <v/>
      </c>
    </row>
    <row r="843" spans="1:9" x14ac:dyDescent="0.2">
      <c r="A843" s="18" t="str">
        <f>IF(Productos!A843="","",Productos!A843)</f>
        <v/>
      </c>
      <c r="B843" s="18" t="str">
        <f>IF(Productos!B843="","",Productos!B843)</f>
        <v/>
      </c>
      <c r="C843" s="18" t="str">
        <f>IF(Productos!$A843="","",Productos!H843)</f>
        <v/>
      </c>
      <c r="E843" s="18" t="str">
        <f t="shared" si="26"/>
        <v/>
      </c>
      <c r="F843" s="26" t="str">
        <f>IF(A843="","",IF(D843="",0,D843*Productos!G843))</f>
        <v/>
      </c>
      <c r="G843" s="26" t="str">
        <f>IF(A843="","",IF(D843="",0,D843*Productos!F843))</f>
        <v/>
      </c>
      <c r="H843" s="26" t="str">
        <f t="shared" si="27"/>
        <v/>
      </c>
      <c r="I843" t="str">
        <f>IF(A843="","",Productos!J843)</f>
        <v/>
      </c>
    </row>
    <row r="844" spans="1:9" x14ac:dyDescent="0.2">
      <c r="A844" s="18" t="str">
        <f>IF(Productos!A844="","",Productos!A844)</f>
        <v/>
      </c>
      <c r="B844" s="18" t="str">
        <f>IF(Productos!B844="","",Productos!B844)</f>
        <v/>
      </c>
      <c r="C844" s="18" t="str">
        <f>IF(Productos!$A844="","",Productos!H844)</f>
        <v/>
      </c>
      <c r="E844" s="18" t="str">
        <f t="shared" si="26"/>
        <v/>
      </c>
      <c r="F844" s="26" t="str">
        <f>IF(A844="","",IF(D844="",0,D844*Productos!G844))</f>
        <v/>
      </c>
      <c r="G844" s="26" t="str">
        <f>IF(A844="","",IF(D844="",0,D844*Productos!F844))</f>
        <v/>
      </c>
      <c r="H844" s="26" t="str">
        <f t="shared" si="27"/>
        <v/>
      </c>
      <c r="I844" t="str">
        <f>IF(A844="","",Productos!J844)</f>
        <v/>
      </c>
    </row>
    <row r="845" spans="1:9" x14ac:dyDescent="0.2">
      <c r="A845" s="18" t="str">
        <f>IF(Productos!A845="","",Productos!A845)</f>
        <v/>
      </c>
      <c r="B845" s="18" t="str">
        <f>IF(Productos!B845="","",Productos!B845)</f>
        <v/>
      </c>
      <c r="C845" s="18" t="str">
        <f>IF(Productos!$A845="","",Productos!H845)</f>
        <v/>
      </c>
      <c r="E845" s="18" t="str">
        <f t="shared" si="26"/>
        <v/>
      </c>
      <c r="F845" s="26" t="str">
        <f>IF(A845="","",IF(D845="",0,D845*Productos!G845))</f>
        <v/>
      </c>
      <c r="G845" s="26" t="str">
        <f>IF(A845="","",IF(D845="",0,D845*Productos!F845))</f>
        <v/>
      </c>
      <c r="H845" s="26" t="str">
        <f t="shared" si="27"/>
        <v/>
      </c>
      <c r="I845" t="str">
        <f>IF(A845="","",Productos!J845)</f>
        <v/>
      </c>
    </row>
    <row r="846" spans="1:9" x14ac:dyDescent="0.2">
      <c r="A846" s="18" t="str">
        <f>IF(Productos!A846="","",Productos!A846)</f>
        <v/>
      </c>
      <c r="B846" s="18" t="str">
        <f>IF(Productos!B846="","",Productos!B846)</f>
        <v/>
      </c>
      <c r="C846" s="18" t="str">
        <f>IF(Productos!$A846="","",Productos!H846)</f>
        <v/>
      </c>
      <c r="E846" s="18" t="str">
        <f t="shared" si="26"/>
        <v/>
      </c>
      <c r="F846" s="26" t="str">
        <f>IF(A846="","",IF(D846="",0,D846*Productos!G846))</f>
        <v/>
      </c>
      <c r="G846" s="26" t="str">
        <f>IF(A846="","",IF(D846="",0,D846*Productos!F846))</f>
        <v/>
      </c>
      <c r="H846" s="26" t="str">
        <f t="shared" si="27"/>
        <v/>
      </c>
      <c r="I846" t="str">
        <f>IF(A846="","",Productos!J846)</f>
        <v/>
      </c>
    </row>
    <row r="847" spans="1:9" x14ac:dyDescent="0.2">
      <c r="A847" s="18" t="str">
        <f>IF(Productos!A847="","",Productos!A847)</f>
        <v/>
      </c>
      <c r="B847" s="18" t="str">
        <f>IF(Productos!B847="","",Productos!B847)</f>
        <v/>
      </c>
      <c r="C847" s="18" t="str">
        <f>IF(Productos!$A847="","",Productos!H847)</f>
        <v/>
      </c>
      <c r="E847" s="18" t="str">
        <f t="shared" si="26"/>
        <v/>
      </c>
      <c r="F847" s="26" t="str">
        <f>IF(A847="","",IF(D847="",0,D847*Productos!G847))</f>
        <v/>
      </c>
      <c r="G847" s="26" t="str">
        <f>IF(A847="","",IF(D847="",0,D847*Productos!F847))</f>
        <v/>
      </c>
      <c r="H847" s="26" t="str">
        <f t="shared" si="27"/>
        <v/>
      </c>
      <c r="I847" t="str">
        <f>IF(A847="","",Productos!J847)</f>
        <v/>
      </c>
    </row>
    <row r="848" spans="1:9" x14ac:dyDescent="0.2">
      <c r="A848" s="18" t="str">
        <f>IF(Productos!A848="","",Productos!A848)</f>
        <v/>
      </c>
      <c r="B848" s="18" t="str">
        <f>IF(Productos!B848="","",Productos!B848)</f>
        <v/>
      </c>
      <c r="C848" s="18" t="str">
        <f>IF(Productos!$A848="","",Productos!H848)</f>
        <v/>
      </c>
      <c r="E848" s="18" t="str">
        <f t="shared" si="26"/>
        <v/>
      </c>
      <c r="F848" s="26" t="str">
        <f>IF(A848="","",IF(D848="",0,D848*Productos!G848))</f>
        <v/>
      </c>
      <c r="G848" s="26" t="str">
        <f>IF(A848="","",IF(D848="",0,D848*Productos!F848))</f>
        <v/>
      </c>
      <c r="H848" s="26" t="str">
        <f t="shared" si="27"/>
        <v/>
      </c>
      <c r="I848" t="str">
        <f>IF(A848="","",Productos!J848)</f>
        <v/>
      </c>
    </row>
    <row r="849" spans="1:9" x14ac:dyDescent="0.2">
      <c r="A849" s="18" t="str">
        <f>IF(Productos!A849="","",Productos!A849)</f>
        <v/>
      </c>
      <c r="B849" s="18" t="str">
        <f>IF(Productos!B849="","",Productos!B849)</f>
        <v/>
      </c>
      <c r="C849" s="18" t="str">
        <f>IF(Productos!$A849="","",Productos!H849)</f>
        <v/>
      </c>
      <c r="E849" s="18" t="str">
        <f t="shared" si="26"/>
        <v/>
      </c>
      <c r="F849" s="26" t="str">
        <f>IF(A849="","",IF(D849="",0,D849*Productos!G849))</f>
        <v/>
      </c>
      <c r="G849" s="26" t="str">
        <f>IF(A849="","",IF(D849="",0,D849*Productos!F849))</f>
        <v/>
      </c>
      <c r="H849" s="26" t="str">
        <f t="shared" si="27"/>
        <v/>
      </c>
      <c r="I849" t="str">
        <f>IF(A849="","",Productos!J849)</f>
        <v/>
      </c>
    </row>
    <row r="850" spans="1:9" x14ac:dyDescent="0.2">
      <c r="A850" s="18" t="str">
        <f>IF(Productos!A850="","",Productos!A850)</f>
        <v/>
      </c>
      <c r="B850" s="18" t="str">
        <f>IF(Productos!B850="","",Productos!B850)</f>
        <v/>
      </c>
      <c r="C850" s="18" t="str">
        <f>IF(Productos!$A850="","",Productos!H850)</f>
        <v/>
      </c>
      <c r="E850" s="18" t="str">
        <f t="shared" si="26"/>
        <v/>
      </c>
      <c r="F850" s="26" t="str">
        <f>IF(A850="","",IF(D850="",0,D850*Productos!G850))</f>
        <v/>
      </c>
      <c r="G850" s="26" t="str">
        <f>IF(A850="","",IF(D850="",0,D850*Productos!F850))</f>
        <v/>
      </c>
      <c r="H850" s="26" t="str">
        <f t="shared" si="27"/>
        <v/>
      </c>
      <c r="I850" t="str">
        <f>IF(A850="","",Productos!J850)</f>
        <v/>
      </c>
    </row>
    <row r="851" spans="1:9" x14ac:dyDescent="0.2">
      <c r="A851" s="18" t="str">
        <f>IF(Productos!A851="","",Productos!A851)</f>
        <v/>
      </c>
      <c r="B851" s="18" t="str">
        <f>IF(Productos!B851="","",Productos!B851)</f>
        <v/>
      </c>
      <c r="C851" s="18" t="str">
        <f>IF(Productos!$A851="","",Productos!H851)</f>
        <v/>
      </c>
      <c r="E851" s="18" t="str">
        <f t="shared" si="26"/>
        <v/>
      </c>
      <c r="F851" s="26" t="str">
        <f>IF(A851="","",IF(D851="",0,D851*Productos!G851))</f>
        <v/>
      </c>
      <c r="G851" s="26" t="str">
        <f>IF(A851="","",IF(D851="",0,D851*Productos!F851))</f>
        <v/>
      </c>
      <c r="H851" s="26" t="str">
        <f t="shared" si="27"/>
        <v/>
      </c>
      <c r="I851" t="str">
        <f>IF(A851="","",Productos!J851)</f>
        <v/>
      </c>
    </row>
    <row r="852" spans="1:9" x14ac:dyDescent="0.2">
      <c r="A852" s="18" t="str">
        <f>IF(Productos!A852="","",Productos!A852)</f>
        <v/>
      </c>
      <c r="B852" s="18" t="str">
        <f>IF(Productos!B852="","",Productos!B852)</f>
        <v/>
      </c>
      <c r="C852" s="18" t="str">
        <f>IF(Productos!$A852="","",Productos!H852)</f>
        <v/>
      </c>
      <c r="E852" s="18" t="str">
        <f t="shared" si="26"/>
        <v/>
      </c>
      <c r="F852" s="26" t="str">
        <f>IF(A852="","",IF(D852="",0,D852*Productos!G852))</f>
        <v/>
      </c>
      <c r="G852" s="26" t="str">
        <f>IF(A852="","",IF(D852="",0,D852*Productos!F852))</f>
        <v/>
      </c>
      <c r="H852" s="26" t="str">
        <f t="shared" si="27"/>
        <v/>
      </c>
      <c r="I852" t="str">
        <f>IF(A852="","",Productos!J852)</f>
        <v/>
      </c>
    </row>
    <row r="853" spans="1:9" x14ac:dyDescent="0.2">
      <c r="A853" s="18" t="str">
        <f>IF(Productos!A853="","",Productos!A853)</f>
        <v/>
      </c>
      <c r="B853" s="18" t="str">
        <f>IF(Productos!B853="","",Productos!B853)</f>
        <v/>
      </c>
      <c r="C853" s="18" t="str">
        <f>IF(Productos!$A853="","",Productos!H853)</f>
        <v/>
      </c>
      <c r="E853" s="18" t="str">
        <f t="shared" si="26"/>
        <v/>
      </c>
      <c r="F853" s="26" t="str">
        <f>IF(A853="","",IF(D853="",0,D853*Productos!G853))</f>
        <v/>
      </c>
      <c r="G853" s="26" t="str">
        <f>IF(A853="","",IF(D853="",0,D853*Productos!F853))</f>
        <v/>
      </c>
      <c r="H853" s="26" t="str">
        <f t="shared" si="27"/>
        <v/>
      </c>
      <c r="I853" t="str">
        <f>IF(A853="","",Productos!J853)</f>
        <v/>
      </c>
    </row>
    <row r="854" spans="1:9" x14ac:dyDescent="0.2">
      <c r="A854" s="18" t="str">
        <f>IF(Productos!A854="","",Productos!A854)</f>
        <v/>
      </c>
      <c r="B854" s="18" t="str">
        <f>IF(Productos!B854="","",Productos!B854)</f>
        <v/>
      </c>
      <c r="C854" s="18" t="str">
        <f>IF(Productos!$A854="","",Productos!H854)</f>
        <v/>
      </c>
      <c r="E854" s="18" t="str">
        <f t="shared" si="26"/>
        <v/>
      </c>
      <c r="F854" s="26" t="str">
        <f>IF(A854="","",IF(D854="",0,D854*Productos!G854))</f>
        <v/>
      </c>
      <c r="G854" s="26" t="str">
        <f>IF(A854="","",IF(D854="",0,D854*Productos!F854))</f>
        <v/>
      </c>
      <c r="H854" s="26" t="str">
        <f t="shared" si="27"/>
        <v/>
      </c>
      <c r="I854" t="str">
        <f>IF(A854="","",Productos!J854)</f>
        <v/>
      </c>
    </row>
    <row r="855" spans="1:9" x14ac:dyDescent="0.2">
      <c r="A855" s="18" t="str">
        <f>IF(Productos!A855="","",Productos!A855)</f>
        <v/>
      </c>
      <c r="B855" s="18" t="str">
        <f>IF(Productos!B855="","",Productos!B855)</f>
        <v/>
      </c>
      <c r="C855" s="18" t="str">
        <f>IF(Productos!$A855="","",Productos!H855)</f>
        <v/>
      </c>
      <c r="E855" s="18" t="str">
        <f t="shared" si="26"/>
        <v/>
      </c>
      <c r="F855" s="26" t="str">
        <f>IF(A855="","",IF(D855="",0,D855*Productos!G855))</f>
        <v/>
      </c>
      <c r="G855" s="26" t="str">
        <f>IF(A855="","",IF(D855="",0,D855*Productos!F855))</f>
        <v/>
      </c>
      <c r="H855" s="26" t="str">
        <f t="shared" si="27"/>
        <v/>
      </c>
      <c r="I855" t="str">
        <f>IF(A855="","",Productos!J855)</f>
        <v/>
      </c>
    </row>
    <row r="856" spans="1:9" x14ac:dyDescent="0.2">
      <c r="A856" s="18" t="str">
        <f>IF(Productos!A856="","",Productos!A856)</f>
        <v/>
      </c>
      <c r="B856" s="18" t="str">
        <f>IF(Productos!B856="","",Productos!B856)</f>
        <v/>
      </c>
      <c r="C856" s="18" t="str">
        <f>IF(Productos!$A856="","",Productos!H856)</f>
        <v/>
      </c>
      <c r="E856" s="18" t="str">
        <f t="shared" si="26"/>
        <v/>
      </c>
      <c r="F856" s="26" t="str">
        <f>IF(A856="","",IF(D856="",0,D856*Productos!G856))</f>
        <v/>
      </c>
      <c r="G856" s="26" t="str">
        <f>IF(A856="","",IF(D856="",0,D856*Productos!F856))</f>
        <v/>
      </c>
      <c r="H856" s="26" t="str">
        <f t="shared" si="27"/>
        <v/>
      </c>
      <c r="I856" t="str">
        <f>IF(A856="","",Productos!J856)</f>
        <v/>
      </c>
    </row>
    <row r="857" spans="1:9" x14ac:dyDescent="0.2">
      <c r="A857" s="18" t="str">
        <f>IF(Productos!A857="","",Productos!A857)</f>
        <v/>
      </c>
      <c r="B857" s="18" t="str">
        <f>IF(Productos!B857="","",Productos!B857)</f>
        <v/>
      </c>
      <c r="C857" s="18" t="str">
        <f>IF(Productos!$A857="","",Productos!H857)</f>
        <v/>
      </c>
      <c r="E857" s="18" t="str">
        <f t="shared" si="26"/>
        <v/>
      </c>
      <c r="F857" s="26" t="str">
        <f>IF(A857="","",IF(D857="",0,D857*Productos!G857))</f>
        <v/>
      </c>
      <c r="G857" s="26" t="str">
        <f>IF(A857="","",IF(D857="",0,D857*Productos!F857))</f>
        <v/>
      </c>
      <c r="H857" s="26" t="str">
        <f t="shared" si="27"/>
        <v/>
      </c>
      <c r="I857" t="str">
        <f>IF(A857="","",Productos!J857)</f>
        <v/>
      </c>
    </row>
    <row r="858" spans="1:9" x14ac:dyDescent="0.2">
      <c r="A858" s="18" t="str">
        <f>IF(Productos!A858="","",Productos!A858)</f>
        <v/>
      </c>
      <c r="B858" s="18" t="str">
        <f>IF(Productos!B858="","",Productos!B858)</f>
        <v/>
      </c>
      <c r="C858" s="18" t="str">
        <f>IF(Productos!$A858="","",Productos!H858)</f>
        <v/>
      </c>
      <c r="E858" s="18" t="str">
        <f t="shared" si="26"/>
        <v/>
      </c>
      <c r="F858" s="26" t="str">
        <f>IF(A858="","",IF(D858="",0,D858*Productos!G858))</f>
        <v/>
      </c>
      <c r="G858" s="26" t="str">
        <f>IF(A858="","",IF(D858="",0,D858*Productos!F858))</f>
        <v/>
      </c>
      <c r="H858" s="26" t="str">
        <f t="shared" si="27"/>
        <v/>
      </c>
      <c r="I858" t="str">
        <f>IF(A858="","",Productos!J858)</f>
        <v/>
      </c>
    </row>
    <row r="859" spans="1:9" x14ac:dyDescent="0.2">
      <c r="A859" s="18" t="str">
        <f>IF(Productos!A859="","",Productos!A859)</f>
        <v/>
      </c>
      <c r="B859" s="18" t="str">
        <f>IF(Productos!B859="","",Productos!B859)</f>
        <v/>
      </c>
      <c r="C859" s="18" t="str">
        <f>IF(Productos!$A859="","",Productos!H859)</f>
        <v/>
      </c>
      <c r="E859" s="18" t="str">
        <f t="shared" si="26"/>
        <v/>
      </c>
      <c r="F859" s="26" t="str">
        <f>IF(A859="","",IF(D859="",0,D859*Productos!G859))</f>
        <v/>
      </c>
      <c r="G859" s="26" t="str">
        <f>IF(A859="","",IF(D859="",0,D859*Productos!F859))</f>
        <v/>
      </c>
      <c r="H859" s="26" t="str">
        <f t="shared" si="27"/>
        <v/>
      </c>
      <c r="I859" t="str">
        <f>IF(A859="","",Productos!J859)</f>
        <v/>
      </c>
    </row>
    <row r="860" spans="1:9" x14ac:dyDescent="0.2">
      <c r="A860" s="18" t="str">
        <f>IF(Productos!A860="","",Productos!A860)</f>
        <v/>
      </c>
      <c r="B860" s="18" t="str">
        <f>IF(Productos!B860="","",Productos!B860)</f>
        <v/>
      </c>
      <c r="C860" s="18" t="str">
        <f>IF(Productos!$A860="","",Productos!H860)</f>
        <v/>
      </c>
      <c r="E860" s="18" t="str">
        <f t="shared" si="26"/>
        <v/>
      </c>
      <c r="F860" s="26" t="str">
        <f>IF(A860="","",IF(D860="",0,D860*Productos!G860))</f>
        <v/>
      </c>
      <c r="G860" s="26" t="str">
        <f>IF(A860="","",IF(D860="",0,D860*Productos!F860))</f>
        <v/>
      </c>
      <c r="H860" s="26" t="str">
        <f t="shared" si="27"/>
        <v/>
      </c>
      <c r="I860" t="str">
        <f>IF(A860="","",Productos!J860)</f>
        <v/>
      </c>
    </row>
    <row r="861" spans="1:9" x14ac:dyDescent="0.2">
      <c r="A861" s="18" t="str">
        <f>IF(Productos!A861="","",Productos!A861)</f>
        <v/>
      </c>
      <c r="B861" s="18" t="str">
        <f>IF(Productos!B861="","",Productos!B861)</f>
        <v/>
      </c>
      <c r="C861" s="18" t="str">
        <f>IF(Productos!$A861="","",Productos!H861)</f>
        <v/>
      </c>
      <c r="E861" s="18" t="str">
        <f t="shared" si="26"/>
        <v/>
      </c>
      <c r="F861" s="26" t="str">
        <f>IF(A861="","",IF(D861="",0,D861*Productos!G861))</f>
        <v/>
      </c>
      <c r="G861" s="26" t="str">
        <f>IF(A861="","",IF(D861="",0,D861*Productos!F861))</f>
        <v/>
      </c>
      <c r="H861" s="26" t="str">
        <f t="shared" si="27"/>
        <v/>
      </c>
      <c r="I861" t="str">
        <f>IF(A861="","",Productos!J861)</f>
        <v/>
      </c>
    </row>
    <row r="862" spans="1:9" x14ac:dyDescent="0.2">
      <c r="A862" s="18" t="str">
        <f>IF(Productos!A862="","",Productos!A862)</f>
        <v/>
      </c>
      <c r="B862" s="18" t="str">
        <f>IF(Productos!B862="","",Productos!B862)</f>
        <v/>
      </c>
      <c r="C862" s="18" t="str">
        <f>IF(Productos!$A862="","",Productos!H862)</f>
        <v/>
      </c>
      <c r="E862" s="18" t="str">
        <f t="shared" si="26"/>
        <v/>
      </c>
      <c r="F862" s="26" t="str">
        <f>IF(A862="","",IF(D862="",0,D862*Productos!G862))</f>
        <v/>
      </c>
      <c r="G862" s="26" t="str">
        <f>IF(A862="","",IF(D862="",0,D862*Productos!F862))</f>
        <v/>
      </c>
      <c r="H862" s="26" t="str">
        <f t="shared" si="27"/>
        <v/>
      </c>
      <c r="I862" t="str">
        <f>IF(A862="","",Productos!J862)</f>
        <v/>
      </c>
    </row>
    <row r="863" spans="1:9" x14ac:dyDescent="0.2">
      <c r="A863" s="18" t="str">
        <f>IF(Productos!A863="","",Productos!A863)</f>
        <v/>
      </c>
      <c r="B863" s="18" t="str">
        <f>IF(Productos!B863="","",Productos!B863)</f>
        <v/>
      </c>
      <c r="C863" s="18" t="str">
        <f>IF(Productos!$A863="","",Productos!H863)</f>
        <v/>
      </c>
      <c r="E863" s="18" t="str">
        <f t="shared" si="26"/>
        <v/>
      </c>
      <c r="F863" s="26" t="str">
        <f>IF(A863="","",IF(D863="",0,D863*Productos!G863))</f>
        <v/>
      </c>
      <c r="G863" s="26" t="str">
        <f>IF(A863="","",IF(D863="",0,D863*Productos!F863))</f>
        <v/>
      </c>
      <c r="H863" s="26" t="str">
        <f t="shared" si="27"/>
        <v/>
      </c>
      <c r="I863" t="str">
        <f>IF(A863="","",Productos!J863)</f>
        <v/>
      </c>
    </row>
    <row r="864" spans="1:9" x14ac:dyDescent="0.2">
      <c r="A864" s="18" t="str">
        <f>IF(Productos!A864="","",Productos!A864)</f>
        <v/>
      </c>
      <c r="B864" s="18" t="str">
        <f>IF(Productos!B864="","",Productos!B864)</f>
        <v/>
      </c>
      <c r="C864" s="18" t="str">
        <f>IF(Productos!$A864="","",Productos!H864)</f>
        <v/>
      </c>
      <c r="E864" s="18" t="str">
        <f t="shared" si="26"/>
        <v/>
      </c>
      <c r="F864" s="26" t="str">
        <f>IF(A864="","",IF(D864="",0,D864*Productos!G864))</f>
        <v/>
      </c>
      <c r="G864" s="26" t="str">
        <f>IF(A864="","",IF(D864="",0,D864*Productos!F864))</f>
        <v/>
      </c>
      <c r="H864" s="26" t="str">
        <f t="shared" si="27"/>
        <v/>
      </c>
      <c r="I864" t="str">
        <f>IF(A864="","",Productos!J864)</f>
        <v/>
      </c>
    </row>
    <row r="865" spans="1:9" x14ac:dyDescent="0.2">
      <c r="A865" s="18" t="str">
        <f>IF(Productos!A865="","",Productos!A865)</f>
        <v/>
      </c>
      <c r="B865" s="18" t="str">
        <f>IF(Productos!B865="","",Productos!B865)</f>
        <v/>
      </c>
      <c r="C865" s="18" t="str">
        <f>IF(Productos!$A865="","",Productos!H865)</f>
        <v/>
      </c>
      <c r="E865" s="18" t="str">
        <f t="shared" si="26"/>
        <v/>
      </c>
      <c r="F865" s="26" t="str">
        <f>IF(A865="","",IF(D865="",0,D865*Productos!G865))</f>
        <v/>
      </c>
      <c r="G865" s="26" t="str">
        <f>IF(A865="","",IF(D865="",0,D865*Productos!F865))</f>
        <v/>
      </c>
      <c r="H865" s="26" t="str">
        <f t="shared" si="27"/>
        <v/>
      </c>
      <c r="I865" t="str">
        <f>IF(A865="","",Productos!J865)</f>
        <v/>
      </c>
    </row>
    <row r="866" spans="1:9" x14ac:dyDescent="0.2">
      <c r="A866" s="18" t="str">
        <f>IF(Productos!A866="","",Productos!A866)</f>
        <v/>
      </c>
      <c r="B866" s="18" t="str">
        <f>IF(Productos!B866="","",Productos!B866)</f>
        <v/>
      </c>
      <c r="C866" s="18" t="str">
        <f>IF(Productos!$A866="","",Productos!H866)</f>
        <v/>
      </c>
      <c r="E866" s="18" t="str">
        <f t="shared" si="26"/>
        <v/>
      </c>
      <c r="F866" s="26" t="str">
        <f>IF(A866="","",IF(D866="",0,D866*Productos!G866))</f>
        <v/>
      </c>
      <c r="G866" s="26" t="str">
        <f>IF(A866="","",IF(D866="",0,D866*Productos!F866))</f>
        <v/>
      </c>
      <c r="H866" s="26" t="str">
        <f t="shared" si="27"/>
        <v/>
      </c>
      <c r="I866" t="str">
        <f>IF(A866="","",Productos!J866)</f>
        <v/>
      </c>
    </row>
    <row r="867" spans="1:9" x14ac:dyDescent="0.2">
      <c r="A867" s="18" t="str">
        <f>IF(Productos!A867="","",Productos!A867)</f>
        <v/>
      </c>
      <c r="B867" s="18" t="str">
        <f>IF(Productos!B867="","",Productos!B867)</f>
        <v/>
      </c>
      <c r="C867" s="18" t="str">
        <f>IF(Productos!$A867="","",Productos!H867)</f>
        <v/>
      </c>
      <c r="E867" s="18" t="str">
        <f t="shared" si="26"/>
        <v/>
      </c>
      <c r="F867" s="26" t="str">
        <f>IF(A867="","",IF(D867="",0,D867*Productos!G867))</f>
        <v/>
      </c>
      <c r="G867" s="26" t="str">
        <f>IF(A867="","",IF(D867="",0,D867*Productos!F867))</f>
        <v/>
      </c>
      <c r="H867" s="26" t="str">
        <f t="shared" si="27"/>
        <v/>
      </c>
      <c r="I867" t="str">
        <f>IF(A867="","",Productos!J867)</f>
        <v/>
      </c>
    </row>
    <row r="868" spans="1:9" x14ac:dyDescent="0.2">
      <c r="A868" s="18" t="str">
        <f>IF(Productos!A868="","",Productos!A868)</f>
        <v/>
      </c>
      <c r="B868" s="18" t="str">
        <f>IF(Productos!B868="","",Productos!B868)</f>
        <v/>
      </c>
      <c r="C868" s="18" t="str">
        <f>IF(Productos!$A868="","",Productos!H868)</f>
        <v/>
      </c>
      <c r="E868" s="18" t="str">
        <f t="shared" si="26"/>
        <v/>
      </c>
      <c r="F868" s="26" t="str">
        <f>IF(A868="","",IF(D868="",0,D868*Productos!G868))</f>
        <v/>
      </c>
      <c r="G868" s="26" t="str">
        <f>IF(A868="","",IF(D868="",0,D868*Productos!F868))</f>
        <v/>
      </c>
      <c r="H868" s="26" t="str">
        <f t="shared" si="27"/>
        <v/>
      </c>
      <c r="I868" t="str">
        <f>IF(A868="","",Productos!J868)</f>
        <v/>
      </c>
    </row>
    <row r="869" spans="1:9" x14ac:dyDescent="0.2">
      <c r="A869" s="18" t="str">
        <f>IF(Productos!A869="","",Productos!A869)</f>
        <v/>
      </c>
      <c r="B869" s="18" t="str">
        <f>IF(Productos!B869="","",Productos!B869)</f>
        <v/>
      </c>
      <c r="C869" s="18" t="str">
        <f>IF(Productos!$A869="","",Productos!H869)</f>
        <v/>
      </c>
      <c r="E869" s="18" t="str">
        <f t="shared" si="26"/>
        <v/>
      </c>
      <c r="F869" s="26" t="str">
        <f>IF(A869="","",IF(D869="",0,D869*Productos!G869))</f>
        <v/>
      </c>
      <c r="G869" s="26" t="str">
        <f>IF(A869="","",IF(D869="",0,D869*Productos!F869))</f>
        <v/>
      </c>
      <c r="H869" s="26" t="str">
        <f t="shared" si="27"/>
        <v/>
      </c>
      <c r="I869" t="str">
        <f>IF(A869="","",Productos!J869)</f>
        <v/>
      </c>
    </row>
    <row r="870" spans="1:9" x14ac:dyDescent="0.2">
      <c r="A870" s="18" t="str">
        <f>IF(Productos!A870="","",Productos!A870)</f>
        <v/>
      </c>
      <c r="B870" s="18" t="str">
        <f>IF(Productos!B870="","",Productos!B870)</f>
        <v/>
      </c>
      <c r="C870" s="18" t="str">
        <f>IF(Productos!$A870="","",Productos!H870)</f>
        <v/>
      </c>
      <c r="E870" s="18" t="str">
        <f t="shared" si="26"/>
        <v/>
      </c>
      <c r="F870" s="26" t="str">
        <f>IF(A870="","",IF(D870="",0,D870*Productos!G870))</f>
        <v/>
      </c>
      <c r="G870" s="26" t="str">
        <f>IF(A870="","",IF(D870="",0,D870*Productos!F870))</f>
        <v/>
      </c>
      <c r="H870" s="26" t="str">
        <f t="shared" si="27"/>
        <v/>
      </c>
      <c r="I870" t="str">
        <f>IF(A870="","",Productos!J870)</f>
        <v/>
      </c>
    </row>
    <row r="871" spans="1:9" x14ac:dyDescent="0.2">
      <c r="A871" s="18" t="str">
        <f>IF(Productos!A871="","",Productos!A871)</f>
        <v/>
      </c>
      <c r="B871" s="18" t="str">
        <f>IF(Productos!B871="","",Productos!B871)</f>
        <v/>
      </c>
      <c r="C871" s="18" t="str">
        <f>IF(Productos!$A871="","",Productos!H871)</f>
        <v/>
      </c>
      <c r="E871" s="18" t="str">
        <f t="shared" si="26"/>
        <v/>
      </c>
      <c r="F871" s="26" t="str">
        <f>IF(A871="","",IF(D871="",0,D871*Productos!G871))</f>
        <v/>
      </c>
      <c r="G871" s="26" t="str">
        <f>IF(A871="","",IF(D871="",0,D871*Productos!F871))</f>
        <v/>
      </c>
      <c r="H871" s="26" t="str">
        <f t="shared" si="27"/>
        <v/>
      </c>
      <c r="I871" t="str">
        <f>IF(A871="","",Productos!J871)</f>
        <v/>
      </c>
    </row>
    <row r="872" spans="1:9" x14ac:dyDescent="0.2">
      <c r="A872" s="18" t="str">
        <f>IF(Productos!A872="","",Productos!A872)</f>
        <v/>
      </c>
      <c r="B872" s="18" t="str">
        <f>IF(Productos!B872="","",Productos!B872)</f>
        <v/>
      </c>
      <c r="C872" s="18" t="str">
        <f>IF(Productos!$A872="","",Productos!H872)</f>
        <v/>
      </c>
      <c r="E872" s="18" t="str">
        <f t="shared" si="26"/>
        <v/>
      </c>
      <c r="F872" s="26" t="str">
        <f>IF(A872="","",IF(D872="",0,D872*Productos!G872))</f>
        <v/>
      </c>
      <c r="G872" s="26" t="str">
        <f>IF(A872="","",IF(D872="",0,D872*Productos!F872))</f>
        <v/>
      </c>
      <c r="H872" s="26" t="str">
        <f t="shared" si="27"/>
        <v/>
      </c>
      <c r="I872" t="str">
        <f>IF(A872="","",Productos!J872)</f>
        <v/>
      </c>
    </row>
    <row r="873" spans="1:9" x14ac:dyDescent="0.2">
      <c r="A873" s="18" t="str">
        <f>IF(Productos!A873="","",Productos!A873)</f>
        <v/>
      </c>
      <c r="B873" s="18" t="str">
        <f>IF(Productos!B873="","",Productos!B873)</f>
        <v/>
      </c>
      <c r="C873" s="18" t="str">
        <f>IF(Productos!$A873="","",Productos!H873)</f>
        <v/>
      </c>
      <c r="E873" s="18" t="str">
        <f t="shared" si="26"/>
        <v/>
      </c>
      <c r="F873" s="26" t="str">
        <f>IF(A873="","",IF(D873="",0,D873*Productos!G873))</f>
        <v/>
      </c>
      <c r="G873" s="26" t="str">
        <f>IF(A873="","",IF(D873="",0,D873*Productos!F873))</f>
        <v/>
      </c>
      <c r="H873" s="26" t="str">
        <f t="shared" si="27"/>
        <v/>
      </c>
      <c r="I873" t="str">
        <f>IF(A873="","",Productos!J873)</f>
        <v/>
      </c>
    </row>
    <row r="874" spans="1:9" x14ac:dyDescent="0.2">
      <c r="A874" s="18" t="str">
        <f>IF(Productos!A874="","",Productos!A874)</f>
        <v/>
      </c>
      <c r="B874" s="18" t="str">
        <f>IF(Productos!B874="","",Productos!B874)</f>
        <v/>
      </c>
      <c r="C874" s="18" t="str">
        <f>IF(Productos!$A874="","",Productos!H874)</f>
        <v/>
      </c>
      <c r="E874" s="18" t="str">
        <f t="shared" si="26"/>
        <v/>
      </c>
      <c r="F874" s="26" t="str">
        <f>IF(A874="","",IF(D874="",0,D874*Productos!G874))</f>
        <v/>
      </c>
      <c r="G874" s="26" t="str">
        <f>IF(A874="","",IF(D874="",0,D874*Productos!F874))</f>
        <v/>
      </c>
      <c r="H874" s="26" t="str">
        <f t="shared" si="27"/>
        <v/>
      </c>
      <c r="I874" t="str">
        <f>IF(A874="","",Productos!J874)</f>
        <v/>
      </c>
    </row>
    <row r="875" spans="1:9" x14ac:dyDescent="0.2">
      <c r="A875" s="18" t="str">
        <f>IF(Productos!A875="","",Productos!A875)</f>
        <v/>
      </c>
      <c r="B875" s="18" t="str">
        <f>IF(Productos!B875="","",Productos!B875)</f>
        <v/>
      </c>
      <c r="C875" s="18" t="str">
        <f>IF(Productos!$A875="","",Productos!H875)</f>
        <v/>
      </c>
      <c r="E875" s="18" t="str">
        <f t="shared" si="26"/>
        <v/>
      </c>
      <c r="F875" s="26" t="str">
        <f>IF(A875="","",IF(D875="",0,D875*Productos!G875))</f>
        <v/>
      </c>
      <c r="G875" s="26" t="str">
        <f>IF(A875="","",IF(D875="",0,D875*Productos!F875))</f>
        <v/>
      </c>
      <c r="H875" s="26" t="str">
        <f t="shared" si="27"/>
        <v/>
      </c>
      <c r="I875" t="str">
        <f>IF(A875="","",Productos!J875)</f>
        <v/>
      </c>
    </row>
    <row r="876" spans="1:9" x14ac:dyDescent="0.2">
      <c r="A876" s="18" t="str">
        <f>IF(Productos!A876="","",Productos!A876)</f>
        <v/>
      </c>
      <c r="B876" s="18" t="str">
        <f>IF(Productos!B876="","",Productos!B876)</f>
        <v/>
      </c>
      <c r="C876" s="18" t="str">
        <f>IF(Productos!$A876="","",Productos!H876)</f>
        <v/>
      </c>
      <c r="E876" s="18" t="str">
        <f t="shared" si="26"/>
        <v/>
      </c>
      <c r="F876" s="26" t="str">
        <f>IF(A876="","",IF(D876="",0,D876*Productos!G876))</f>
        <v/>
      </c>
      <c r="G876" s="26" t="str">
        <f>IF(A876="","",IF(D876="",0,D876*Productos!F876))</f>
        <v/>
      </c>
      <c r="H876" s="26" t="str">
        <f t="shared" si="27"/>
        <v/>
      </c>
      <c r="I876" t="str">
        <f>IF(A876="","",Productos!J876)</f>
        <v/>
      </c>
    </row>
    <row r="877" spans="1:9" x14ac:dyDescent="0.2">
      <c r="A877" s="18" t="str">
        <f>IF(Productos!A877="","",Productos!A877)</f>
        <v/>
      </c>
      <c r="B877" s="18" t="str">
        <f>IF(Productos!B877="","",Productos!B877)</f>
        <v/>
      </c>
      <c r="C877" s="18" t="str">
        <f>IF(Productos!$A877="","",Productos!H877)</f>
        <v/>
      </c>
      <c r="E877" s="18" t="str">
        <f t="shared" si="26"/>
        <v/>
      </c>
      <c r="F877" s="26" t="str">
        <f>IF(A877="","",IF(D877="",0,D877*Productos!G877))</f>
        <v/>
      </c>
      <c r="G877" s="26" t="str">
        <f>IF(A877="","",IF(D877="",0,D877*Productos!F877))</f>
        <v/>
      </c>
      <c r="H877" s="26" t="str">
        <f t="shared" si="27"/>
        <v/>
      </c>
      <c r="I877" t="str">
        <f>IF(A877="","",Productos!J877)</f>
        <v/>
      </c>
    </row>
    <row r="878" spans="1:9" x14ac:dyDescent="0.2">
      <c r="A878" s="18" t="str">
        <f>IF(Productos!A878="","",Productos!A878)</f>
        <v/>
      </c>
      <c r="B878" s="18" t="str">
        <f>IF(Productos!B878="","",Productos!B878)</f>
        <v/>
      </c>
      <c r="C878" s="18" t="str">
        <f>IF(Productos!$A878="","",Productos!H878)</f>
        <v/>
      </c>
      <c r="E878" s="18" t="str">
        <f t="shared" si="26"/>
        <v/>
      </c>
      <c r="F878" s="26" t="str">
        <f>IF(A878="","",IF(D878="",0,D878*Productos!G878))</f>
        <v/>
      </c>
      <c r="G878" s="26" t="str">
        <f>IF(A878="","",IF(D878="",0,D878*Productos!F878))</f>
        <v/>
      </c>
      <c r="H878" s="26" t="str">
        <f t="shared" si="27"/>
        <v/>
      </c>
      <c r="I878" t="str">
        <f>IF(A878="","",Productos!J878)</f>
        <v/>
      </c>
    </row>
    <row r="879" spans="1:9" x14ac:dyDescent="0.2">
      <c r="A879" s="18" t="str">
        <f>IF(Productos!A879="","",Productos!A879)</f>
        <v/>
      </c>
      <c r="B879" s="18" t="str">
        <f>IF(Productos!B879="","",Productos!B879)</f>
        <v/>
      </c>
      <c r="C879" s="18" t="str">
        <f>IF(Productos!$A879="","",Productos!H879)</f>
        <v/>
      </c>
      <c r="E879" s="18" t="str">
        <f t="shared" si="26"/>
        <v/>
      </c>
      <c r="F879" s="26" t="str">
        <f>IF(A879="","",IF(D879="",0,D879*Productos!G879))</f>
        <v/>
      </c>
      <c r="G879" s="26" t="str">
        <f>IF(A879="","",IF(D879="",0,D879*Productos!F879))</f>
        <v/>
      </c>
      <c r="H879" s="26" t="str">
        <f t="shared" si="27"/>
        <v/>
      </c>
      <c r="I879" t="str">
        <f>IF(A879="","",Productos!J879)</f>
        <v/>
      </c>
    </row>
    <row r="880" spans="1:9" x14ac:dyDescent="0.2">
      <c r="A880" s="18" t="str">
        <f>IF(Productos!A880="","",Productos!A880)</f>
        <v/>
      </c>
      <c r="B880" s="18" t="str">
        <f>IF(Productos!B880="","",Productos!B880)</f>
        <v/>
      </c>
      <c r="C880" s="18" t="str">
        <f>IF(Productos!$A880="","",Productos!H880)</f>
        <v/>
      </c>
      <c r="E880" s="18" t="str">
        <f t="shared" si="26"/>
        <v/>
      </c>
      <c r="F880" s="26" t="str">
        <f>IF(A880="","",IF(D880="",0,D880*Productos!G880))</f>
        <v/>
      </c>
      <c r="G880" s="26" t="str">
        <f>IF(A880="","",IF(D880="",0,D880*Productos!F880))</f>
        <v/>
      </c>
      <c r="H880" s="26" t="str">
        <f t="shared" si="27"/>
        <v/>
      </c>
      <c r="I880" t="str">
        <f>IF(A880="","",Productos!J880)</f>
        <v/>
      </c>
    </row>
    <row r="881" spans="1:9" x14ac:dyDescent="0.2">
      <c r="A881" s="18" t="str">
        <f>IF(Productos!A881="","",Productos!A881)</f>
        <v/>
      </c>
      <c r="B881" s="18" t="str">
        <f>IF(Productos!B881="","",Productos!B881)</f>
        <v/>
      </c>
      <c r="C881" s="18" t="str">
        <f>IF(Productos!$A881="","",Productos!H881)</f>
        <v/>
      </c>
      <c r="E881" s="18" t="str">
        <f t="shared" si="26"/>
        <v/>
      </c>
      <c r="F881" s="26" t="str">
        <f>IF(A881="","",IF(D881="",0,D881*Productos!G881))</f>
        <v/>
      </c>
      <c r="G881" s="26" t="str">
        <f>IF(A881="","",IF(D881="",0,D881*Productos!F881))</f>
        <v/>
      </c>
      <c r="H881" s="26" t="str">
        <f t="shared" si="27"/>
        <v/>
      </c>
      <c r="I881" t="str">
        <f>IF(A881="","",Productos!J881)</f>
        <v/>
      </c>
    </row>
    <row r="882" spans="1:9" x14ac:dyDescent="0.2">
      <c r="A882" s="18" t="str">
        <f>IF(Productos!A882="","",Productos!A882)</f>
        <v/>
      </c>
      <c r="B882" s="18" t="str">
        <f>IF(Productos!B882="","",Productos!B882)</f>
        <v/>
      </c>
      <c r="C882" s="18" t="str">
        <f>IF(Productos!$A882="","",Productos!H882)</f>
        <v/>
      </c>
      <c r="E882" s="18" t="str">
        <f t="shared" si="26"/>
        <v/>
      </c>
      <c r="F882" s="26" t="str">
        <f>IF(A882="","",IF(D882="",0,D882*Productos!G882))</f>
        <v/>
      </c>
      <c r="G882" s="26" t="str">
        <f>IF(A882="","",IF(D882="",0,D882*Productos!F882))</f>
        <v/>
      </c>
      <c r="H882" s="26" t="str">
        <f t="shared" si="27"/>
        <v/>
      </c>
      <c r="I882" t="str">
        <f>IF(A882="","",Productos!J882)</f>
        <v/>
      </c>
    </row>
    <row r="883" spans="1:9" x14ac:dyDescent="0.2">
      <c r="A883" s="18" t="str">
        <f>IF(Productos!A883="","",Productos!A883)</f>
        <v/>
      </c>
      <c r="B883" s="18" t="str">
        <f>IF(Productos!B883="","",Productos!B883)</f>
        <v/>
      </c>
      <c r="C883" s="18" t="str">
        <f>IF(Productos!$A883="","",Productos!H883)</f>
        <v/>
      </c>
      <c r="E883" s="18" t="str">
        <f t="shared" si="26"/>
        <v/>
      </c>
      <c r="F883" s="26" t="str">
        <f>IF(A883="","",IF(D883="",0,D883*Productos!G883))</f>
        <v/>
      </c>
      <c r="G883" s="26" t="str">
        <f>IF(A883="","",IF(D883="",0,D883*Productos!F883))</f>
        <v/>
      </c>
      <c r="H883" s="26" t="str">
        <f t="shared" si="27"/>
        <v/>
      </c>
      <c r="I883" t="str">
        <f>IF(A883="","",Productos!J883)</f>
        <v/>
      </c>
    </row>
    <row r="884" spans="1:9" x14ac:dyDescent="0.2">
      <c r="A884" s="18" t="str">
        <f>IF(Productos!A884="","",Productos!A884)</f>
        <v/>
      </c>
      <c r="B884" s="18" t="str">
        <f>IF(Productos!B884="","",Productos!B884)</f>
        <v/>
      </c>
      <c r="C884" s="18" t="str">
        <f>IF(Productos!$A884="","",Productos!H884)</f>
        <v/>
      </c>
      <c r="E884" s="18" t="str">
        <f t="shared" si="26"/>
        <v/>
      </c>
      <c r="F884" s="26" t="str">
        <f>IF(A884="","",IF(D884="",0,D884*Productos!G884))</f>
        <v/>
      </c>
      <c r="G884" s="26" t="str">
        <f>IF(A884="","",IF(D884="",0,D884*Productos!F884))</f>
        <v/>
      </c>
      <c r="H884" s="26" t="str">
        <f t="shared" si="27"/>
        <v/>
      </c>
      <c r="I884" t="str">
        <f>IF(A884="","",Productos!J884)</f>
        <v/>
      </c>
    </row>
    <row r="885" spans="1:9" x14ac:dyDescent="0.2">
      <c r="A885" s="18" t="str">
        <f>IF(Productos!A885="","",Productos!A885)</f>
        <v/>
      </c>
      <c r="B885" s="18" t="str">
        <f>IF(Productos!B885="","",Productos!B885)</f>
        <v/>
      </c>
      <c r="C885" s="18" t="str">
        <f>IF(Productos!$A885="","",Productos!H885)</f>
        <v/>
      </c>
      <c r="E885" s="18" t="str">
        <f t="shared" si="26"/>
        <v/>
      </c>
      <c r="F885" s="26" t="str">
        <f>IF(A885="","",IF(D885="",0,D885*Productos!G885))</f>
        <v/>
      </c>
      <c r="G885" s="26" t="str">
        <f>IF(A885="","",IF(D885="",0,D885*Productos!F885))</f>
        <v/>
      </c>
      <c r="H885" s="26" t="str">
        <f t="shared" si="27"/>
        <v/>
      </c>
      <c r="I885" t="str">
        <f>IF(A885="","",Productos!J885)</f>
        <v/>
      </c>
    </row>
    <row r="886" spans="1:9" x14ac:dyDescent="0.2">
      <c r="A886" s="18" t="str">
        <f>IF(Productos!A886="","",Productos!A886)</f>
        <v/>
      </c>
      <c r="B886" s="18" t="str">
        <f>IF(Productos!B886="","",Productos!B886)</f>
        <v/>
      </c>
      <c r="C886" s="18" t="str">
        <f>IF(Productos!$A886="","",Productos!H886)</f>
        <v/>
      </c>
      <c r="E886" s="18" t="str">
        <f t="shared" si="26"/>
        <v/>
      </c>
      <c r="F886" s="26" t="str">
        <f>IF(A886="","",IF(D886="",0,D886*Productos!G886))</f>
        <v/>
      </c>
      <c r="G886" s="26" t="str">
        <f>IF(A886="","",IF(D886="",0,D886*Productos!F886))</f>
        <v/>
      </c>
      <c r="H886" s="26" t="str">
        <f t="shared" si="27"/>
        <v/>
      </c>
      <c r="I886" t="str">
        <f>IF(A886="","",Productos!J886)</f>
        <v/>
      </c>
    </row>
    <row r="887" spans="1:9" x14ac:dyDescent="0.2">
      <c r="A887" s="18" t="str">
        <f>IF(Productos!A887="","",Productos!A887)</f>
        <v/>
      </c>
      <c r="B887" s="18" t="str">
        <f>IF(Productos!B887="","",Productos!B887)</f>
        <v/>
      </c>
      <c r="C887" s="18" t="str">
        <f>IF(Productos!$A887="","",Productos!H887)</f>
        <v/>
      </c>
      <c r="E887" s="18" t="str">
        <f t="shared" si="26"/>
        <v/>
      </c>
      <c r="F887" s="26" t="str">
        <f>IF(A887="","",IF(D887="",0,D887*Productos!G887))</f>
        <v/>
      </c>
      <c r="G887" s="26" t="str">
        <f>IF(A887="","",IF(D887="",0,D887*Productos!F887))</f>
        <v/>
      </c>
      <c r="H887" s="26" t="str">
        <f t="shared" si="27"/>
        <v/>
      </c>
      <c r="I887" t="str">
        <f>IF(A887="","",Productos!J887)</f>
        <v/>
      </c>
    </row>
    <row r="888" spans="1:9" x14ac:dyDescent="0.2">
      <c r="A888" s="18" t="str">
        <f>IF(Productos!A888="","",Productos!A888)</f>
        <v/>
      </c>
      <c r="B888" s="18" t="str">
        <f>IF(Productos!B888="","",Productos!B888)</f>
        <v/>
      </c>
      <c r="C888" s="18" t="str">
        <f>IF(Productos!$A888="","",Productos!H888)</f>
        <v/>
      </c>
      <c r="E888" s="18" t="str">
        <f t="shared" si="26"/>
        <v/>
      </c>
      <c r="F888" s="26" t="str">
        <f>IF(A888="","",IF(D888="",0,D888*Productos!G888))</f>
        <v/>
      </c>
      <c r="G888" s="26" t="str">
        <f>IF(A888="","",IF(D888="",0,D888*Productos!F888))</f>
        <v/>
      </c>
      <c r="H888" s="26" t="str">
        <f t="shared" si="27"/>
        <v/>
      </c>
      <c r="I888" t="str">
        <f>IF(A888="","",Productos!J888)</f>
        <v/>
      </c>
    </row>
    <row r="889" spans="1:9" x14ac:dyDescent="0.2">
      <c r="A889" s="18" t="str">
        <f>IF(Productos!A889="","",Productos!A889)</f>
        <v/>
      </c>
      <c r="B889" s="18" t="str">
        <f>IF(Productos!B889="","",Productos!B889)</f>
        <v/>
      </c>
      <c r="C889" s="18" t="str">
        <f>IF(Productos!$A889="","",Productos!H889)</f>
        <v/>
      </c>
      <c r="E889" s="18" t="str">
        <f t="shared" si="26"/>
        <v/>
      </c>
      <c r="F889" s="26" t="str">
        <f>IF(A889="","",IF(D889="",0,D889*Productos!G889))</f>
        <v/>
      </c>
      <c r="G889" s="26" t="str">
        <f>IF(A889="","",IF(D889="",0,D889*Productos!F889))</f>
        <v/>
      </c>
      <c r="H889" s="26" t="str">
        <f t="shared" si="27"/>
        <v/>
      </c>
      <c r="I889" t="str">
        <f>IF(A889="","",Productos!J889)</f>
        <v/>
      </c>
    </row>
    <row r="890" spans="1:9" x14ac:dyDescent="0.2">
      <c r="A890" s="18" t="str">
        <f>IF(Productos!A890="","",Productos!A890)</f>
        <v/>
      </c>
      <c r="B890" s="18" t="str">
        <f>IF(Productos!B890="","",Productos!B890)</f>
        <v/>
      </c>
      <c r="C890" s="18" t="str">
        <f>IF(Productos!$A890="","",Productos!H890)</f>
        <v/>
      </c>
      <c r="E890" s="18" t="str">
        <f t="shared" si="26"/>
        <v/>
      </c>
      <c r="F890" s="26" t="str">
        <f>IF(A890="","",IF(D890="",0,D890*Productos!G890))</f>
        <v/>
      </c>
      <c r="G890" s="26" t="str">
        <f>IF(A890="","",IF(D890="",0,D890*Productos!F890))</f>
        <v/>
      </c>
      <c r="H890" s="26" t="str">
        <f t="shared" si="27"/>
        <v/>
      </c>
      <c r="I890" t="str">
        <f>IF(A890="","",Productos!J890)</f>
        <v/>
      </c>
    </row>
    <row r="891" spans="1:9" x14ac:dyDescent="0.2">
      <c r="A891" s="18" t="str">
        <f>IF(Productos!A891="","",Productos!A891)</f>
        <v/>
      </c>
      <c r="B891" s="18" t="str">
        <f>IF(Productos!B891="","",Productos!B891)</f>
        <v/>
      </c>
      <c r="C891" s="18" t="str">
        <f>IF(Productos!$A891="","",Productos!H891)</f>
        <v/>
      </c>
      <c r="E891" s="18" t="str">
        <f t="shared" si="26"/>
        <v/>
      </c>
      <c r="F891" s="26" t="str">
        <f>IF(A891="","",IF(D891="",0,D891*Productos!G891))</f>
        <v/>
      </c>
      <c r="G891" s="26" t="str">
        <f>IF(A891="","",IF(D891="",0,D891*Productos!F891))</f>
        <v/>
      </c>
      <c r="H891" s="26" t="str">
        <f t="shared" si="27"/>
        <v/>
      </c>
      <c r="I891" t="str">
        <f>IF(A891="","",Productos!J891)</f>
        <v/>
      </c>
    </row>
    <row r="892" spans="1:9" x14ac:dyDescent="0.2">
      <c r="A892" s="18" t="str">
        <f>IF(Productos!A892="","",Productos!A892)</f>
        <v/>
      </c>
      <c r="B892" s="18" t="str">
        <f>IF(Productos!B892="","",Productos!B892)</f>
        <v/>
      </c>
      <c r="C892" s="18" t="str">
        <f>IF(Productos!$A892="","",Productos!H892)</f>
        <v/>
      </c>
      <c r="E892" s="18" t="str">
        <f t="shared" si="26"/>
        <v/>
      </c>
      <c r="F892" s="26" t="str">
        <f>IF(A892="","",IF(D892="",0,D892*Productos!G892))</f>
        <v/>
      </c>
      <c r="G892" s="26" t="str">
        <f>IF(A892="","",IF(D892="",0,D892*Productos!F892))</f>
        <v/>
      </c>
      <c r="H892" s="26" t="str">
        <f t="shared" si="27"/>
        <v/>
      </c>
      <c r="I892" t="str">
        <f>IF(A892="","",Productos!J892)</f>
        <v/>
      </c>
    </row>
    <row r="893" spans="1:9" x14ac:dyDescent="0.2">
      <c r="A893" s="18" t="str">
        <f>IF(Productos!A893="","",Productos!A893)</f>
        <v/>
      </c>
      <c r="B893" s="18" t="str">
        <f>IF(Productos!B893="","",Productos!B893)</f>
        <v/>
      </c>
      <c r="C893" s="18" t="str">
        <f>IF(Productos!$A893="","",Productos!H893)</f>
        <v/>
      </c>
      <c r="E893" s="18" t="str">
        <f t="shared" si="26"/>
        <v/>
      </c>
      <c r="F893" s="26" t="str">
        <f>IF(A893="","",IF(D893="",0,D893*Productos!G893))</f>
        <v/>
      </c>
      <c r="G893" s="26" t="str">
        <f>IF(A893="","",IF(D893="",0,D893*Productos!F893))</f>
        <v/>
      </c>
      <c r="H893" s="26" t="str">
        <f t="shared" si="27"/>
        <v/>
      </c>
      <c r="I893" t="str">
        <f>IF(A893="","",Productos!J893)</f>
        <v/>
      </c>
    </row>
    <row r="894" spans="1:9" x14ac:dyDescent="0.2">
      <c r="A894" s="18" t="str">
        <f>IF(Productos!A894="","",Productos!A894)</f>
        <v/>
      </c>
      <c r="B894" s="18" t="str">
        <f>IF(Productos!B894="","",Productos!B894)</f>
        <v/>
      </c>
      <c r="C894" s="18" t="str">
        <f>IF(Productos!$A894="","",Productos!H894)</f>
        <v/>
      </c>
      <c r="E894" s="18" t="str">
        <f t="shared" si="26"/>
        <v/>
      </c>
      <c r="F894" s="26" t="str">
        <f>IF(A894="","",IF(D894="",0,D894*Productos!G894))</f>
        <v/>
      </c>
      <c r="G894" s="26" t="str">
        <f>IF(A894="","",IF(D894="",0,D894*Productos!F894))</f>
        <v/>
      </c>
      <c r="H894" s="26" t="str">
        <f t="shared" si="27"/>
        <v/>
      </c>
      <c r="I894" t="str">
        <f>IF(A894="","",Productos!J894)</f>
        <v/>
      </c>
    </row>
    <row r="895" spans="1:9" x14ac:dyDescent="0.2">
      <c r="A895" s="18" t="str">
        <f>IF(Productos!A895="","",Productos!A895)</f>
        <v/>
      </c>
      <c r="B895" s="18" t="str">
        <f>IF(Productos!B895="","",Productos!B895)</f>
        <v/>
      </c>
      <c r="C895" s="18" t="str">
        <f>IF(Productos!$A895="","",Productos!H895)</f>
        <v/>
      </c>
      <c r="E895" s="18" t="str">
        <f t="shared" si="26"/>
        <v/>
      </c>
      <c r="F895" s="26" t="str">
        <f>IF(A895="","",IF(D895="",0,D895*Productos!G895))</f>
        <v/>
      </c>
      <c r="G895" s="26" t="str">
        <f>IF(A895="","",IF(D895="",0,D895*Productos!F895))</f>
        <v/>
      </c>
      <c r="H895" s="26" t="str">
        <f t="shared" si="27"/>
        <v/>
      </c>
      <c r="I895" t="str">
        <f>IF(A895="","",Productos!J895)</f>
        <v/>
      </c>
    </row>
    <row r="896" spans="1:9" x14ac:dyDescent="0.2">
      <c r="A896" s="18" t="str">
        <f>IF(Productos!A896="","",Productos!A896)</f>
        <v/>
      </c>
      <c r="B896" s="18" t="str">
        <f>IF(Productos!B896="","",Productos!B896)</f>
        <v/>
      </c>
      <c r="C896" s="18" t="str">
        <f>IF(Productos!$A896="","",Productos!H896)</f>
        <v/>
      </c>
      <c r="E896" s="18" t="str">
        <f t="shared" si="26"/>
        <v/>
      </c>
      <c r="F896" s="26" t="str">
        <f>IF(A896="","",IF(D896="",0,D896*Productos!G896))</f>
        <v/>
      </c>
      <c r="G896" s="26" t="str">
        <f>IF(A896="","",IF(D896="",0,D896*Productos!F896))</f>
        <v/>
      </c>
      <c r="H896" s="26" t="str">
        <f t="shared" si="27"/>
        <v/>
      </c>
      <c r="I896" t="str">
        <f>IF(A896="","",Productos!J896)</f>
        <v/>
      </c>
    </row>
    <row r="897" spans="1:9" x14ac:dyDescent="0.2">
      <c r="A897" s="18" t="str">
        <f>IF(Productos!A897="","",Productos!A897)</f>
        <v/>
      </c>
      <c r="B897" s="18" t="str">
        <f>IF(Productos!B897="","",Productos!B897)</f>
        <v/>
      </c>
      <c r="C897" s="18" t="str">
        <f>IF(Productos!$A897="","",Productos!H897)</f>
        <v/>
      </c>
      <c r="E897" s="18" t="str">
        <f t="shared" si="26"/>
        <v/>
      </c>
      <c r="F897" s="26" t="str">
        <f>IF(A897="","",IF(D897="",0,D897*Productos!G897))</f>
        <v/>
      </c>
      <c r="G897" s="26" t="str">
        <f>IF(A897="","",IF(D897="",0,D897*Productos!F897))</f>
        <v/>
      </c>
      <c r="H897" s="26" t="str">
        <f t="shared" si="27"/>
        <v/>
      </c>
      <c r="I897" t="str">
        <f>IF(A897="","",Productos!J897)</f>
        <v/>
      </c>
    </row>
    <row r="898" spans="1:9" x14ac:dyDescent="0.2">
      <c r="A898" s="18" t="str">
        <f>IF(Productos!A898="","",Productos!A898)</f>
        <v/>
      </c>
      <c r="B898" s="18" t="str">
        <f>IF(Productos!B898="","",Productos!B898)</f>
        <v/>
      </c>
      <c r="C898" s="18" t="str">
        <f>IF(Productos!$A898="","",Productos!H898)</f>
        <v/>
      </c>
      <c r="E898" s="18" t="str">
        <f t="shared" si="26"/>
        <v/>
      </c>
      <c r="F898" s="26" t="str">
        <f>IF(A898="","",IF(D898="",0,D898*Productos!G898))</f>
        <v/>
      </c>
      <c r="G898" s="26" t="str">
        <f>IF(A898="","",IF(D898="",0,D898*Productos!F898))</f>
        <v/>
      </c>
      <c r="H898" s="26" t="str">
        <f t="shared" si="27"/>
        <v/>
      </c>
      <c r="I898" t="str">
        <f>IF(A898="","",Productos!J898)</f>
        <v/>
      </c>
    </row>
    <row r="899" spans="1:9" x14ac:dyDescent="0.2">
      <c r="A899" s="18" t="str">
        <f>IF(Productos!A899="","",Productos!A899)</f>
        <v/>
      </c>
      <c r="B899" s="18" t="str">
        <f>IF(Productos!B899="","",Productos!B899)</f>
        <v/>
      </c>
      <c r="C899" s="18" t="str">
        <f>IF(Productos!$A899="","",Productos!H899)</f>
        <v/>
      </c>
      <c r="E899" s="18" t="str">
        <f t="shared" ref="E899:E962" si="28">IF(C899="","",C899-IF(D899="",0,D899))</f>
        <v/>
      </c>
      <c r="F899" s="26" t="str">
        <f>IF(A899="","",IF(D899="",0,D899*Productos!G899))</f>
        <v/>
      </c>
      <c r="G899" s="26" t="str">
        <f>IF(A899="","",IF(D899="",0,D899*Productos!F899))</f>
        <v/>
      </c>
      <c r="H899" s="26" t="str">
        <f t="shared" ref="H899:H962" si="29">IF(A899="","",F899-G899)</f>
        <v/>
      </c>
      <c r="I899" t="str">
        <f>IF(A899="","",Productos!J899)</f>
        <v/>
      </c>
    </row>
    <row r="900" spans="1:9" x14ac:dyDescent="0.2">
      <c r="A900" s="18" t="str">
        <f>IF(Productos!A900="","",Productos!A900)</f>
        <v/>
      </c>
      <c r="B900" s="18" t="str">
        <f>IF(Productos!B900="","",Productos!B900)</f>
        <v/>
      </c>
      <c r="C900" s="18" t="str">
        <f>IF(Productos!$A900="","",Productos!H900)</f>
        <v/>
      </c>
      <c r="E900" s="18" t="str">
        <f t="shared" si="28"/>
        <v/>
      </c>
      <c r="F900" s="26" t="str">
        <f>IF(A900="","",IF(D900="",0,D900*Productos!G900))</f>
        <v/>
      </c>
      <c r="G900" s="26" t="str">
        <f>IF(A900="","",IF(D900="",0,D900*Productos!F900))</f>
        <v/>
      </c>
      <c r="H900" s="26" t="str">
        <f t="shared" si="29"/>
        <v/>
      </c>
      <c r="I900" t="str">
        <f>IF(A900="","",Productos!J900)</f>
        <v/>
      </c>
    </row>
    <row r="901" spans="1:9" x14ac:dyDescent="0.2">
      <c r="A901" s="18" t="str">
        <f>IF(Productos!A901="","",Productos!A901)</f>
        <v/>
      </c>
      <c r="B901" s="18" t="str">
        <f>IF(Productos!B901="","",Productos!B901)</f>
        <v/>
      </c>
      <c r="C901" s="18" t="str">
        <f>IF(Productos!$A901="","",Productos!H901)</f>
        <v/>
      </c>
      <c r="E901" s="18" t="str">
        <f t="shared" si="28"/>
        <v/>
      </c>
      <c r="F901" s="26" t="str">
        <f>IF(A901="","",IF(D901="",0,D901*Productos!G901))</f>
        <v/>
      </c>
      <c r="G901" s="26" t="str">
        <f>IF(A901="","",IF(D901="",0,D901*Productos!F901))</f>
        <v/>
      </c>
      <c r="H901" s="26" t="str">
        <f t="shared" si="29"/>
        <v/>
      </c>
      <c r="I901" t="str">
        <f>IF(A901="","",Productos!J901)</f>
        <v/>
      </c>
    </row>
    <row r="902" spans="1:9" x14ac:dyDescent="0.2">
      <c r="A902" s="18" t="str">
        <f>IF(Productos!A902="","",Productos!A902)</f>
        <v/>
      </c>
      <c r="B902" s="18" t="str">
        <f>IF(Productos!B902="","",Productos!B902)</f>
        <v/>
      </c>
      <c r="C902" s="18" t="str">
        <f>IF(Productos!$A902="","",Productos!H902)</f>
        <v/>
      </c>
      <c r="E902" s="18" t="str">
        <f t="shared" si="28"/>
        <v/>
      </c>
      <c r="F902" s="26" t="str">
        <f>IF(A902="","",IF(D902="",0,D902*Productos!G902))</f>
        <v/>
      </c>
      <c r="G902" s="26" t="str">
        <f>IF(A902="","",IF(D902="",0,D902*Productos!F902))</f>
        <v/>
      </c>
      <c r="H902" s="26" t="str">
        <f t="shared" si="29"/>
        <v/>
      </c>
      <c r="I902" t="str">
        <f>IF(A902="","",Productos!J902)</f>
        <v/>
      </c>
    </row>
    <row r="903" spans="1:9" x14ac:dyDescent="0.2">
      <c r="A903" s="18" t="str">
        <f>IF(Productos!A903="","",Productos!A903)</f>
        <v/>
      </c>
      <c r="B903" s="18" t="str">
        <f>IF(Productos!B903="","",Productos!B903)</f>
        <v/>
      </c>
      <c r="C903" s="18" t="str">
        <f>IF(Productos!$A903="","",Productos!H903)</f>
        <v/>
      </c>
      <c r="E903" s="18" t="str">
        <f t="shared" si="28"/>
        <v/>
      </c>
      <c r="F903" s="26" t="str">
        <f>IF(A903="","",IF(D903="",0,D903*Productos!G903))</f>
        <v/>
      </c>
      <c r="G903" s="26" t="str">
        <f>IF(A903="","",IF(D903="",0,D903*Productos!F903))</f>
        <v/>
      </c>
      <c r="H903" s="26" t="str">
        <f t="shared" si="29"/>
        <v/>
      </c>
      <c r="I903" t="str">
        <f>IF(A903="","",Productos!J903)</f>
        <v/>
      </c>
    </row>
    <row r="904" spans="1:9" x14ac:dyDescent="0.2">
      <c r="A904" s="18" t="str">
        <f>IF(Productos!A904="","",Productos!A904)</f>
        <v/>
      </c>
      <c r="B904" s="18" t="str">
        <f>IF(Productos!B904="","",Productos!B904)</f>
        <v/>
      </c>
      <c r="C904" s="18" t="str">
        <f>IF(Productos!$A904="","",Productos!H904)</f>
        <v/>
      </c>
      <c r="E904" s="18" t="str">
        <f t="shared" si="28"/>
        <v/>
      </c>
      <c r="F904" s="26" t="str">
        <f>IF(A904="","",IF(D904="",0,D904*Productos!G904))</f>
        <v/>
      </c>
      <c r="G904" s="26" t="str">
        <f>IF(A904="","",IF(D904="",0,D904*Productos!F904))</f>
        <v/>
      </c>
      <c r="H904" s="26" t="str">
        <f t="shared" si="29"/>
        <v/>
      </c>
      <c r="I904" t="str">
        <f>IF(A904="","",Productos!J904)</f>
        <v/>
      </c>
    </row>
    <row r="905" spans="1:9" x14ac:dyDescent="0.2">
      <c r="A905" s="18" t="str">
        <f>IF(Productos!A905="","",Productos!A905)</f>
        <v/>
      </c>
      <c r="B905" s="18" t="str">
        <f>IF(Productos!B905="","",Productos!B905)</f>
        <v/>
      </c>
      <c r="C905" s="18" t="str">
        <f>IF(Productos!$A905="","",Productos!H905)</f>
        <v/>
      </c>
      <c r="E905" s="18" t="str">
        <f t="shared" si="28"/>
        <v/>
      </c>
      <c r="F905" s="26" t="str">
        <f>IF(A905="","",IF(D905="",0,D905*Productos!G905))</f>
        <v/>
      </c>
      <c r="G905" s="26" t="str">
        <f>IF(A905="","",IF(D905="",0,D905*Productos!F905))</f>
        <v/>
      </c>
      <c r="H905" s="26" t="str">
        <f t="shared" si="29"/>
        <v/>
      </c>
      <c r="I905" t="str">
        <f>IF(A905="","",Productos!J905)</f>
        <v/>
      </c>
    </row>
    <row r="906" spans="1:9" x14ac:dyDescent="0.2">
      <c r="A906" s="18" t="str">
        <f>IF(Productos!A906="","",Productos!A906)</f>
        <v/>
      </c>
      <c r="B906" s="18" t="str">
        <f>IF(Productos!B906="","",Productos!B906)</f>
        <v/>
      </c>
      <c r="C906" s="18" t="str">
        <f>IF(Productos!$A906="","",Productos!H906)</f>
        <v/>
      </c>
      <c r="E906" s="18" t="str">
        <f t="shared" si="28"/>
        <v/>
      </c>
      <c r="F906" s="26" t="str">
        <f>IF(A906="","",IF(D906="",0,D906*Productos!G906))</f>
        <v/>
      </c>
      <c r="G906" s="26" t="str">
        <f>IF(A906="","",IF(D906="",0,D906*Productos!F906))</f>
        <v/>
      </c>
      <c r="H906" s="26" t="str">
        <f t="shared" si="29"/>
        <v/>
      </c>
      <c r="I906" t="str">
        <f>IF(A906="","",Productos!J906)</f>
        <v/>
      </c>
    </row>
    <row r="907" spans="1:9" x14ac:dyDescent="0.2">
      <c r="A907" s="18" t="str">
        <f>IF(Productos!A907="","",Productos!A907)</f>
        <v/>
      </c>
      <c r="B907" s="18" t="str">
        <f>IF(Productos!B907="","",Productos!B907)</f>
        <v/>
      </c>
      <c r="C907" s="18" t="str">
        <f>IF(Productos!$A907="","",Productos!H907)</f>
        <v/>
      </c>
      <c r="E907" s="18" t="str">
        <f t="shared" si="28"/>
        <v/>
      </c>
      <c r="F907" s="26" t="str">
        <f>IF(A907="","",IF(D907="",0,D907*Productos!G907))</f>
        <v/>
      </c>
      <c r="G907" s="26" t="str">
        <f>IF(A907="","",IF(D907="",0,D907*Productos!F907))</f>
        <v/>
      </c>
      <c r="H907" s="26" t="str">
        <f t="shared" si="29"/>
        <v/>
      </c>
      <c r="I907" t="str">
        <f>IF(A907="","",Productos!J907)</f>
        <v/>
      </c>
    </row>
    <row r="908" spans="1:9" x14ac:dyDescent="0.2">
      <c r="A908" s="18" t="str">
        <f>IF(Productos!A908="","",Productos!A908)</f>
        <v/>
      </c>
      <c r="B908" s="18" t="str">
        <f>IF(Productos!B908="","",Productos!B908)</f>
        <v/>
      </c>
      <c r="C908" s="18" t="str">
        <f>IF(Productos!$A908="","",Productos!H908)</f>
        <v/>
      </c>
      <c r="E908" s="18" t="str">
        <f t="shared" si="28"/>
        <v/>
      </c>
      <c r="F908" s="26" t="str">
        <f>IF(A908="","",IF(D908="",0,D908*Productos!G908))</f>
        <v/>
      </c>
      <c r="G908" s="26" t="str">
        <f>IF(A908="","",IF(D908="",0,D908*Productos!F908))</f>
        <v/>
      </c>
      <c r="H908" s="26" t="str">
        <f t="shared" si="29"/>
        <v/>
      </c>
      <c r="I908" t="str">
        <f>IF(A908="","",Productos!J908)</f>
        <v/>
      </c>
    </row>
    <row r="909" spans="1:9" x14ac:dyDescent="0.2">
      <c r="A909" s="18" t="str">
        <f>IF(Productos!A909="","",Productos!A909)</f>
        <v/>
      </c>
      <c r="B909" s="18" t="str">
        <f>IF(Productos!B909="","",Productos!B909)</f>
        <v/>
      </c>
      <c r="C909" s="18" t="str">
        <f>IF(Productos!$A909="","",Productos!H909)</f>
        <v/>
      </c>
      <c r="E909" s="18" t="str">
        <f t="shared" si="28"/>
        <v/>
      </c>
      <c r="F909" s="26" t="str">
        <f>IF(A909="","",IF(D909="",0,D909*Productos!G909))</f>
        <v/>
      </c>
      <c r="G909" s="26" t="str">
        <f>IF(A909="","",IF(D909="",0,D909*Productos!F909))</f>
        <v/>
      </c>
      <c r="H909" s="26" t="str">
        <f t="shared" si="29"/>
        <v/>
      </c>
      <c r="I909" t="str">
        <f>IF(A909="","",Productos!J909)</f>
        <v/>
      </c>
    </row>
    <row r="910" spans="1:9" x14ac:dyDescent="0.2">
      <c r="A910" s="18" t="str">
        <f>IF(Productos!A910="","",Productos!A910)</f>
        <v/>
      </c>
      <c r="B910" s="18" t="str">
        <f>IF(Productos!B910="","",Productos!B910)</f>
        <v/>
      </c>
      <c r="C910" s="18" t="str">
        <f>IF(Productos!$A910="","",Productos!H910)</f>
        <v/>
      </c>
      <c r="E910" s="18" t="str">
        <f t="shared" si="28"/>
        <v/>
      </c>
      <c r="F910" s="26" t="str">
        <f>IF(A910="","",IF(D910="",0,D910*Productos!G910))</f>
        <v/>
      </c>
      <c r="G910" s="26" t="str">
        <f>IF(A910="","",IF(D910="",0,D910*Productos!F910))</f>
        <v/>
      </c>
      <c r="H910" s="26" t="str">
        <f t="shared" si="29"/>
        <v/>
      </c>
      <c r="I910" t="str">
        <f>IF(A910="","",Productos!J910)</f>
        <v/>
      </c>
    </row>
    <row r="911" spans="1:9" x14ac:dyDescent="0.2">
      <c r="A911" s="18" t="str">
        <f>IF(Productos!A911="","",Productos!A911)</f>
        <v/>
      </c>
      <c r="B911" s="18" t="str">
        <f>IF(Productos!B911="","",Productos!B911)</f>
        <v/>
      </c>
      <c r="C911" s="18" t="str">
        <f>IF(Productos!$A911="","",Productos!H911)</f>
        <v/>
      </c>
      <c r="E911" s="18" t="str">
        <f t="shared" si="28"/>
        <v/>
      </c>
      <c r="F911" s="26" t="str">
        <f>IF(A911="","",IF(D911="",0,D911*Productos!G911))</f>
        <v/>
      </c>
      <c r="G911" s="26" t="str">
        <f>IF(A911="","",IF(D911="",0,D911*Productos!F911))</f>
        <v/>
      </c>
      <c r="H911" s="26" t="str">
        <f t="shared" si="29"/>
        <v/>
      </c>
      <c r="I911" t="str">
        <f>IF(A911="","",Productos!J911)</f>
        <v/>
      </c>
    </row>
    <row r="912" spans="1:9" x14ac:dyDescent="0.2">
      <c r="A912" s="18" t="str">
        <f>IF(Productos!A912="","",Productos!A912)</f>
        <v/>
      </c>
      <c r="B912" s="18" t="str">
        <f>IF(Productos!B912="","",Productos!B912)</f>
        <v/>
      </c>
      <c r="C912" s="18" t="str">
        <f>IF(Productos!$A912="","",Productos!H912)</f>
        <v/>
      </c>
      <c r="E912" s="18" t="str">
        <f t="shared" si="28"/>
        <v/>
      </c>
      <c r="F912" s="26" t="str">
        <f>IF(A912="","",IF(D912="",0,D912*Productos!G912))</f>
        <v/>
      </c>
      <c r="G912" s="26" t="str">
        <f>IF(A912="","",IF(D912="",0,D912*Productos!F912))</f>
        <v/>
      </c>
      <c r="H912" s="26" t="str">
        <f t="shared" si="29"/>
        <v/>
      </c>
      <c r="I912" t="str">
        <f>IF(A912="","",Productos!J912)</f>
        <v/>
      </c>
    </row>
    <row r="913" spans="1:9" x14ac:dyDescent="0.2">
      <c r="A913" s="18" t="str">
        <f>IF(Productos!A913="","",Productos!A913)</f>
        <v/>
      </c>
      <c r="B913" s="18" t="str">
        <f>IF(Productos!B913="","",Productos!B913)</f>
        <v/>
      </c>
      <c r="C913" s="18" t="str">
        <f>IF(Productos!$A913="","",Productos!H913)</f>
        <v/>
      </c>
      <c r="E913" s="18" t="str">
        <f t="shared" si="28"/>
        <v/>
      </c>
      <c r="F913" s="26" t="str">
        <f>IF(A913="","",IF(D913="",0,D913*Productos!G913))</f>
        <v/>
      </c>
      <c r="G913" s="26" t="str">
        <f>IF(A913="","",IF(D913="",0,D913*Productos!F913))</f>
        <v/>
      </c>
      <c r="H913" s="26" t="str">
        <f t="shared" si="29"/>
        <v/>
      </c>
      <c r="I913" t="str">
        <f>IF(A913="","",Productos!J913)</f>
        <v/>
      </c>
    </row>
    <row r="914" spans="1:9" x14ac:dyDescent="0.2">
      <c r="A914" s="18" t="str">
        <f>IF(Productos!A914="","",Productos!A914)</f>
        <v/>
      </c>
      <c r="B914" s="18" t="str">
        <f>IF(Productos!B914="","",Productos!B914)</f>
        <v/>
      </c>
      <c r="C914" s="18" t="str">
        <f>IF(Productos!$A914="","",Productos!H914)</f>
        <v/>
      </c>
      <c r="E914" s="18" t="str">
        <f t="shared" si="28"/>
        <v/>
      </c>
      <c r="F914" s="26" t="str">
        <f>IF(A914="","",IF(D914="",0,D914*Productos!G914))</f>
        <v/>
      </c>
      <c r="G914" s="26" t="str">
        <f>IF(A914="","",IF(D914="",0,D914*Productos!F914))</f>
        <v/>
      </c>
      <c r="H914" s="26" t="str">
        <f t="shared" si="29"/>
        <v/>
      </c>
      <c r="I914" t="str">
        <f>IF(A914="","",Productos!J914)</f>
        <v/>
      </c>
    </row>
    <row r="915" spans="1:9" x14ac:dyDescent="0.2">
      <c r="A915" s="18" t="str">
        <f>IF(Productos!A915="","",Productos!A915)</f>
        <v/>
      </c>
      <c r="B915" s="18" t="str">
        <f>IF(Productos!B915="","",Productos!B915)</f>
        <v/>
      </c>
      <c r="C915" s="18" t="str">
        <f>IF(Productos!$A915="","",Productos!H915)</f>
        <v/>
      </c>
      <c r="E915" s="18" t="str">
        <f t="shared" si="28"/>
        <v/>
      </c>
      <c r="F915" s="26" t="str">
        <f>IF(A915="","",IF(D915="",0,D915*Productos!G915))</f>
        <v/>
      </c>
      <c r="G915" s="26" t="str">
        <f>IF(A915="","",IF(D915="",0,D915*Productos!F915))</f>
        <v/>
      </c>
      <c r="H915" s="26" t="str">
        <f t="shared" si="29"/>
        <v/>
      </c>
      <c r="I915" t="str">
        <f>IF(A915="","",Productos!J915)</f>
        <v/>
      </c>
    </row>
    <row r="916" spans="1:9" x14ac:dyDescent="0.2">
      <c r="A916" s="18" t="str">
        <f>IF(Productos!A916="","",Productos!A916)</f>
        <v/>
      </c>
      <c r="B916" s="18" t="str">
        <f>IF(Productos!B916="","",Productos!B916)</f>
        <v/>
      </c>
      <c r="C916" s="18" t="str">
        <f>IF(Productos!$A916="","",Productos!H916)</f>
        <v/>
      </c>
      <c r="E916" s="18" t="str">
        <f t="shared" si="28"/>
        <v/>
      </c>
      <c r="F916" s="26" t="str">
        <f>IF(A916="","",IF(D916="",0,D916*Productos!G916))</f>
        <v/>
      </c>
      <c r="G916" s="26" t="str">
        <f>IF(A916="","",IF(D916="",0,D916*Productos!F916))</f>
        <v/>
      </c>
      <c r="H916" s="26" t="str">
        <f t="shared" si="29"/>
        <v/>
      </c>
      <c r="I916" t="str">
        <f>IF(A916="","",Productos!J916)</f>
        <v/>
      </c>
    </row>
    <row r="917" spans="1:9" x14ac:dyDescent="0.2">
      <c r="A917" s="18" t="str">
        <f>IF(Productos!A917="","",Productos!A917)</f>
        <v/>
      </c>
      <c r="B917" s="18" t="str">
        <f>IF(Productos!B917="","",Productos!B917)</f>
        <v/>
      </c>
      <c r="C917" s="18" t="str">
        <f>IF(Productos!$A917="","",Productos!H917)</f>
        <v/>
      </c>
      <c r="E917" s="18" t="str">
        <f t="shared" si="28"/>
        <v/>
      </c>
      <c r="F917" s="26" t="str">
        <f>IF(A917="","",IF(D917="",0,D917*Productos!G917))</f>
        <v/>
      </c>
      <c r="G917" s="26" t="str">
        <f>IF(A917="","",IF(D917="",0,D917*Productos!F917))</f>
        <v/>
      </c>
      <c r="H917" s="26" t="str">
        <f t="shared" si="29"/>
        <v/>
      </c>
      <c r="I917" t="str">
        <f>IF(A917="","",Productos!J917)</f>
        <v/>
      </c>
    </row>
    <row r="918" spans="1:9" x14ac:dyDescent="0.2">
      <c r="A918" s="18" t="str">
        <f>IF(Productos!A918="","",Productos!A918)</f>
        <v/>
      </c>
      <c r="B918" s="18" t="str">
        <f>IF(Productos!B918="","",Productos!B918)</f>
        <v/>
      </c>
      <c r="C918" s="18" t="str">
        <f>IF(Productos!$A918="","",Productos!H918)</f>
        <v/>
      </c>
      <c r="E918" s="18" t="str">
        <f t="shared" si="28"/>
        <v/>
      </c>
      <c r="F918" s="26" t="str">
        <f>IF(A918="","",IF(D918="",0,D918*Productos!G918))</f>
        <v/>
      </c>
      <c r="G918" s="26" t="str">
        <f>IF(A918="","",IF(D918="",0,D918*Productos!F918))</f>
        <v/>
      </c>
      <c r="H918" s="26" t="str">
        <f t="shared" si="29"/>
        <v/>
      </c>
      <c r="I918" t="str">
        <f>IF(A918="","",Productos!J918)</f>
        <v/>
      </c>
    </row>
    <row r="919" spans="1:9" x14ac:dyDescent="0.2">
      <c r="A919" s="18" t="str">
        <f>IF(Productos!A919="","",Productos!A919)</f>
        <v/>
      </c>
      <c r="B919" s="18" t="str">
        <f>IF(Productos!B919="","",Productos!B919)</f>
        <v/>
      </c>
      <c r="C919" s="18" t="str">
        <f>IF(Productos!$A919="","",Productos!H919)</f>
        <v/>
      </c>
      <c r="E919" s="18" t="str">
        <f t="shared" si="28"/>
        <v/>
      </c>
      <c r="F919" s="26" t="str">
        <f>IF(A919="","",IF(D919="",0,D919*Productos!G919))</f>
        <v/>
      </c>
      <c r="G919" s="26" t="str">
        <f>IF(A919="","",IF(D919="",0,D919*Productos!F919))</f>
        <v/>
      </c>
      <c r="H919" s="26" t="str">
        <f t="shared" si="29"/>
        <v/>
      </c>
      <c r="I919" t="str">
        <f>IF(A919="","",Productos!J919)</f>
        <v/>
      </c>
    </row>
    <row r="920" spans="1:9" x14ac:dyDescent="0.2">
      <c r="A920" s="18" t="str">
        <f>IF(Productos!A920="","",Productos!A920)</f>
        <v/>
      </c>
      <c r="B920" s="18" t="str">
        <f>IF(Productos!B920="","",Productos!B920)</f>
        <v/>
      </c>
      <c r="C920" s="18" t="str">
        <f>IF(Productos!$A920="","",Productos!H920)</f>
        <v/>
      </c>
      <c r="E920" s="18" t="str">
        <f t="shared" si="28"/>
        <v/>
      </c>
      <c r="F920" s="26" t="str">
        <f>IF(A920="","",IF(D920="",0,D920*Productos!G920))</f>
        <v/>
      </c>
      <c r="G920" s="26" t="str">
        <f>IF(A920="","",IF(D920="",0,D920*Productos!F920))</f>
        <v/>
      </c>
      <c r="H920" s="26" t="str">
        <f t="shared" si="29"/>
        <v/>
      </c>
      <c r="I920" t="str">
        <f>IF(A920="","",Productos!J920)</f>
        <v/>
      </c>
    </row>
    <row r="921" spans="1:9" x14ac:dyDescent="0.2">
      <c r="A921" s="18" t="str">
        <f>IF(Productos!A921="","",Productos!A921)</f>
        <v/>
      </c>
      <c r="B921" s="18" t="str">
        <f>IF(Productos!B921="","",Productos!B921)</f>
        <v/>
      </c>
      <c r="C921" s="18" t="str">
        <f>IF(Productos!$A921="","",Productos!H921)</f>
        <v/>
      </c>
      <c r="E921" s="18" t="str">
        <f t="shared" si="28"/>
        <v/>
      </c>
      <c r="F921" s="26" t="str">
        <f>IF(A921="","",IF(D921="",0,D921*Productos!G921))</f>
        <v/>
      </c>
      <c r="G921" s="26" t="str">
        <f>IF(A921="","",IF(D921="",0,D921*Productos!F921))</f>
        <v/>
      </c>
      <c r="H921" s="26" t="str">
        <f t="shared" si="29"/>
        <v/>
      </c>
      <c r="I921" t="str">
        <f>IF(A921="","",Productos!J921)</f>
        <v/>
      </c>
    </row>
    <row r="922" spans="1:9" x14ac:dyDescent="0.2">
      <c r="A922" s="18" t="str">
        <f>IF(Productos!A922="","",Productos!A922)</f>
        <v/>
      </c>
      <c r="B922" s="18" t="str">
        <f>IF(Productos!B922="","",Productos!B922)</f>
        <v/>
      </c>
      <c r="C922" s="18" t="str">
        <f>IF(Productos!$A922="","",Productos!H922)</f>
        <v/>
      </c>
      <c r="E922" s="18" t="str">
        <f t="shared" si="28"/>
        <v/>
      </c>
      <c r="F922" s="26" t="str">
        <f>IF(A922="","",IF(D922="",0,D922*Productos!G922))</f>
        <v/>
      </c>
      <c r="G922" s="26" t="str">
        <f>IF(A922="","",IF(D922="",0,D922*Productos!F922))</f>
        <v/>
      </c>
      <c r="H922" s="26" t="str">
        <f t="shared" si="29"/>
        <v/>
      </c>
      <c r="I922" t="str">
        <f>IF(A922="","",Productos!J922)</f>
        <v/>
      </c>
    </row>
    <row r="923" spans="1:9" x14ac:dyDescent="0.2">
      <c r="A923" s="18" t="str">
        <f>IF(Productos!A923="","",Productos!A923)</f>
        <v/>
      </c>
      <c r="B923" s="18" t="str">
        <f>IF(Productos!B923="","",Productos!B923)</f>
        <v/>
      </c>
      <c r="C923" s="18" t="str">
        <f>IF(Productos!$A923="","",Productos!H923)</f>
        <v/>
      </c>
      <c r="E923" s="18" t="str">
        <f t="shared" si="28"/>
        <v/>
      </c>
      <c r="F923" s="26" t="str">
        <f>IF(A923="","",IF(D923="",0,D923*Productos!G923))</f>
        <v/>
      </c>
      <c r="G923" s="26" t="str">
        <f>IF(A923="","",IF(D923="",0,D923*Productos!F923))</f>
        <v/>
      </c>
      <c r="H923" s="26" t="str">
        <f t="shared" si="29"/>
        <v/>
      </c>
      <c r="I923" t="str">
        <f>IF(A923="","",Productos!J923)</f>
        <v/>
      </c>
    </row>
    <row r="924" spans="1:9" x14ac:dyDescent="0.2">
      <c r="A924" s="18" t="str">
        <f>IF(Productos!A924="","",Productos!A924)</f>
        <v/>
      </c>
      <c r="B924" s="18" t="str">
        <f>IF(Productos!B924="","",Productos!B924)</f>
        <v/>
      </c>
      <c r="C924" s="18" t="str">
        <f>IF(Productos!$A924="","",Productos!H924)</f>
        <v/>
      </c>
      <c r="E924" s="18" t="str">
        <f t="shared" si="28"/>
        <v/>
      </c>
      <c r="F924" s="26" t="str">
        <f>IF(A924="","",IF(D924="",0,D924*Productos!G924))</f>
        <v/>
      </c>
      <c r="G924" s="26" t="str">
        <f>IF(A924="","",IF(D924="",0,D924*Productos!F924))</f>
        <v/>
      </c>
      <c r="H924" s="26" t="str">
        <f t="shared" si="29"/>
        <v/>
      </c>
      <c r="I924" t="str">
        <f>IF(A924="","",Productos!J924)</f>
        <v/>
      </c>
    </row>
    <row r="925" spans="1:9" x14ac:dyDescent="0.2">
      <c r="A925" s="18" t="str">
        <f>IF(Productos!A925="","",Productos!A925)</f>
        <v/>
      </c>
      <c r="B925" s="18" t="str">
        <f>IF(Productos!B925="","",Productos!B925)</f>
        <v/>
      </c>
      <c r="C925" s="18" t="str">
        <f>IF(Productos!$A925="","",Productos!H925)</f>
        <v/>
      </c>
      <c r="E925" s="18" t="str">
        <f t="shared" si="28"/>
        <v/>
      </c>
      <c r="F925" s="26" t="str">
        <f>IF(A925="","",IF(D925="",0,D925*Productos!G925))</f>
        <v/>
      </c>
      <c r="G925" s="26" t="str">
        <f>IF(A925="","",IF(D925="",0,D925*Productos!F925))</f>
        <v/>
      </c>
      <c r="H925" s="26" t="str">
        <f t="shared" si="29"/>
        <v/>
      </c>
      <c r="I925" t="str">
        <f>IF(A925="","",Productos!J925)</f>
        <v/>
      </c>
    </row>
    <row r="926" spans="1:9" x14ac:dyDescent="0.2">
      <c r="A926" s="18" t="str">
        <f>IF(Productos!A926="","",Productos!A926)</f>
        <v/>
      </c>
      <c r="B926" s="18" t="str">
        <f>IF(Productos!B926="","",Productos!B926)</f>
        <v/>
      </c>
      <c r="C926" s="18" t="str">
        <f>IF(Productos!$A926="","",Productos!H926)</f>
        <v/>
      </c>
      <c r="E926" s="18" t="str">
        <f t="shared" si="28"/>
        <v/>
      </c>
      <c r="F926" s="26" t="str">
        <f>IF(A926="","",IF(D926="",0,D926*Productos!G926))</f>
        <v/>
      </c>
      <c r="G926" s="26" t="str">
        <f>IF(A926="","",IF(D926="",0,D926*Productos!F926))</f>
        <v/>
      </c>
      <c r="H926" s="26" t="str">
        <f t="shared" si="29"/>
        <v/>
      </c>
      <c r="I926" t="str">
        <f>IF(A926="","",Productos!J926)</f>
        <v/>
      </c>
    </row>
    <row r="927" spans="1:9" x14ac:dyDescent="0.2">
      <c r="A927" s="18" t="str">
        <f>IF(Productos!A927="","",Productos!A927)</f>
        <v/>
      </c>
      <c r="B927" s="18" t="str">
        <f>IF(Productos!B927="","",Productos!B927)</f>
        <v/>
      </c>
      <c r="C927" s="18" t="str">
        <f>IF(Productos!$A927="","",Productos!H927)</f>
        <v/>
      </c>
      <c r="E927" s="18" t="str">
        <f t="shared" si="28"/>
        <v/>
      </c>
      <c r="F927" s="26" t="str">
        <f>IF(A927="","",IF(D927="",0,D927*Productos!G927))</f>
        <v/>
      </c>
      <c r="G927" s="26" t="str">
        <f>IF(A927="","",IF(D927="",0,D927*Productos!F927))</f>
        <v/>
      </c>
      <c r="H927" s="26" t="str">
        <f t="shared" si="29"/>
        <v/>
      </c>
      <c r="I927" t="str">
        <f>IF(A927="","",Productos!J927)</f>
        <v/>
      </c>
    </row>
    <row r="928" spans="1:9" x14ac:dyDescent="0.2">
      <c r="A928" s="18" t="str">
        <f>IF(Productos!A928="","",Productos!A928)</f>
        <v/>
      </c>
      <c r="B928" s="18" t="str">
        <f>IF(Productos!B928="","",Productos!B928)</f>
        <v/>
      </c>
      <c r="C928" s="18" t="str">
        <f>IF(Productos!$A928="","",Productos!H928)</f>
        <v/>
      </c>
      <c r="E928" s="18" t="str">
        <f t="shared" si="28"/>
        <v/>
      </c>
      <c r="F928" s="26" t="str">
        <f>IF(A928="","",IF(D928="",0,D928*Productos!G928))</f>
        <v/>
      </c>
      <c r="G928" s="26" t="str">
        <f>IF(A928="","",IF(D928="",0,D928*Productos!F928))</f>
        <v/>
      </c>
      <c r="H928" s="26" t="str">
        <f t="shared" si="29"/>
        <v/>
      </c>
      <c r="I928" t="str">
        <f>IF(A928="","",Productos!J928)</f>
        <v/>
      </c>
    </row>
    <row r="929" spans="1:9" x14ac:dyDescent="0.2">
      <c r="A929" s="18" t="str">
        <f>IF(Productos!A929="","",Productos!A929)</f>
        <v/>
      </c>
      <c r="B929" s="18" t="str">
        <f>IF(Productos!B929="","",Productos!B929)</f>
        <v/>
      </c>
      <c r="C929" s="18" t="str">
        <f>IF(Productos!$A929="","",Productos!H929)</f>
        <v/>
      </c>
      <c r="E929" s="18" t="str">
        <f t="shared" si="28"/>
        <v/>
      </c>
      <c r="F929" s="26" t="str">
        <f>IF(A929="","",IF(D929="",0,D929*Productos!G929))</f>
        <v/>
      </c>
      <c r="G929" s="26" t="str">
        <f>IF(A929="","",IF(D929="",0,D929*Productos!F929))</f>
        <v/>
      </c>
      <c r="H929" s="26" t="str">
        <f t="shared" si="29"/>
        <v/>
      </c>
      <c r="I929" t="str">
        <f>IF(A929="","",Productos!J929)</f>
        <v/>
      </c>
    </row>
    <row r="930" spans="1:9" x14ac:dyDescent="0.2">
      <c r="A930" s="18" t="str">
        <f>IF(Productos!A930="","",Productos!A930)</f>
        <v/>
      </c>
      <c r="B930" s="18" t="str">
        <f>IF(Productos!B930="","",Productos!B930)</f>
        <v/>
      </c>
      <c r="C930" s="18" t="str">
        <f>IF(Productos!$A930="","",Productos!H930)</f>
        <v/>
      </c>
      <c r="E930" s="18" t="str">
        <f t="shared" si="28"/>
        <v/>
      </c>
      <c r="F930" s="26" t="str">
        <f>IF(A930="","",IF(D930="",0,D930*Productos!G930))</f>
        <v/>
      </c>
      <c r="G930" s="26" t="str">
        <f>IF(A930="","",IF(D930="",0,D930*Productos!F930))</f>
        <v/>
      </c>
      <c r="H930" s="26" t="str">
        <f t="shared" si="29"/>
        <v/>
      </c>
      <c r="I930" t="str">
        <f>IF(A930="","",Productos!J930)</f>
        <v/>
      </c>
    </row>
    <row r="931" spans="1:9" x14ac:dyDescent="0.2">
      <c r="A931" s="18" t="str">
        <f>IF(Productos!A931="","",Productos!A931)</f>
        <v/>
      </c>
      <c r="B931" s="18" t="str">
        <f>IF(Productos!B931="","",Productos!B931)</f>
        <v/>
      </c>
      <c r="C931" s="18" t="str">
        <f>IF(Productos!$A931="","",Productos!H931)</f>
        <v/>
      </c>
      <c r="E931" s="18" t="str">
        <f t="shared" si="28"/>
        <v/>
      </c>
      <c r="F931" s="26" t="str">
        <f>IF(A931="","",IF(D931="",0,D931*Productos!G931))</f>
        <v/>
      </c>
      <c r="G931" s="26" t="str">
        <f>IF(A931="","",IF(D931="",0,D931*Productos!F931))</f>
        <v/>
      </c>
      <c r="H931" s="26" t="str">
        <f t="shared" si="29"/>
        <v/>
      </c>
      <c r="I931" t="str">
        <f>IF(A931="","",Productos!J931)</f>
        <v/>
      </c>
    </row>
    <row r="932" spans="1:9" x14ac:dyDescent="0.2">
      <c r="A932" s="18" t="str">
        <f>IF(Productos!A932="","",Productos!A932)</f>
        <v/>
      </c>
      <c r="B932" s="18" t="str">
        <f>IF(Productos!B932="","",Productos!B932)</f>
        <v/>
      </c>
      <c r="C932" s="18" t="str">
        <f>IF(Productos!$A932="","",Productos!H932)</f>
        <v/>
      </c>
      <c r="E932" s="18" t="str">
        <f t="shared" si="28"/>
        <v/>
      </c>
      <c r="F932" s="26" t="str">
        <f>IF(A932="","",IF(D932="",0,D932*Productos!G932))</f>
        <v/>
      </c>
      <c r="G932" s="26" t="str">
        <f>IF(A932="","",IF(D932="",0,D932*Productos!F932))</f>
        <v/>
      </c>
      <c r="H932" s="26" t="str">
        <f t="shared" si="29"/>
        <v/>
      </c>
      <c r="I932" t="str">
        <f>IF(A932="","",Productos!J932)</f>
        <v/>
      </c>
    </row>
    <row r="933" spans="1:9" x14ac:dyDescent="0.2">
      <c r="A933" s="18" t="str">
        <f>IF(Productos!A933="","",Productos!A933)</f>
        <v/>
      </c>
      <c r="B933" s="18" t="str">
        <f>IF(Productos!B933="","",Productos!B933)</f>
        <v/>
      </c>
      <c r="C933" s="18" t="str">
        <f>IF(Productos!$A933="","",Productos!H933)</f>
        <v/>
      </c>
      <c r="E933" s="18" t="str">
        <f t="shared" si="28"/>
        <v/>
      </c>
      <c r="F933" s="26" t="str">
        <f>IF(A933="","",IF(D933="",0,D933*Productos!G933))</f>
        <v/>
      </c>
      <c r="G933" s="26" t="str">
        <f>IF(A933="","",IF(D933="",0,D933*Productos!F933))</f>
        <v/>
      </c>
      <c r="H933" s="26" t="str">
        <f t="shared" si="29"/>
        <v/>
      </c>
      <c r="I933" t="str">
        <f>IF(A933="","",Productos!J933)</f>
        <v/>
      </c>
    </row>
    <row r="934" spans="1:9" x14ac:dyDescent="0.2">
      <c r="A934" s="18" t="str">
        <f>IF(Productos!A934="","",Productos!A934)</f>
        <v/>
      </c>
      <c r="B934" s="18" t="str">
        <f>IF(Productos!B934="","",Productos!B934)</f>
        <v/>
      </c>
      <c r="C934" s="18" t="str">
        <f>IF(Productos!$A934="","",Productos!H934)</f>
        <v/>
      </c>
      <c r="E934" s="18" t="str">
        <f t="shared" si="28"/>
        <v/>
      </c>
      <c r="F934" s="26" t="str">
        <f>IF(A934="","",IF(D934="",0,D934*Productos!G934))</f>
        <v/>
      </c>
      <c r="G934" s="26" t="str">
        <f>IF(A934="","",IF(D934="",0,D934*Productos!F934))</f>
        <v/>
      </c>
      <c r="H934" s="26" t="str">
        <f t="shared" si="29"/>
        <v/>
      </c>
      <c r="I934" t="str">
        <f>IF(A934="","",Productos!J934)</f>
        <v/>
      </c>
    </row>
    <row r="935" spans="1:9" x14ac:dyDescent="0.2">
      <c r="A935" s="18" t="str">
        <f>IF(Productos!A935="","",Productos!A935)</f>
        <v/>
      </c>
      <c r="B935" s="18" t="str">
        <f>IF(Productos!B935="","",Productos!B935)</f>
        <v/>
      </c>
      <c r="C935" s="18" t="str">
        <f>IF(Productos!$A935="","",Productos!H935)</f>
        <v/>
      </c>
      <c r="E935" s="18" t="str">
        <f t="shared" si="28"/>
        <v/>
      </c>
      <c r="F935" s="26" t="str">
        <f>IF(A935="","",IF(D935="",0,D935*Productos!G935))</f>
        <v/>
      </c>
      <c r="G935" s="26" t="str">
        <f>IF(A935="","",IF(D935="",0,D935*Productos!F935))</f>
        <v/>
      </c>
      <c r="H935" s="26" t="str">
        <f t="shared" si="29"/>
        <v/>
      </c>
      <c r="I935" t="str">
        <f>IF(A935="","",Productos!J935)</f>
        <v/>
      </c>
    </row>
    <row r="936" spans="1:9" x14ac:dyDescent="0.2">
      <c r="A936" s="18" t="str">
        <f>IF(Productos!A936="","",Productos!A936)</f>
        <v/>
      </c>
      <c r="B936" s="18" t="str">
        <f>IF(Productos!B936="","",Productos!B936)</f>
        <v/>
      </c>
      <c r="C936" s="18" t="str">
        <f>IF(Productos!$A936="","",Productos!H936)</f>
        <v/>
      </c>
      <c r="E936" s="18" t="str">
        <f t="shared" si="28"/>
        <v/>
      </c>
      <c r="F936" s="26" t="str">
        <f>IF(A936="","",IF(D936="",0,D936*Productos!G936))</f>
        <v/>
      </c>
      <c r="G936" s="26" t="str">
        <f>IF(A936="","",IF(D936="",0,D936*Productos!F936))</f>
        <v/>
      </c>
      <c r="H936" s="26" t="str">
        <f t="shared" si="29"/>
        <v/>
      </c>
      <c r="I936" t="str">
        <f>IF(A936="","",Productos!J936)</f>
        <v/>
      </c>
    </row>
    <row r="937" spans="1:9" x14ac:dyDescent="0.2">
      <c r="A937" s="18" t="str">
        <f>IF(Productos!A937="","",Productos!A937)</f>
        <v/>
      </c>
      <c r="B937" s="18" t="str">
        <f>IF(Productos!B937="","",Productos!B937)</f>
        <v/>
      </c>
      <c r="C937" s="18" t="str">
        <f>IF(Productos!$A937="","",Productos!H937)</f>
        <v/>
      </c>
      <c r="E937" s="18" t="str">
        <f t="shared" si="28"/>
        <v/>
      </c>
      <c r="F937" s="26" t="str">
        <f>IF(A937="","",IF(D937="",0,D937*Productos!G937))</f>
        <v/>
      </c>
      <c r="G937" s="26" t="str">
        <f>IF(A937="","",IF(D937="",0,D937*Productos!F937))</f>
        <v/>
      </c>
      <c r="H937" s="26" t="str">
        <f t="shared" si="29"/>
        <v/>
      </c>
      <c r="I937" t="str">
        <f>IF(A937="","",Productos!J937)</f>
        <v/>
      </c>
    </row>
    <row r="938" spans="1:9" x14ac:dyDescent="0.2">
      <c r="A938" s="18" t="str">
        <f>IF(Productos!A938="","",Productos!A938)</f>
        <v/>
      </c>
      <c r="B938" s="18" t="str">
        <f>IF(Productos!B938="","",Productos!B938)</f>
        <v/>
      </c>
      <c r="C938" s="18" t="str">
        <f>IF(Productos!$A938="","",Productos!H938)</f>
        <v/>
      </c>
      <c r="E938" s="18" t="str">
        <f t="shared" si="28"/>
        <v/>
      </c>
      <c r="F938" s="26" t="str">
        <f>IF(A938="","",IF(D938="",0,D938*Productos!G938))</f>
        <v/>
      </c>
      <c r="G938" s="26" t="str">
        <f>IF(A938="","",IF(D938="",0,D938*Productos!F938))</f>
        <v/>
      </c>
      <c r="H938" s="26" t="str">
        <f t="shared" si="29"/>
        <v/>
      </c>
      <c r="I938" t="str">
        <f>IF(A938="","",Productos!J938)</f>
        <v/>
      </c>
    </row>
    <row r="939" spans="1:9" x14ac:dyDescent="0.2">
      <c r="A939" s="18" t="str">
        <f>IF(Productos!A939="","",Productos!A939)</f>
        <v/>
      </c>
      <c r="B939" s="18" t="str">
        <f>IF(Productos!B939="","",Productos!B939)</f>
        <v/>
      </c>
      <c r="C939" s="18" t="str">
        <f>IF(Productos!$A939="","",Productos!H939)</f>
        <v/>
      </c>
      <c r="E939" s="18" t="str">
        <f t="shared" si="28"/>
        <v/>
      </c>
      <c r="F939" s="26" t="str">
        <f>IF(A939="","",IF(D939="",0,D939*Productos!G939))</f>
        <v/>
      </c>
      <c r="G939" s="26" t="str">
        <f>IF(A939="","",IF(D939="",0,D939*Productos!F939))</f>
        <v/>
      </c>
      <c r="H939" s="26" t="str">
        <f t="shared" si="29"/>
        <v/>
      </c>
      <c r="I939" t="str">
        <f>IF(A939="","",Productos!J939)</f>
        <v/>
      </c>
    </row>
    <row r="940" spans="1:9" x14ac:dyDescent="0.2">
      <c r="A940" s="18" t="str">
        <f>IF(Productos!A940="","",Productos!A940)</f>
        <v/>
      </c>
      <c r="B940" s="18" t="str">
        <f>IF(Productos!B940="","",Productos!B940)</f>
        <v/>
      </c>
      <c r="C940" s="18" t="str">
        <f>IF(Productos!$A940="","",Productos!H940)</f>
        <v/>
      </c>
      <c r="E940" s="18" t="str">
        <f t="shared" si="28"/>
        <v/>
      </c>
      <c r="F940" s="26" t="str">
        <f>IF(A940="","",IF(D940="",0,D940*Productos!G940))</f>
        <v/>
      </c>
      <c r="G940" s="26" t="str">
        <f>IF(A940="","",IF(D940="",0,D940*Productos!F940))</f>
        <v/>
      </c>
      <c r="H940" s="26" t="str">
        <f t="shared" si="29"/>
        <v/>
      </c>
      <c r="I940" t="str">
        <f>IF(A940="","",Productos!J940)</f>
        <v/>
      </c>
    </row>
    <row r="941" spans="1:9" x14ac:dyDescent="0.2">
      <c r="A941" s="18" t="str">
        <f>IF(Productos!A941="","",Productos!A941)</f>
        <v/>
      </c>
      <c r="B941" s="18" t="str">
        <f>IF(Productos!B941="","",Productos!B941)</f>
        <v/>
      </c>
      <c r="C941" s="18" t="str">
        <f>IF(Productos!$A941="","",Productos!H941)</f>
        <v/>
      </c>
      <c r="E941" s="18" t="str">
        <f t="shared" si="28"/>
        <v/>
      </c>
      <c r="F941" s="26" t="str">
        <f>IF(A941="","",IF(D941="",0,D941*Productos!G941))</f>
        <v/>
      </c>
      <c r="G941" s="26" t="str">
        <f>IF(A941="","",IF(D941="",0,D941*Productos!F941))</f>
        <v/>
      </c>
      <c r="H941" s="26" t="str">
        <f t="shared" si="29"/>
        <v/>
      </c>
      <c r="I941" t="str">
        <f>IF(A941="","",Productos!J941)</f>
        <v/>
      </c>
    </row>
    <row r="942" spans="1:9" x14ac:dyDescent="0.2">
      <c r="A942" s="18" t="str">
        <f>IF(Productos!A942="","",Productos!A942)</f>
        <v/>
      </c>
      <c r="B942" s="18" t="str">
        <f>IF(Productos!B942="","",Productos!B942)</f>
        <v/>
      </c>
      <c r="C942" s="18" t="str">
        <f>IF(Productos!$A942="","",Productos!H942)</f>
        <v/>
      </c>
      <c r="E942" s="18" t="str">
        <f t="shared" si="28"/>
        <v/>
      </c>
      <c r="F942" s="26" t="str">
        <f>IF(A942="","",IF(D942="",0,D942*Productos!G942))</f>
        <v/>
      </c>
      <c r="G942" s="26" t="str">
        <f>IF(A942="","",IF(D942="",0,D942*Productos!F942))</f>
        <v/>
      </c>
      <c r="H942" s="26" t="str">
        <f t="shared" si="29"/>
        <v/>
      </c>
      <c r="I942" t="str">
        <f>IF(A942="","",Productos!J942)</f>
        <v/>
      </c>
    </row>
    <row r="943" spans="1:9" x14ac:dyDescent="0.2">
      <c r="A943" s="18" t="str">
        <f>IF(Productos!A943="","",Productos!A943)</f>
        <v/>
      </c>
      <c r="B943" s="18" t="str">
        <f>IF(Productos!B943="","",Productos!B943)</f>
        <v/>
      </c>
      <c r="C943" s="18" t="str">
        <f>IF(Productos!$A943="","",Productos!H943)</f>
        <v/>
      </c>
      <c r="E943" s="18" t="str">
        <f t="shared" si="28"/>
        <v/>
      </c>
      <c r="F943" s="26" t="str">
        <f>IF(A943="","",IF(D943="",0,D943*Productos!G943))</f>
        <v/>
      </c>
      <c r="G943" s="26" t="str">
        <f>IF(A943="","",IF(D943="",0,D943*Productos!F943))</f>
        <v/>
      </c>
      <c r="H943" s="26" t="str">
        <f t="shared" si="29"/>
        <v/>
      </c>
      <c r="I943" t="str">
        <f>IF(A943="","",Productos!J943)</f>
        <v/>
      </c>
    </row>
    <row r="944" spans="1:9" x14ac:dyDescent="0.2">
      <c r="A944" s="18" t="str">
        <f>IF(Productos!A944="","",Productos!A944)</f>
        <v/>
      </c>
      <c r="B944" s="18" t="str">
        <f>IF(Productos!B944="","",Productos!B944)</f>
        <v/>
      </c>
      <c r="C944" s="18" t="str">
        <f>IF(Productos!$A944="","",Productos!H944)</f>
        <v/>
      </c>
      <c r="E944" s="18" t="str">
        <f t="shared" si="28"/>
        <v/>
      </c>
      <c r="F944" s="26" t="str">
        <f>IF(A944="","",IF(D944="",0,D944*Productos!G944))</f>
        <v/>
      </c>
      <c r="G944" s="26" t="str">
        <f>IF(A944="","",IF(D944="",0,D944*Productos!F944))</f>
        <v/>
      </c>
      <c r="H944" s="26" t="str">
        <f t="shared" si="29"/>
        <v/>
      </c>
      <c r="I944" t="str">
        <f>IF(A944="","",Productos!J944)</f>
        <v/>
      </c>
    </row>
    <row r="945" spans="1:9" x14ac:dyDescent="0.2">
      <c r="A945" s="18" t="str">
        <f>IF(Productos!A945="","",Productos!A945)</f>
        <v/>
      </c>
      <c r="B945" s="18" t="str">
        <f>IF(Productos!B945="","",Productos!B945)</f>
        <v/>
      </c>
      <c r="C945" s="18" t="str">
        <f>IF(Productos!$A945="","",Productos!H945)</f>
        <v/>
      </c>
      <c r="E945" s="18" t="str">
        <f t="shared" si="28"/>
        <v/>
      </c>
      <c r="F945" s="26" t="str">
        <f>IF(A945="","",IF(D945="",0,D945*Productos!G945))</f>
        <v/>
      </c>
      <c r="G945" s="26" t="str">
        <f>IF(A945="","",IF(D945="",0,D945*Productos!F945))</f>
        <v/>
      </c>
      <c r="H945" s="26" t="str">
        <f t="shared" si="29"/>
        <v/>
      </c>
      <c r="I945" t="str">
        <f>IF(A945="","",Productos!J945)</f>
        <v/>
      </c>
    </row>
    <row r="946" spans="1:9" x14ac:dyDescent="0.2">
      <c r="A946" s="18" t="str">
        <f>IF(Productos!A946="","",Productos!A946)</f>
        <v/>
      </c>
      <c r="B946" s="18" t="str">
        <f>IF(Productos!B946="","",Productos!B946)</f>
        <v/>
      </c>
      <c r="C946" s="18" t="str">
        <f>IF(Productos!$A946="","",Productos!H946)</f>
        <v/>
      </c>
      <c r="E946" s="18" t="str">
        <f t="shared" si="28"/>
        <v/>
      </c>
      <c r="F946" s="26" t="str">
        <f>IF(A946="","",IF(D946="",0,D946*Productos!G946))</f>
        <v/>
      </c>
      <c r="G946" s="26" t="str">
        <f>IF(A946="","",IF(D946="",0,D946*Productos!F946))</f>
        <v/>
      </c>
      <c r="H946" s="26" t="str">
        <f t="shared" si="29"/>
        <v/>
      </c>
      <c r="I946" t="str">
        <f>IF(A946="","",Productos!J946)</f>
        <v/>
      </c>
    </row>
    <row r="947" spans="1:9" x14ac:dyDescent="0.2">
      <c r="A947" s="18" t="str">
        <f>IF(Productos!A947="","",Productos!A947)</f>
        <v/>
      </c>
      <c r="B947" s="18" t="str">
        <f>IF(Productos!B947="","",Productos!B947)</f>
        <v/>
      </c>
      <c r="C947" s="18" t="str">
        <f>IF(Productos!$A947="","",Productos!H947)</f>
        <v/>
      </c>
      <c r="E947" s="18" t="str">
        <f t="shared" si="28"/>
        <v/>
      </c>
      <c r="F947" s="26" t="str">
        <f>IF(A947="","",IF(D947="",0,D947*Productos!G947))</f>
        <v/>
      </c>
      <c r="G947" s="26" t="str">
        <f>IF(A947="","",IF(D947="",0,D947*Productos!F947))</f>
        <v/>
      </c>
      <c r="H947" s="26" t="str">
        <f t="shared" si="29"/>
        <v/>
      </c>
      <c r="I947" t="str">
        <f>IF(A947="","",Productos!J947)</f>
        <v/>
      </c>
    </row>
    <row r="948" spans="1:9" x14ac:dyDescent="0.2">
      <c r="A948" s="18" t="str">
        <f>IF(Productos!A948="","",Productos!A948)</f>
        <v/>
      </c>
      <c r="B948" s="18" t="str">
        <f>IF(Productos!B948="","",Productos!B948)</f>
        <v/>
      </c>
      <c r="C948" s="18" t="str">
        <f>IF(Productos!$A948="","",Productos!H948)</f>
        <v/>
      </c>
      <c r="E948" s="18" t="str">
        <f t="shared" si="28"/>
        <v/>
      </c>
      <c r="F948" s="26" t="str">
        <f>IF(A948="","",IF(D948="",0,D948*Productos!G948))</f>
        <v/>
      </c>
      <c r="G948" s="26" t="str">
        <f>IF(A948="","",IF(D948="",0,D948*Productos!F948))</f>
        <v/>
      </c>
      <c r="H948" s="26" t="str">
        <f t="shared" si="29"/>
        <v/>
      </c>
      <c r="I948" t="str">
        <f>IF(A948="","",Productos!J948)</f>
        <v/>
      </c>
    </row>
    <row r="949" spans="1:9" x14ac:dyDescent="0.2">
      <c r="A949" s="18" t="str">
        <f>IF(Productos!A949="","",Productos!A949)</f>
        <v/>
      </c>
      <c r="B949" s="18" t="str">
        <f>IF(Productos!B949="","",Productos!B949)</f>
        <v/>
      </c>
      <c r="C949" s="18" t="str">
        <f>IF(Productos!$A949="","",Productos!H949)</f>
        <v/>
      </c>
      <c r="E949" s="18" t="str">
        <f t="shared" si="28"/>
        <v/>
      </c>
      <c r="F949" s="26" t="str">
        <f>IF(A949="","",IF(D949="",0,D949*Productos!G949))</f>
        <v/>
      </c>
      <c r="G949" s="26" t="str">
        <f>IF(A949="","",IF(D949="",0,D949*Productos!F949))</f>
        <v/>
      </c>
      <c r="H949" s="26" t="str">
        <f t="shared" si="29"/>
        <v/>
      </c>
      <c r="I949" t="str">
        <f>IF(A949="","",Productos!J949)</f>
        <v/>
      </c>
    </row>
    <row r="950" spans="1:9" x14ac:dyDescent="0.2">
      <c r="A950" s="18" t="str">
        <f>IF(Productos!A950="","",Productos!A950)</f>
        <v/>
      </c>
      <c r="B950" s="18" t="str">
        <f>IF(Productos!B950="","",Productos!B950)</f>
        <v/>
      </c>
      <c r="C950" s="18" t="str">
        <f>IF(Productos!$A950="","",Productos!H950)</f>
        <v/>
      </c>
      <c r="E950" s="18" t="str">
        <f t="shared" si="28"/>
        <v/>
      </c>
      <c r="F950" s="26" t="str">
        <f>IF(A950="","",IF(D950="",0,D950*Productos!G950))</f>
        <v/>
      </c>
      <c r="G950" s="26" t="str">
        <f>IF(A950="","",IF(D950="",0,D950*Productos!F950))</f>
        <v/>
      </c>
      <c r="H950" s="26" t="str">
        <f t="shared" si="29"/>
        <v/>
      </c>
      <c r="I950" t="str">
        <f>IF(A950="","",Productos!J950)</f>
        <v/>
      </c>
    </row>
    <row r="951" spans="1:9" x14ac:dyDescent="0.2">
      <c r="A951" s="18" t="str">
        <f>IF(Productos!A951="","",Productos!A951)</f>
        <v/>
      </c>
      <c r="B951" s="18" t="str">
        <f>IF(Productos!B951="","",Productos!B951)</f>
        <v/>
      </c>
      <c r="C951" s="18" t="str">
        <f>IF(Productos!$A951="","",Productos!H951)</f>
        <v/>
      </c>
      <c r="E951" s="18" t="str">
        <f t="shared" si="28"/>
        <v/>
      </c>
      <c r="F951" s="26" t="str">
        <f>IF(A951="","",IF(D951="",0,D951*Productos!G951))</f>
        <v/>
      </c>
      <c r="G951" s="26" t="str">
        <f>IF(A951="","",IF(D951="",0,D951*Productos!F951))</f>
        <v/>
      </c>
      <c r="H951" s="26" t="str">
        <f t="shared" si="29"/>
        <v/>
      </c>
      <c r="I951" t="str">
        <f>IF(A951="","",Productos!J951)</f>
        <v/>
      </c>
    </row>
    <row r="952" spans="1:9" x14ac:dyDescent="0.2">
      <c r="A952" s="18" t="str">
        <f>IF(Productos!A952="","",Productos!A952)</f>
        <v/>
      </c>
      <c r="B952" s="18" t="str">
        <f>IF(Productos!B952="","",Productos!B952)</f>
        <v/>
      </c>
      <c r="C952" s="18" t="str">
        <f>IF(Productos!$A952="","",Productos!H952)</f>
        <v/>
      </c>
      <c r="E952" s="18" t="str">
        <f t="shared" si="28"/>
        <v/>
      </c>
      <c r="F952" s="26" t="str">
        <f>IF(A952="","",IF(D952="",0,D952*Productos!G952))</f>
        <v/>
      </c>
      <c r="G952" s="26" t="str">
        <f>IF(A952="","",IF(D952="",0,D952*Productos!F952))</f>
        <v/>
      </c>
      <c r="H952" s="26" t="str">
        <f t="shared" si="29"/>
        <v/>
      </c>
      <c r="I952" t="str">
        <f>IF(A952="","",Productos!J952)</f>
        <v/>
      </c>
    </row>
    <row r="953" spans="1:9" x14ac:dyDescent="0.2">
      <c r="A953" s="18" t="str">
        <f>IF(Productos!A953="","",Productos!A953)</f>
        <v/>
      </c>
      <c r="B953" s="18" t="str">
        <f>IF(Productos!B953="","",Productos!B953)</f>
        <v/>
      </c>
      <c r="C953" s="18" t="str">
        <f>IF(Productos!$A953="","",Productos!H953)</f>
        <v/>
      </c>
      <c r="E953" s="18" t="str">
        <f t="shared" si="28"/>
        <v/>
      </c>
      <c r="F953" s="26" t="str">
        <f>IF(A953="","",IF(D953="",0,D953*Productos!G953))</f>
        <v/>
      </c>
      <c r="G953" s="26" t="str">
        <f>IF(A953="","",IF(D953="",0,D953*Productos!F953))</f>
        <v/>
      </c>
      <c r="H953" s="26" t="str">
        <f t="shared" si="29"/>
        <v/>
      </c>
      <c r="I953" t="str">
        <f>IF(A953="","",Productos!J953)</f>
        <v/>
      </c>
    </row>
    <row r="954" spans="1:9" x14ac:dyDescent="0.2">
      <c r="A954" s="18" t="str">
        <f>IF(Productos!A954="","",Productos!A954)</f>
        <v/>
      </c>
      <c r="B954" s="18" t="str">
        <f>IF(Productos!B954="","",Productos!B954)</f>
        <v/>
      </c>
      <c r="C954" s="18" t="str">
        <f>IF(Productos!$A954="","",Productos!H954)</f>
        <v/>
      </c>
      <c r="E954" s="18" t="str">
        <f t="shared" si="28"/>
        <v/>
      </c>
      <c r="F954" s="26" t="str">
        <f>IF(A954="","",IF(D954="",0,D954*Productos!G954))</f>
        <v/>
      </c>
      <c r="G954" s="26" t="str">
        <f>IF(A954="","",IF(D954="",0,D954*Productos!F954))</f>
        <v/>
      </c>
      <c r="H954" s="26" t="str">
        <f t="shared" si="29"/>
        <v/>
      </c>
      <c r="I954" t="str">
        <f>IF(A954="","",Productos!J954)</f>
        <v/>
      </c>
    </row>
    <row r="955" spans="1:9" x14ac:dyDescent="0.2">
      <c r="A955" s="18" t="str">
        <f>IF(Productos!A955="","",Productos!A955)</f>
        <v/>
      </c>
      <c r="B955" s="18" t="str">
        <f>IF(Productos!B955="","",Productos!B955)</f>
        <v/>
      </c>
      <c r="C955" s="18" t="str">
        <f>IF(Productos!$A955="","",Productos!H955)</f>
        <v/>
      </c>
      <c r="E955" s="18" t="str">
        <f t="shared" si="28"/>
        <v/>
      </c>
      <c r="F955" s="26" t="str">
        <f>IF(A955="","",IF(D955="",0,D955*Productos!G955))</f>
        <v/>
      </c>
      <c r="G955" s="26" t="str">
        <f>IF(A955="","",IF(D955="",0,D955*Productos!F955))</f>
        <v/>
      </c>
      <c r="H955" s="26" t="str">
        <f t="shared" si="29"/>
        <v/>
      </c>
      <c r="I955" t="str">
        <f>IF(A955="","",Productos!J955)</f>
        <v/>
      </c>
    </row>
    <row r="956" spans="1:9" x14ac:dyDescent="0.2">
      <c r="A956" s="18" t="str">
        <f>IF(Productos!A956="","",Productos!A956)</f>
        <v/>
      </c>
      <c r="B956" s="18" t="str">
        <f>IF(Productos!B956="","",Productos!B956)</f>
        <v/>
      </c>
      <c r="C956" s="18" t="str">
        <f>IF(Productos!$A956="","",Productos!H956)</f>
        <v/>
      </c>
      <c r="E956" s="18" t="str">
        <f t="shared" si="28"/>
        <v/>
      </c>
      <c r="F956" s="26" t="str">
        <f>IF(A956="","",IF(D956="",0,D956*Productos!G956))</f>
        <v/>
      </c>
      <c r="G956" s="26" t="str">
        <f>IF(A956="","",IF(D956="",0,D956*Productos!F956))</f>
        <v/>
      </c>
      <c r="H956" s="26" t="str">
        <f t="shared" si="29"/>
        <v/>
      </c>
      <c r="I956" t="str">
        <f>IF(A956="","",Productos!J956)</f>
        <v/>
      </c>
    </row>
    <row r="957" spans="1:9" x14ac:dyDescent="0.2">
      <c r="A957" s="18" t="str">
        <f>IF(Productos!A957="","",Productos!A957)</f>
        <v/>
      </c>
      <c r="B957" s="18" t="str">
        <f>IF(Productos!B957="","",Productos!B957)</f>
        <v/>
      </c>
      <c r="C957" s="18" t="str">
        <f>IF(Productos!$A957="","",Productos!H957)</f>
        <v/>
      </c>
      <c r="E957" s="18" t="str">
        <f t="shared" si="28"/>
        <v/>
      </c>
      <c r="F957" s="26" t="str">
        <f>IF(A957="","",IF(D957="",0,D957*Productos!G957))</f>
        <v/>
      </c>
      <c r="G957" s="26" t="str">
        <f>IF(A957="","",IF(D957="",0,D957*Productos!F957))</f>
        <v/>
      </c>
      <c r="H957" s="26" t="str">
        <f t="shared" si="29"/>
        <v/>
      </c>
      <c r="I957" t="str">
        <f>IF(A957="","",Productos!J957)</f>
        <v/>
      </c>
    </row>
    <row r="958" spans="1:9" x14ac:dyDescent="0.2">
      <c r="A958" s="18" t="str">
        <f>IF(Productos!A958="","",Productos!A958)</f>
        <v/>
      </c>
      <c r="B958" s="18" t="str">
        <f>IF(Productos!B958="","",Productos!B958)</f>
        <v/>
      </c>
      <c r="C958" s="18" t="str">
        <f>IF(Productos!$A958="","",Productos!H958)</f>
        <v/>
      </c>
      <c r="E958" s="18" t="str">
        <f t="shared" si="28"/>
        <v/>
      </c>
      <c r="F958" s="26" t="str">
        <f>IF(A958="","",IF(D958="",0,D958*Productos!G958))</f>
        <v/>
      </c>
      <c r="G958" s="26" t="str">
        <f>IF(A958="","",IF(D958="",0,D958*Productos!F958))</f>
        <v/>
      </c>
      <c r="H958" s="26" t="str">
        <f t="shared" si="29"/>
        <v/>
      </c>
      <c r="I958" t="str">
        <f>IF(A958="","",Productos!J958)</f>
        <v/>
      </c>
    </row>
    <row r="959" spans="1:9" x14ac:dyDescent="0.2">
      <c r="A959" s="18" t="str">
        <f>IF(Productos!A959="","",Productos!A959)</f>
        <v/>
      </c>
      <c r="B959" s="18" t="str">
        <f>IF(Productos!B959="","",Productos!B959)</f>
        <v/>
      </c>
      <c r="C959" s="18" t="str">
        <f>IF(Productos!$A959="","",Productos!H959)</f>
        <v/>
      </c>
      <c r="E959" s="18" t="str">
        <f t="shared" si="28"/>
        <v/>
      </c>
      <c r="F959" s="26" t="str">
        <f>IF(A959="","",IF(D959="",0,D959*Productos!G959))</f>
        <v/>
      </c>
      <c r="G959" s="26" t="str">
        <f>IF(A959="","",IF(D959="",0,D959*Productos!F959))</f>
        <v/>
      </c>
      <c r="H959" s="26" t="str">
        <f t="shared" si="29"/>
        <v/>
      </c>
      <c r="I959" t="str">
        <f>IF(A959="","",Productos!J959)</f>
        <v/>
      </c>
    </row>
    <row r="960" spans="1:9" x14ac:dyDescent="0.2">
      <c r="A960" s="18" t="str">
        <f>IF(Productos!A960="","",Productos!A960)</f>
        <v/>
      </c>
      <c r="B960" s="18" t="str">
        <f>IF(Productos!B960="","",Productos!B960)</f>
        <v/>
      </c>
      <c r="C960" s="18" t="str">
        <f>IF(Productos!$A960="","",Productos!H960)</f>
        <v/>
      </c>
      <c r="E960" s="18" t="str">
        <f t="shared" si="28"/>
        <v/>
      </c>
      <c r="F960" s="26" t="str">
        <f>IF(A960="","",IF(D960="",0,D960*Productos!G960))</f>
        <v/>
      </c>
      <c r="G960" s="26" t="str">
        <f>IF(A960="","",IF(D960="",0,D960*Productos!F960))</f>
        <v/>
      </c>
      <c r="H960" s="26" t="str">
        <f t="shared" si="29"/>
        <v/>
      </c>
      <c r="I960" t="str">
        <f>IF(A960="","",Productos!J960)</f>
        <v/>
      </c>
    </row>
    <row r="961" spans="1:9" x14ac:dyDescent="0.2">
      <c r="A961" s="18" t="str">
        <f>IF(Productos!A961="","",Productos!A961)</f>
        <v/>
      </c>
      <c r="B961" s="18" t="str">
        <f>IF(Productos!B961="","",Productos!B961)</f>
        <v/>
      </c>
      <c r="C961" s="18" t="str">
        <f>IF(Productos!$A961="","",Productos!H961)</f>
        <v/>
      </c>
      <c r="E961" s="18" t="str">
        <f t="shared" si="28"/>
        <v/>
      </c>
      <c r="F961" s="26" t="str">
        <f>IF(A961="","",IF(D961="",0,D961*Productos!G961))</f>
        <v/>
      </c>
      <c r="G961" s="26" t="str">
        <f>IF(A961="","",IF(D961="",0,D961*Productos!F961))</f>
        <v/>
      </c>
      <c r="H961" s="26" t="str">
        <f t="shared" si="29"/>
        <v/>
      </c>
      <c r="I961" t="str">
        <f>IF(A961="","",Productos!J961)</f>
        <v/>
      </c>
    </row>
    <row r="962" spans="1:9" x14ac:dyDescent="0.2">
      <c r="A962" s="18" t="str">
        <f>IF(Productos!A962="","",Productos!A962)</f>
        <v/>
      </c>
      <c r="B962" s="18" t="str">
        <f>IF(Productos!B962="","",Productos!B962)</f>
        <v/>
      </c>
      <c r="C962" s="18" t="str">
        <f>IF(Productos!$A962="","",Productos!H962)</f>
        <v/>
      </c>
      <c r="E962" s="18" t="str">
        <f t="shared" si="28"/>
        <v/>
      </c>
      <c r="F962" s="26" t="str">
        <f>IF(A962="","",IF(D962="",0,D962*Productos!G962))</f>
        <v/>
      </c>
      <c r="G962" s="26" t="str">
        <f>IF(A962="","",IF(D962="",0,D962*Productos!F962))</f>
        <v/>
      </c>
      <c r="H962" s="26" t="str">
        <f t="shared" si="29"/>
        <v/>
      </c>
      <c r="I962" t="str">
        <f>IF(A962="","",Productos!J962)</f>
        <v/>
      </c>
    </row>
    <row r="963" spans="1:9" x14ac:dyDescent="0.2">
      <c r="A963" s="18" t="str">
        <f>IF(Productos!A963="","",Productos!A963)</f>
        <v/>
      </c>
      <c r="B963" s="18" t="str">
        <f>IF(Productos!B963="","",Productos!B963)</f>
        <v/>
      </c>
      <c r="C963" s="18" t="str">
        <f>IF(Productos!$A963="","",Productos!H963)</f>
        <v/>
      </c>
      <c r="E963" s="18" t="str">
        <f t="shared" ref="E963:E1000" si="30">IF(C963="","",C963-IF(D963="",0,D963))</f>
        <v/>
      </c>
      <c r="F963" s="26" t="str">
        <f>IF(A963="","",IF(D963="",0,D963*Productos!G963))</f>
        <v/>
      </c>
      <c r="G963" s="26" t="str">
        <f>IF(A963="","",IF(D963="",0,D963*Productos!F963))</f>
        <v/>
      </c>
      <c r="H963" s="26" t="str">
        <f t="shared" ref="H963:H1000" si="31">IF(A963="","",F963-G963)</f>
        <v/>
      </c>
      <c r="I963" t="str">
        <f>IF(A963="","",Productos!J963)</f>
        <v/>
      </c>
    </row>
    <row r="964" spans="1:9" x14ac:dyDescent="0.2">
      <c r="A964" s="18" t="str">
        <f>IF(Productos!A964="","",Productos!A964)</f>
        <v/>
      </c>
      <c r="B964" s="18" t="str">
        <f>IF(Productos!B964="","",Productos!B964)</f>
        <v/>
      </c>
      <c r="C964" s="18" t="str">
        <f>IF(Productos!$A964="","",Productos!H964)</f>
        <v/>
      </c>
      <c r="E964" s="18" t="str">
        <f t="shared" si="30"/>
        <v/>
      </c>
      <c r="F964" s="26" t="str">
        <f>IF(A964="","",IF(D964="",0,D964*Productos!G964))</f>
        <v/>
      </c>
      <c r="G964" s="26" t="str">
        <f>IF(A964="","",IF(D964="",0,D964*Productos!F964))</f>
        <v/>
      </c>
      <c r="H964" s="26" t="str">
        <f t="shared" si="31"/>
        <v/>
      </c>
      <c r="I964" t="str">
        <f>IF(A964="","",Productos!J964)</f>
        <v/>
      </c>
    </row>
    <row r="965" spans="1:9" x14ac:dyDescent="0.2">
      <c r="A965" s="18" t="str">
        <f>IF(Productos!A965="","",Productos!A965)</f>
        <v/>
      </c>
      <c r="B965" s="18" t="str">
        <f>IF(Productos!B965="","",Productos!B965)</f>
        <v/>
      </c>
      <c r="C965" s="18" t="str">
        <f>IF(Productos!$A965="","",Productos!H965)</f>
        <v/>
      </c>
      <c r="E965" s="18" t="str">
        <f t="shared" si="30"/>
        <v/>
      </c>
      <c r="F965" s="26" t="str">
        <f>IF(A965="","",IF(D965="",0,D965*Productos!G965))</f>
        <v/>
      </c>
      <c r="G965" s="26" t="str">
        <f>IF(A965="","",IF(D965="",0,D965*Productos!F965))</f>
        <v/>
      </c>
      <c r="H965" s="26" t="str">
        <f t="shared" si="31"/>
        <v/>
      </c>
      <c r="I965" t="str">
        <f>IF(A965="","",Productos!J965)</f>
        <v/>
      </c>
    </row>
    <row r="966" spans="1:9" x14ac:dyDescent="0.2">
      <c r="A966" s="18" t="str">
        <f>IF(Productos!A966="","",Productos!A966)</f>
        <v/>
      </c>
      <c r="B966" s="18" t="str">
        <f>IF(Productos!B966="","",Productos!B966)</f>
        <v/>
      </c>
      <c r="C966" s="18" t="str">
        <f>IF(Productos!$A966="","",Productos!H966)</f>
        <v/>
      </c>
      <c r="E966" s="18" t="str">
        <f t="shared" si="30"/>
        <v/>
      </c>
      <c r="F966" s="26" t="str">
        <f>IF(A966="","",IF(D966="",0,D966*Productos!G966))</f>
        <v/>
      </c>
      <c r="G966" s="26" t="str">
        <f>IF(A966="","",IF(D966="",0,D966*Productos!F966))</f>
        <v/>
      </c>
      <c r="H966" s="26" t="str">
        <f t="shared" si="31"/>
        <v/>
      </c>
      <c r="I966" t="str">
        <f>IF(A966="","",Productos!J966)</f>
        <v/>
      </c>
    </row>
    <row r="967" spans="1:9" x14ac:dyDescent="0.2">
      <c r="A967" s="18" t="str">
        <f>IF(Productos!A967="","",Productos!A967)</f>
        <v/>
      </c>
      <c r="B967" s="18" t="str">
        <f>IF(Productos!B967="","",Productos!B967)</f>
        <v/>
      </c>
      <c r="C967" s="18" t="str">
        <f>IF(Productos!$A967="","",Productos!H967)</f>
        <v/>
      </c>
      <c r="E967" s="18" t="str">
        <f t="shared" si="30"/>
        <v/>
      </c>
      <c r="F967" s="26" t="str">
        <f>IF(A967="","",IF(D967="",0,D967*Productos!G967))</f>
        <v/>
      </c>
      <c r="G967" s="26" t="str">
        <f>IF(A967="","",IF(D967="",0,D967*Productos!F967))</f>
        <v/>
      </c>
      <c r="H967" s="26" t="str">
        <f t="shared" si="31"/>
        <v/>
      </c>
      <c r="I967" t="str">
        <f>IF(A967="","",Productos!J967)</f>
        <v/>
      </c>
    </row>
    <row r="968" spans="1:9" x14ac:dyDescent="0.2">
      <c r="A968" s="18" t="str">
        <f>IF(Productos!A968="","",Productos!A968)</f>
        <v/>
      </c>
      <c r="B968" s="18" t="str">
        <f>IF(Productos!B968="","",Productos!B968)</f>
        <v/>
      </c>
      <c r="C968" s="18" t="str">
        <f>IF(Productos!$A968="","",Productos!H968)</f>
        <v/>
      </c>
      <c r="E968" s="18" t="str">
        <f t="shared" si="30"/>
        <v/>
      </c>
      <c r="F968" s="26" t="str">
        <f>IF(A968="","",IF(D968="",0,D968*Productos!G968))</f>
        <v/>
      </c>
      <c r="G968" s="26" t="str">
        <f>IF(A968="","",IF(D968="",0,D968*Productos!F968))</f>
        <v/>
      </c>
      <c r="H968" s="26" t="str">
        <f t="shared" si="31"/>
        <v/>
      </c>
      <c r="I968" t="str">
        <f>IF(A968="","",Productos!J968)</f>
        <v/>
      </c>
    </row>
    <row r="969" spans="1:9" x14ac:dyDescent="0.2">
      <c r="A969" s="18" t="str">
        <f>IF(Productos!A969="","",Productos!A969)</f>
        <v/>
      </c>
      <c r="B969" s="18" t="str">
        <f>IF(Productos!B969="","",Productos!B969)</f>
        <v/>
      </c>
      <c r="C969" s="18" t="str">
        <f>IF(Productos!$A969="","",Productos!H969)</f>
        <v/>
      </c>
      <c r="E969" s="18" t="str">
        <f t="shared" si="30"/>
        <v/>
      </c>
      <c r="F969" s="26" t="str">
        <f>IF(A969="","",IF(D969="",0,D969*Productos!G969))</f>
        <v/>
      </c>
      <c r="G969" s="26" t="str">
        <f>IF(A969="","",IF(D969="",0,D969*Productos!F969))</f>
        <v/>
      </c>
      <c r="H969" s="26" t="str">
        <f t="shared" si="31"/>
        <v/>
      </c>
      <c r="I969" t="str">
        <f>IF(A969="","",Productos!J969)</f>
        <v/>
      </c>
    </row>
    <row r="970" spans="1:9" x14ac:dyDescent="0.2">
      <c r="A970" s="18" t="str">
        <f>IF(Productos!A970="","",Productos!A970)</f>
        <v/>
      </c>
      <c r="B970" s="18" t="str">
        <f>IF(Productos!B970="","",Productos!B970)</f>
        <v/>
      </c>
      <c r="C970" s="18" t="str">
        <f>IF(Productos!$A970="","",Productos!H970)</f>
        <v/>
      </c>
      <c r="E970" s="18" t="str">
        <f t="shared" si="30"/>
        <v/>
      </c>
      <c r="F970" s="26" t="str">
        <f>IF(A970="","",IF(D970="",0,D970*Productos!G970))</f>
        <v/>
      </c>
      <c r="G970" s="26" t="str">
        <f>IF(A970="","",IF(D970="",0,D970*Productos!F970))</f>
        <v/>
      </c>
      <c r="H970" s="26" t="str">
        <f t="shared" si="31"/>
        <v/>
      </c>
      <c r="I970" t="str">
        <f>IF(A970="","",Productos!J970)</f>
        <v/>
      </c>
    </row>
    <row r="971" spans="1:9" x14ac:dyDescent="0.2">
      <c r="A971" s="18" t="str">
        <f>IF(Productos!A971="","",Productos!A971)</f>
        <v/>
      </c>
      <c r="B971" s="18" t="str">
        <f>IF(Productos!B971="","",Productos!B971)</f>
        <v/>
      </c>
      <c r="C971" s="18" t="str">
        <f>IF(Productos!$A971="","",Productos!H971)</f>
        <v/>
      </c>
      <c r="E971" s="18" t="str">
        <f t="shared" si="30"/>
        <v/>
      </c>
      <c r="F971" s="26" t="str">
        <f>IF(A971="","",IF(D971="",0,D971*Productos!G971))</f>
        <v/>
      </c>
      <c r="G971" s="26" t="str">
        <f>IF(A971="","",IF(D971="",0,D971*Productos!F971))</f>
        <v/>
      </c>
      <c r="H971" s="26" t="str">
        <f t="shared" si="31"/>
        <v/>
      </c>
      <c r="I971" t="str">
        <f>IF(A971="","",Productos!J971)</f>
        <v/>
      </c>
    </row>
    <row r="972" spans="1:9" x14ac:dyDescent="0.2">
      <c r="A972" s="18" t="str">
        <f>IF(Productos!A972="","",Productos!A972)</f>
        <v/>
      </c>
      <c r="B972" s="18" t="str">
        <f>IF(Productos!B972="","",Productos!B972)</f>
        <v/>
      </c>
      <c r="C972" s="18" t="str">
        <f>IF(Productos!$A972="","",Productos!H972)</f>
        <v/>
      </c>
      <c r="E972" s="18" t="str">
        <f t="shared" si="30"/>
        <v/>
      </c>
      <c r="F972" s="26" t="str">
        <f>IF(A972="","",IF(D972="",0,D972*Productos!G972))</f>
        <v/>
      </c>
      <c r="G972" s="26" t="str">
        <f>IF(A972="","",IF(D972="",0,D972*Productos!F972))</f>
        <v/>
      </c>
      <c r="H972" s="26" t="str">
        <f t="shared" si="31"/>
        <v/>
      </c>
      <c r="I972" t="str">
        <f>IF(A972="","",Productos!J972)</f>
        <v/>
      </c>
    </row>
    <row r="973" spans="1:9" x14ac:dyDescent="0.2">
      <c r="A973" s="18" t="str">
        <f>IF(Productos!A973="","",Productos!A973)</f>
        <v/>
      </c>
      <c r="B973" s="18" t="str">
        <f>IF(Productos!B973="","",Productos!B973)</f>
        <v/>
      </c>
      <c r="C973" s="18" t="str">
        <f>IF(Productos!$A973="","",Productos!H973)</f>
        <v/>
      </c>
      <c r="E973" s="18" t="str">
        <f t="shared" si="30"/>
        <v/>
      </c>
      <c r="F973" s="26" t="str">
        <f>IF(A973="","",IF(D973="",0,D973*Productos!G973))</f>
        <v/>
      </c>
      <c r="G973" s="26" t="str">
        <f>IF(A973="","",IF(D973="",0,D973*Productos!F973))</f>
        <v/>
      </c>
      <c r="H973" s="26" t="str">
        <f t="shared" si="31"/>
        <v/>
      </c>
      <c r="I973" t="str">
        <f>IF(A973="","",Productos!J973)</f>
        <v/>
      </c>
    </row>
    <row r="974" spans="1:9" x14ac:dyDescent="0.2">
      <c r="A974" s="18" t="str">
        <f>IF(Productos!A974="","",Productos!A974)</f>
        <v/>
      </c>
      <c r="B974" s="18" t="str">
        <f>IF(Productos!B974="","",Productos!B974)</f>
        <v/>
      </c>
      <c r="C974" s="18" t="str">
        <f>IF(Productos!$A974="","",Productos!H974)</f>
        <v/>
      </c>
      <c r="E974" s="18" t="str">
        <f t="shared" si="30"/>
        <v/>
      </c>
      <c r="F974" s="26" t="str">
        <f>IF(A974="","",IF(D974="",0,D974*Productos!G974))</f>
        <v/>
      </c>
      <c r="G974" s="26" t="str">
        <f>IF(A974="","",IF(D974="",0,D974*Productos!F974))</f>
        <v/>
      </c>
      <c r="H974" s="26" t="str">
        <f t="shared" si="31"/>
        <v/>
      </c>
      <c r="I974" t="str">
        <f>IF(A974="","",Productos!J974)</f>
        <v/>
      </c>
    </row>
    <row r="975" spans="1:9" x14ac:dyDescent="0.2">
      <c r="A975" s="18" t="str">
        <f>IF(Productos!A975="","",Productos!A975)</f>
        <v/>
      </c>
      <c r="B975" s="18" t="str">
        <f>IF(Productos!B975="","",Productos!B975)</f>
        <v/>
      </c>
      <c r="C975" s="18" t="str">
        <f>IF(Productos!$A975="","",Productos!H975)</f>
        <v/>
      </c>
      <c r="E975" s="18" t="str">
        <f t="shared" si="30"/>
        <v/>
      </c>
      <c r="F975" s="26" t="str">
        <f>IF(A975="","",IF(D975="",0,D975*Productos!G975))</f>
        <v/>
      </c>
      <c r="G975" s="26" t="str">
        <f>IF(A975="","",IF(D975="",0,D975*Productos!F975))</f>
        <v/>
      </c>
      <c r="H975" s="26" t="str">
        <f t="shared" si="31"/>
        <v/>
      </c>
      <c r="I975" t="str">
        <f>IF(A975="","",Productos!J975)</f>
        <v/>
      </c>
    </row>
    <row r="976" spans="1:9" x14ac:dyDescent="0.2">
      <c r="A976" s="18" t="str">
        <f>IF(Productos!A976="","",Productos!A976)</f>
        <v/>
      </c>
      <c r="B976" s="18" t="str">
        <f>IF(Productos!B976="","",Productos!B976)</f>
        <v/>
      </c>
      <c r="C976" s="18" t="str">
        <f>IF(Productos!$A976="","",Productos!H976)</f>
        <v/>
      </c>
      <c r="E976" s="18" t="str">
        <f t="shared" si="30"/>
        <v/>
      </c>
      <c r="F976" s="26" t="str">
        <f>IF(A976="","",IF(D976="",0,D976*Productos!G976))</f>
        <v/>
      </c>
      <c r="G976" s="26" t="str">
        <f>IF(A976="","",IF(D976="",0,D976*Productos!F976))</f>
        <v/>
      </c>
      <c r="H976" s="26" t="str">
        <f t="shared" si="31"/>
        <v/>
      </c>
      <c r="I976" t="str">
        <f>IF(A976="","",Productos!J976)</f>
        <v/>
      </c>
    </row>
    <row r="977" spans="1:9" x14ac:dyDescent="0.2">
      <c r="A977" s="18" t="str">
        <f>IF(Productos!A977="","",Productos!A977)</f>
        <v/>
      </c>
      <c r="B977" s="18" t="str">
        <f>IF(Productos!B977="","",Productos!B977)</f>
        <v/>
      </c>
      <c r="C977" s="18" t="str">
        <f>IF(Productos!$A977="","",Productos!H977)</f>
        <v/>
      </c>
      <c r="E977" s="18" t="str">
        <f t="shared" si="30"/>
        <v/>
      </c>
      <c r="F977" s="26" t="str">
        <f>IF(A977="","",IF(D977="",0,D977*Productos!G977))</f>
        <v/>
      </c>
      <c r="G977" s="26" t="str">
        <f>IF(A977="","",IF(D977="",0,D977*Productos!F977))</f>
        <v/>
      </c>
      <c r="H977" s="26" t="str">
        <f t="shared" si="31"/>
        <v/>
      </c>
      <c r="I977" t="str">
        <f>IF(A977="","",Productos!J977)</f>
        <v/>
      </c>
    </row>
    <row r="978" spans="1:9" x14ac:dyDescent="0.2">
      <c r="A978" s="18" t="str">
        <f>IF(Productos!A978="","",Productos!A978)</f>
        <v/>
      </c>
      <c r="B978" s="18" t="str">
        <f>IF(Productos!B978="","",Productos!B978)</f>
        <v/>
      </c>
      <c r="C978" s="18" t="str">
        <f>IF(Productos!$A978="","",Productos!H978)</f>
        <v/>
      </c>
      <c r="E978" s="18" t="str">
        <f t="shared" si="30"/>
        <v/>
      </c>
      <c r="F978" s="26" t="str">
        <f>IF(A978="","",IF(D978="",0,D978*Productos!G978))</f>
        <v/>
      </c>
      <c r="G978" s="26" t="str">
        <f>IF(A978="","",IF(D978="",0,D978*Productos!F978))</f>
        <v/>
      </c>
      <c r="H978" s="26" t="str">
        <f t="shared" si="31"/>
        <v/>
      </c>
      <c r="I978" t="str">
        <f>IF(A978="","",Productos!J978)</f>
        <v/>
      </c>
    </row>
    <row r="979" spans="1:9" x14ac:dyDescent="0.2">
      <c r="A979" s="18" t="str">
        <f>IF(Productos!A979="","",Productos!A979)</f>
        <v/>
      </c>
      <c r="B979" s="18" t="str">
        <f>IF(Productos!B979="","",Productos!B979)</f>
        <v/>
      </c>
      <c r="C979" s="18" t="str">
        <f>IF(Productos!$A979="","",Productos!H979)</f>
        <v/>
      </c>
      <c r="E979" s="18" t="str">
        <f t="shared" si="30"/>
        <v/>
      </c>
      <c r="F979" s="26" t="str">
        <f>IF(A979="","",IF(D979="",0,D979*Productos!G979))</f>
        <v/>
      </c>
      <c r="G979" s="26" t="str">
        <f>IF(A979="","",IF(D979="",0,D979*Productos!F979))</f>
        <v/>
      </c>
      <c r="H979" s="26" t="str">
        <f t="shared" si="31"/>
        <v/>
      </c>
      <c r="I979" t="str">
        <f>IF(A979="","",Productos!J979)</f>
        <v/>
      </c>
    </row>
    <row r="980" spans="1:9" x14ac:dyDescent="0.2">
      <c r="A980" s="18" t="str">
        <f>IF(Productos!A980="","",Productos!A980)</f>
        <v/>
      </c>
      <c r="B980" s="18" t="str">
        <f>IF(Productos!B980="","",Productos!B980)</f>
        <v/>
      </c>
      <c r="C980" s="18" t="str">
        <f>IF(Productos!$A980="","",Productos!H980)</f>
        <v/>
      </c>
      <c r="E980" s="18" t="str">
        <f t="shared" si="30"/>
        <v/>
      </c>
      <c r="F980" s="26" t="str">
        <f>IF(A980="","",IF(D980="",0,D980*Productos!G980))</f>
        <v/>
      </c>
      <c r="G980" s="26" t="str">
        <f>IF(A980="","",IF(D980="",0,D980*Productos!F980))</f>
        <v/>
      </c>
      <c r="H980" s="26" t="str">
        <f t="shared" si="31"/>
        <v/>
      </c>
      <c r="I980" t="str">
        <f>IF(A980="","",Productos!J980)</f>
        <v/>
      </c>
    </row>
    <row r="981" spans="1:9" x14ac:dyDescent="0.2">
      <c r="A981" s="18" t="str">
        <f>IF(Productos!A981="","",Productos!A981)</f>
        <v/>
      </c>
      <c r="B981" s="18" t="str">
        <f>IF(Productos!B981="","",Productos!B981)</f>
        <v/>
      </c>
      <c r="C981" s="18" t="str">
        <f>IF(Productos!$A981="","",Productos!H981)</f>
        <v/>
      </c>
      <c r="E981" s="18" t="str">
        <f t="shared" si="30"/>
        <v/>
      </c>
      <c r="F981" s="26" t="str">
        <f>IF(A981="","",IF(D981="",0,D981*Productos!G981))</f>
        <v/>
      </c>
      <c r="G981" s="26" t="str">
        <f>IF(A981="","",IF(D981="",0,D981*Productos!F981))</f>
        <v/>
      </c>
      <c r="H981" s="26" t="str">
        <f t="shared" si="31"/>
        <v/>
      </c>
      <c r="I981" t="str">
        <f>IF(A981="","",Productos!J981)</f>
        <v/>
      </c>
    </row>
    <row r="982" spans="1:9" x14ac:dyDescent="0.2">
      <c r="A982" s="18" t="str">
        <f>IF(Productos!A982="","",Productos!A982)</f>
        <v/>
      </c>
      <c r="B982" s="18" t="str">
        <f>IF(Productos!B982="","",Productos!B982)</f>
        <v/>
      </c>
      <c r="C982" s="18" t="str">
        <f>IF(Productos!$A982="","",Productos!H982)</f>
        <v/>
      </c>
      <c r="E982" s="18" t="str">
        <f t="shared" si="30"/>
        <v/>
      </c>
      <c r="F982" s="26" t="str">
        <f>IF(A982="","",IF(D982="",0,D982*Productos!G982))</f>
        <v/>
      </c>
      <c r="G982" s="26" t="str">
        <f>IF(A982="","",IF(D982="",0,D982*Productos!F982))</f>
        <v/>
      </c>
      <c r="H982" s="26" t="str">
        <f t="shared" si="31"/>
        <v/>
      </c>
      <c r="I982" t="str">
        <f>IF(A982="","",Productos!J982)</f>
        <v/>
      </c>
    </row>
    <row r="983" spans="1:9" x14ac:dyDescent="0.2">
      <c r="A983" s="18" t="str">
        <f>IF(Productos!A983="","",Productos!A983)</f>
        <v/>
      </c>
      <c r="B983" s="18" t="str">
        <f>IF(Productos!B983="","",Productos!B983)</f>
        <v/>
      </c>
      <c r="C983" s="18" t="str">
        <f>IF(Productos!$A983="","",Productos!H983)</f>
        <v/>
      </c>
      <c r="E983" s="18" t="str">
        <f t="shared" si="30"/>
        <v/>
      </c>
      <c r="F983" s="26" t="str">
        <f>IF(A983="","",IF(D983="",0,D983*Productos!G983))</f>
        <v/>
      </c>
      <c r="G983" s="26" t="str">
        <f>IF(A983="","",IF(D983="",0,D983*Productos!F983))</f>
        <v/>
      </c>
      <c r="H983" s="26" t="str">
        <f t="shared" si="31"/>
        <v/>
      </c>
      <c r="I983" t="str">
        <f>IF(A983="","",Productos!J983)</f>
        <v/>
      </c>
    </row>
    <row r="984" spans="1:9" x14ac:dyDescent="0.2">
      <c r="A984" s="18" t="str">
        <f>IF(Productos!A984="","",Productos!A984)</f>
        <v/>
      </c>
      <c r="B984" s="18" t="str">
        <f>IF(Productos!B984="","",Productos!B984)</f>
        <v/>
      </c>
      <c r="C984" s="18" t="str">
        <f>IF(Productos!$A984="","",Productos!H984)</f>
        <v/>
      </c>
      <c r="E984" s="18" t="str">
        <f t="shared" si="30"/>
        <v/>
      </c>
      <c r="F984" s="26" t="str">
        <f>IF(A984="","",IF(D984="",0,D984*Productos!G984))</f>
        <v/>
      </c>
      <c r="G984" s="26" t="str">
        <f>IF(A984="","",IF(D984="",0,D984*Productos!F984))</f>
        <v/>
      </c>
      <c r="H984" s="26" t="str">
        <f t="shared" si="31"/>
        <v/>
      </c>
      <c r="I984" t="str">
        <f>IF(A984="","",Productos!J984)</f>
        <v/>
      </c>
    </row>
    <row r="985" spans="1:9" x14ac:dyDescent="0.2">
      <c r="A985" s="18" t="str">
        <f>IF(Productos!A985="","",Productos!A985)</f>
        <v/>
      </c>
      <c r="B985" s="18" t="str">
        <f>IF(Productos!B985="","",Productos!B985)</f>
        <v/>
      </c>
      <c r="C985" s="18" t="str">
        <f>IF(Productos!$A985="","",Productos!H985)</f>
        <v/>
      </c>
      <c r="E985" s="18" t="str">
        <f t="shared" si="30"/>
        <v/>
      </c>
      <c r="F985" s="26" t="str">
        <f>IF(A985="","",IF(D985="",0,D985*Productos!G985))</f>
        <v/>
      </c>
      <c r="G985" s="26" t="str">
        <f>IF(A985="","",IF(D985="",0,D985*Productos!F985))</f>
        <v/>
      </c>
      <c r="H985" s="26" t="str">
        <f t="shared" si="31"/>
        <v/>
      </c>
      <c r="I985" t="str">
        <f>IF(A985="","",Productos!J985)</f>
        <v/>
      </c>
    </row>
    <row r="986" spans="1:9" x14ac:dyDescent="0.2">
      <c r="A986" s="18" t="str">
        <f>IF(Productos!A986="","",Productos!A986)</f>
        <v/>
      </c>
      <c r="B986" s="18" t="str">
        <f>IF(Productos!B986="","",Productos!B986)</f>
        <v/>
      </c>
      <c r="C986" s="18" t="str">
        <f>IF(Productos!$A986="","",Productos!H986)</f>
        <v/>
      </c>
      <c r="E986" s="18" t="str">
        <f t="shared" si="30"/>
        <v/>
      </c>
      <c r="F986" s="26" t="str">
        <f>IF(A986="","",IF(D986="",0,D986*Productos!G986))</f>
        <v/>
      </c>
      <c r="G986" s="26" t="str">
        <f>IF(A986="","",IF(D986="",0,D986*Productos!F986))</f>
        <v/>
      </c>
      <c r="H986" s="26" t="str">
        <f t="shared" si="31"/>
        <v/>
      </c>
      <c r="I986" t="str">
        <f>IF(A986="","",Productos!J986)</f>
        <v/>
      </c>
    </row>
    <row r="987" spans="1:9" x14ac:dyDescent="0.2">
      <c r="A987" s="18" t="str">
        <f>IF(Productos!A987="","",Productos!A987)</f>
        <v/>
      </c>
      <c r="B987" s="18" t="str">
        <f>IF(Productos!B987="","",Productos!B987)</f>
        <v/>
      </c>
      <c r="C987" s="18" t="str">
        <f>IF(Productos!$A987="","",Productos!H987)</f>
        <v/>
      </c>
      <c r="E987" s="18" t="str">
        <f t="shared" si="30"/>
        <v/>
      </c>
      <c r="F987" s="26" t="str">
        <f>IF(A987="","",IF(D987="",0,D987*Productos!G987))</f>
        <v/>
      </c>
      <c r="G987" s="26" t="str">
        <f>IF(A987="","",IF(D987="",0,D987*Productos!F987))</f>
        <v/>
      </c>
      <c r="H987" s="26" t="str">
        <f t="shared" si="31"/>
        <v/>
      </c>
      <c r="I987" t="str">
        <f>IF(A987="","",Productos!J987)</f>
        <v/>
      </c>
    </row>
    <row r="988" spans="1:9" x14ac:dyDescent="0.2">
      <c r="A988" s="18" t="str">
        <f>IF(Productos!A988="","",Productos!A988)</f>
        <v/>
      </c>
      <c r="B988" s="18" t="str">
        <f>IF(Productos!B988="","",Productos!B988)</f>
        <v/>
      </c>
      <c r="C988" s="18" t="str">
        <f>IF(Productos!$A988="","",Productos!H988)</f>
        <v/>
      </c>
      <c r="E988" s="18" t="str">
        <f t="shared" si="30"/>
        <v/>
      </c>
      <c r="F988" s="26" t="str">
        <f>IF(A988="","",IF(D988="",0,D988*Productos!G988))</f>
        <v/>
      </c>
      <c r="G988" s="26" t="str">
        <f>IF(A988="","",IF(D988="",0,D988*Productos!F988))</f>
        <v/>
      </c>
      <c r="H988" s="26" t="str">
        <f t="shared" si="31"/>
        <v/>
      </c>
      <c r="I988" t="str">
        <f>IF(A988="","",Productos!J988)</f>
        <v/>
      </c>
    </row>
    <row r="989" spans="1:9" x14ac:dyDescent="0.2">
      <c r="A989" s="18" t="str">
        <f>IF(Productos!A989="","",Productos!A989)</f>
        <v/>
      </c>
      <c r="B989" s="18" t="str">
        <f>IF(Productos!B989="","",Productos!B989)</f>
        <v/>
      </c>
      <c r="C989" s="18" t="str">
        <f>IF(Productos!$A989="","",Productos!H989)</f>
        <v/>
      </c>
      <c r="E989" s="18" t="str">
        <f t="shared" si="30"/>
        <v/>
      </c>
      <c r="F989" s="26" t="str">
        <f>IF(A989="","",IF(D989="",0,D989*Productos!G989))</f>
        <v/>
      </c>
      <c r="G989" s="26" t="str">
        <f>IF(A989="","",IF(D989="",0,D989*Productos!F989))</f>
        <v/>
      </c>
      <c r="H989" s="26" t="str">
        <f t="shared" si="31"/>
        <v/>
      </c>
      <c r="I989" t="str">
        <f>IF(A989="","",Productos!J989)</f>
        <v/>
      </c>
    </row>
    <row r="990" spans="1:9" x14ac:dyDescent="0.2">
      <c r="A990" s="18" t="str">
        <f>IF(Productos!A990="","",Productos!A990)</f>
        <v/>
      </c>
      <c r="B990" s="18" t="str">
        <f>IF(Productos!B990="","",Productos!B990)</f>
        <v/>
      </c>
      <c r="C990" s="18" t="str">
        <f>IF(Productos!$A990="","",Productos!H990)</f>
        <v/>
      </c>
      <c r="E990" s="18" t="str">
        <f t="shared" si="30"/>
        <v/>
      </c>
      <c r="F990" s="26" t="str">
        <f>IF(A990="","",IF(D990="",0,D990*Productos!G990))</f>
        <v/>
      </c>
      <c r="G990" s="26" t="str">
        <f>IF(A990="","",IF(D990="",0,D990*Productos!F990))</f>
        <v/>
      </c>
      <c r="H990" s="26" t="str">
        <f t="shared" si="31"/>
        <v/>
      </c>
      <c r="I990" t="str">
        <f>IF(A990="","",Productos!J990)</f>
        <v/>
      </c>
    </row>
    <row r="991" spans="1:9" x14ac:dyDescent="0.2">
      <c r="A991" s="18" t="str">
        <f>IF(Productos!A991="","",Productos!A991)</f>
        <v/>
      </c>
      <c r="B991" s="18" t="str">
        <f>IF(Productos!B991="","",Productos!B991)</f>
        <v/>
      </c>
      <c r="C991" s="18" t="str">
        <f>IF(Productos!$A991="","",Productos!H991)</f>
        <v/>
      </c>
      <c r="E991" s="18" t="str">
        <f t="shared" si="30"/>
        <v/>
      </c>
      <c r="F991" s="26" t="str">
        <f>IF(A991="","",IF(D991="",0,D991*Productos!G991))</f>
        <v/>
      </c>
      <c r="G991" s="26" t="str">
        <f>IF(A991="","",IF(D991="",0,D991*Productos!F991))</f>
        <v/>
      </c>
      <c r="H991" s="26" t="str">
        <f t="shared" si="31"/>
        <v/>
      </c>
      <c r="I991" t="str">
        <f>IF(A991="","",Productos!J991)</f>
        <v/>
      </c>
    </row>
    <row r="992" spans="1:9" x14ac:dyDescent="0.2">
      <c r="A992" s="18" t="str">
        <f>IF(Productos!A992="","",Productos!A992)</f>
        <v/>
      </c>
      <c r="B992" s="18" t="str">
        <f>IF(Productos!B992="","",Productos!B992)</f>
        <v/>
      </c>
      <c r="C992" s="18" t="str">
        <f>IF(Productos!$A992="","",Productos!H992)</f>
        <v/>
      </c>
      <c r="E992" s="18" t="str">
        <f t="shared" si="30"/>
        <v/>
      </c>
      <c r="F992" s="26" t="str">
        <f>IF(A992="","",IF(D992="",0,D992*Productos!G992))</f>
        <v/>
      </c>
      <c r="G992" s="26" t="str">
        <f>IF(A992="","",IF(D992="",0,D992*Productos!F992))</f>
        <v/>
      </c>
      <c r="H992" s="26" t="str">
        <f t="shared" si="31"/>
        <v/>
      </c>
      <c r="I992" t="str">
        <f>IF(A992="","",Productos!J992)</f>
        <v/>
      </c>
    </row>
    <row r="993" spans="1:9" x14ac:dyDescent="0.2">
      <c r="A993" s="18" t="str">
        <f>IF(Productos!A993="","",Productos!A993)</f>
        <v/>
      </c>
      <c r="B993" s="18" t="str">
        <f>IF(Productos!B993="","",Productos!B993)</f>
        <v/>
      </c>
      <c r="C993" s="18" t="str">
        <f>IF(Productos!$A993="","",Productos!H993)</f>
        <v/>
      </c>
      <c r="E993" s="18" t="str">
        <f t="shared" si="30"/>
        <v/>
      </c>
      <c r="F993" s="26" t="str">
        <f>IF(A993="","",IF(D993="",0,D993*Productos!G993))</f>
        <v/>
      </c>
      <c r="G993" s="26" t="str">
        <f>IF(A993="","",IF(D993="",0,D993*Productos!F993))</f>
        <v/>
      </c>
      <c r="H993" s="26" t="str">
        <f t="shared" si="31"/>
        <v/>
      </c>
      <c r="I993" t="str">
        <f>IF(A993="","",Productos!J993)</f>
        <v/>
      </c>
    </row>
    <row r="994" spans="1:9" x14ac:dyDescent="0.2">
      <c r="A994" s="18" t="str">
        <f>IF(Productos!A994="","",Productos!A994)</f>
        <v/>
      </c>
      <c r="B994" s="18" t="str">
        <f>IF(Productos!B994="","",Productos!B994)</f>
        <v/>
      </c>
      <c r="C994" s="18" t="str">
        <f>IF(Productos!$A994="","",Productos!H994)</f>
        <v/>
      </c>
      <c r="E994" s="18" t="str">
        <f t="shared" si="30"/>
        <v/>
      </c>
      <c r="F994" s="26" t="str">
        <f>IF(A994="","",IF(D994="",0,D994*Productos!G994))</f>
        <v/>
      </c>
      <c r="G994" s="26" t="str">
        <f>IF(A994="","",IF(D994="",0,D994*Productos!F994))</f>
        <v/>
      </c>
      <c r="H994" s="26" t="str">
        <f t="shared" si="31"/>
        <v/>
      </c>
      <c r="I994" t="str">
        <f>IF(A994="","",Productos!J994)</f>
        <v/>
      </c>
    </row>
    <row r="995" spans="1:9" x14ac:dyDescent="0.2">
      <c r="A995" s="18" t="str">
        <f>IF(Productos!A995="","",Productos!A995)</f>
        <v/>
      </c>
      <c r="B995" s="18" t="str">
        <f>IF(Productos!B995="","",Productos!B995)</f>
        <v/>
      </c>
      <c r="C995" s="18" t="str">
        <f>IF(Productos!$A995="","",Productos!H995)</f>
        <v/>
      </c>
      <c r="E995" s="18" t="str">
        <f t="shared" si="30"/>
        <v/>
      </c>
      <c r="F995" s="26" t="str">
        <f>IF(A995="","",IF(D995="",0,D995*Productos!G995))</f>
        <v/>
      </c>
      <c r="G995" s="26" t="str">
        <f>IF(A995="","",IF(D995="",0,D995*Productos!F995))</f>
        <v/>
      </c>
      <c r="H995" s="26" t="str">
        <f t="shared" si="31"/>
        <v/>
      </c>
      <c r="I995" t="str">
        <f>IF(A995="","",Productos!J995)</f>
        <v/>
      </c>
    </row>
    <row r="996" spans="1:9" x14ac:dyDescent="0.2">
      <c r="A996" s="18" t="str">
        <f>IF(Productos!A996="","",Productos!A996)</f>
        <v/>
      </c>
      <c r="B996" s="18" t="str">
        <f>IF(Productos!B996="","",Productos!B996)</f>
        <v/>
      </c>
      <c r="C996" s="18" t="str">
        <f>IF(Productos!$A996="","",Productos!H996)</f>
        <v/>
      </c>
      <c r="E996" s="18" t="str">
        <f t="shared" si="30"/>
        <v/>
      </c>
      <c r="F996" s="26" t="str">
        <f>IF(A996="","",IF(D996="",0,D996*Productos!G996))</f>
        <v/>
      </c>
      <c r="G996" s="26" t="str">
        <f>IF(A996="","",IF(D996="",0,D996*Productos!F996))</f>
        <v/>
      </c>
      <c r="H996" s="26" t="str">
        <f t="shared" si="31"/>
        <v/>
      </c>
      <c r="I996" t="str">
        <f>IF(A996="","",Productos!J996)</f>
        <v/>
      </c>
    </row>
    <row r="997" spans="1:9" x14ac:dyDescent="0.2">
      <c r="A997" s="18" t="str">
        <f>IF(Productos!A997="","",Productos!A997)</f>
        <v/>
      </c>
      <c r="B997" s="18" t="str">
        <f>IF(Productos!B997="","",Productos!B997)</f>
        <v/>
      </c>
      <c r="C997" s="18" t="str">
        <f>IF(Productos!$A997="","",Productos!H997)</f>
        <v/>
      </c>
      <c r="E997" s="18" t="str">
        <f t="shared" si="30"/>
        <v/>
      </c>
      <c r="F997" s="26" t="str">
        <f>IF(A997="","",IF(D997="",0,D997*Productos!G997))</f>
        <v/>
      </c>
      <c r="G997" s="26" t="str">
        <f>IF(A997="","",IF(D997="",0,D997*Productos!F997))</f>
        <v/>
      </c>
      <c r="H997" s="26" t="str">
        <f t="shared" si="31"/>
        <v/>
      </c>
      <c r="I997" t="str">
        <f>IF(A997="","",Productos!J997)</f>
        <v/>
      </c>
    </row>
    <row r="998" spans="1:9" x14ac:dyDescent="0.2">
      <c r="A998" s="18" t="str">
        <f>IF(Productos!A998="","",Productos!A998)</f>
        <v/>
      </c>
      <c r="B998" s="18" t="str">
        <f>IF(Productos!B998="","",Productos!B998)</f>
        <v/>
      </c>
      <c r="C998" s="18" t="str">
        <f>IF(Productos!$A998="","",Productos!H998)</f>
        <v/>
      </c>
      <c r="E998" s="18" t="str">
        <f t="shared" si="30"/>
        <v/>
      </c>
      <c r="F998" s="26" t="str">
        <f>IF(A998="","",IF(D998="",0,D998*Productos!G998))</f>
        <v/>
      </c>
      <c r="G998" s="26" t="str">
        <f>IF(A998="","",IF(D998="",0,D998*Productos!F998))</f>
        <v/>
      </c>
      <c r="H998" s="26" t="str">
        <f t="shared" si="31"/>
        <v/>
      </c>
      <c r="I998" t="str">
        <f>IF(A998="","",Productos!J998)</f>
        <v/>
      </c>
    </row>
    <row r="999" spans="1:9" x14ac:dyDescent="0.2">
      <c r="A999" s="18" t="str">
        <f>IF(Productos!A999="","",Productos!A999)</f>
        <v/>
      </c>
      <c r="B999" s="18" t="str">
        <f>IF(Productos!B999="","",Productos!B999)</f>
        <v/>
      </c>
      <c r="C999" s="18" t="str">
        <f>IF(Productos!$A999="","",Productos!H999)</f>
        <v/>
      </c>
      <c r="E999" s="18" t="str">
        <f t="shared" si="30"/>
        <v/>
      </c>
      <c r="F999" s="26" t="str">
        <f>IF(A999="","",IF(D999="",0,D999*Productos!G999))</f>
        <v/>
      </c>
      <c r="G999" s="26" t="str">
        <f>IF(A999="","",IF(D999="",0,D999*Productos!F999))</f>
        <v/>
      </c>
      <c r="H999" s="26" t="str">
        <f t="shared" si="31"/>
        <v/>
      </c>
      <c r="I999" t="str">
        <f>IF(A999="","",Productos!J999)</f>
        <v/>
      </c>
    </row>
    <row r="1000" spans="1:9" x14ac:dyDescent="0.2">
      <c r="A1000" s="18" t="str">
        <f>IF(Productos!A1000="","",Productos!A1000)</f>
        <v/>
      </c>
      <c r="B1000" s="18" t="str">
        <f>IF(Productos!B1000="","",Productos!B1000)</f>
        <v/>
      </c>
      <c r="C1000" s="18" t="str">
        <f>IF(Productos!$A1000="","",Productos!H1000)</f>
        <v/>
      </c>
      <c r="E1000" s="18" t="str">
        <f t="shared" si="30"/>
        <v/>
      </c>
      <c r="F1000" s="26" t="str">
        <f>IF(A1000="","",IF(D1000="",0,D1000*Productos!G1000))</f>
        <v/>
      </c>
      <c r="G1000" s="26" t="str">
        <f>IF(A1000="","",IF(D1000="",0,D1000*Productos!F1000))</f>
        <v/>
      </c>
      <c r="H1000" s="26" t="str">
        <f t="shared" si="31"/>
        <v/>
      </c>
      <c r="I1000" t="str">
        <f>IF(A1000="","",Productos!J1000)</f>
        <v/>
      </c>
    </row>
    <row r="1002" spans="1:9" x14ac:dyDescent="0.2">
      <c r="B1002" s="4" t="s">
        <v>51</v>
      </c>
      <c r="C1002" s="4"/>
      <c r="D1002" s="4"/>
      <c r="E1002" s="54">
        <f>SUMIFS(E$2:E1000,A$2:A1000,"&lt;&gt;")</f>
        <v>356</v>
      </c>
      <c r="F1002" s="53">
        <f>SUMIFS(F$2:F1000,A$2:A1000,"&lt;&gt;")</f>
        <v>8840</v>
      </c>
      <c r="G1002" s="53">
        <f>SUMIFS(G$2:G1000,A$2:A1000,"&lt;&gt;")</f>
        <v>6529.0914124635065</v>
      </c>
      <c r="H1002" s="52">
        <f>SUMIFS(H$2:H1000,A$2:A1000,"&lt;&gt;")</f>
        <v>2310.9085875364945</v>
      </c>
    </row>
  </sheetData>
  <autoFilter ref="A1:I501" xr:uid="{00000000-0001-0000-0200-000000000000}">
    <filterColumn colId="8">
      <filters>
        <filter val="Activo"/>
      </filters>
    </filterColumn>
  </autoFilter>
  <mergeCells count="1">
    <mergeCell ref="K1:O1"/>
  </mergeCells>
  <conditionalFormatting sqref="A2:H2 D3:D195 A3:C501 E3:H501 E503:H1000 A503:C1000 E1002 H1002">
    <cfRule type="expression" dxfId="4" priority="4">
      <formula>AND($B2&lt;&gt;"",$E2=0)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50E4-F973-E44B-9BCC-A4C0C9ECE157}">
  <dimension ref="A1:J200"/>
  <sheetViews>
    <sheetView zoomScale="150" zoomScaleNormal="150" workbookViewId="0">
      <pane ySplit="2" topLeftCell="A3" activePane="bottomLeft" state="frozen"/>
      <selection pane="bottomLeft" activeCell="E14" sqref="E14"/>
    </sheetView>
  </sheetViews>
  <sheetFormatPr baseColWidth="10" defaultRowHeight="15" x14ac:dyDescent="0.2"/>
  <cols>
    <col min="1" max="1" width="53.83203125" customWidth="1"/>
    <col min="2" max="2" width="18.33203125" customWidth="1"/>
    <col min="3" max="3" width="23.33203125" customWidth="1"/>
    <col min="4" max="4" width="20" customWidth="1"/>
    <col min="5" max="5" width="25" customWidth="1"/>
    <col min="6" max="6" width="18.33203125" customWidth="1"/>
    <col min="7" max="7" width="26.6640625" customWidth="1"/>
    <col min="8" max="8" width="18.33203125" customWidth="1"/>
    <col min="9" max="9" width="19.1640625" customWidth="1"/>
    <col min="10" max="10" width="16.33203125" customWidth="1"/>
  </cols>
  <sheetData>
    <row r="1" spans="1:10" ht="16" x14ac:dyDescent="0.2">
      <c r="A1" s="40" t="s">
        <v>89</v>
      </c>
      <c r="B1" s="40"/>
      <c r="C1" s="40"/>
      <c r="D1" s="40"/>
      <c r="E1" s="40"/>
      <c r="F1" s="40"/>
      <c r="I1" s="29" t="s">
        <v>0</v>
      </c>
    </row>
    <row r="2" spans="1:10" x14ac:dyDescent="0.2">
      <c r="A2" s="28" t="s">
        <v>8</v>
      </c>
      <c r="B2" s="28" t="s">
        <v>49</v>
      </c>
      <c r="C2" s="28" t="s">
        <v>90</v>
      </c>
      <c r="D2" s="28" t="s">
        <v>13</v>
      </c>
      <c r="E2" s="28" t="s">
        <v>1</v>
      </c>
      <c r="F2" s="28" t="s">
        <v>91</v>
      </c>
      <c r="I2" s="33" t="s">
        <v>1</v>
      </c>
      <c r="J2" s="32">
        <f>Resumen!B2</f>
        <v>8840</v>
      </c>
    </row>
    <row r="3" spans="1:10" x14ac:dyDescent="0.2">
      <c r="A3" t="str" cm="1">
        <f t="array" ref="A3:F15">IFERROR(_xlfn._xlws.FILTER(_xlfn.HSTACK(Ventas!B2:B1000,Ventas!D2:D1000,Productos!E2:E1000,Productos!G2:G1000,Ventas!F2:F1000,Ventas!H2:H1000),(Ventas!D2:D1000&lt;&gt;"")*(Ventas!D2:D1000&gt;0),"Sin ventas registradas"),"Sin ventas registradas")</f>
        <v>BEBIDA CELSIUS</v>
      </c>
      <c r="B3" s="3">
        <v>2</v>
      </c>
      <c r="C3" s="5">
        <v>600</v>
      </c>
      <c r="D3" s="5">
        <v>70</v>
      </c>
      <c r="E3" s="5">
        <v>140</v>
      </c>
      <c r="F3" s="5">
        <v>40</v>
      </c>
      <c r="I3" s="31" t="s">
        <v>2</v>
      </c>
      <c r="J3" s="32">
        <f>Resumen!B3</f>
        <v>6529.0914124635065</v>
      </c>
    </row>
    <row r="4" spans="1:10" x14ac:dyDescent="0.2">
      <c r="A4" t="str">
        <v>BLOOM SURTIDO</v>
      </c>
      <c r="B4" s="3">
        <v>10</v>
      </c>
      <c r="C4" s="5">
        <v>550</v>
      </c>
      <c r="D4" s="5">
        <v>65</v>
      </c>
      <c r="E4" s="5">
        <v>650</v>
      </c>
      <c r="F4" s="5">
        <v>191.66666666666663</v>
      </c>
      <c r="I4" s="31" t="s">
        <v>3</v>
      </c>
      <c r="J4" s="32">
        <f>Resumen!B4</f>
        <v>2310.9085875364945</v>
      </c>
    </row>
    <row r="5" spans="1:10" x14ac:dyDescent="0.2">
      <c r="A5" t="str">
        <v>BSN PROTEIN CRIPS 12 BARS VANILLA MARSHMALLOW *OFERTA*</v>
      </c>
      <c r="B5" s="3">
        <v>12</v>
      </c>
      <c r="C5" s="5">
        <v>600</v>
      </c>
      <c r="D5" s="5">
        <v>65</v>
      </c>
      <c r="E5" s="5">
        <v>780</v>
      </c>
      <c r="F5" s="5">
        <v>180</v>
      </c>
      <c r="I5" s="31" t="s">
        <v>4</v>
      </c>
      <c r="J5" s="32">
        <f>Resumen!B5</f>
        <v>770.30999999999983</v>
      </c>
    </row>
    <row r="6" spans="1:10" x14ac:dyDescent="0.2">
      <c r="A6" t="str">
        <v>CREATINA BIRDMAN</v>
      </c>
      <c r="B6" s="3">
        <v>3</v>
      </c>
      <c r="C6" s="5">
        <v>780</v>
      </c>
      <c r="D6" s="5">
        <v>430</v>
      </c>
      <c r="E6" s="5">
        <v>1290</v>
      </c>
      <c r="F6" s="5">
        <v>120</v>
      </c>
      <c r="I6" s="31" t="s">
        <v>5</v>
      </c>
      <c r="J6" s="32">
        <f>Resumen!B6</f>
        <v>770.30999999999983</v>
      </c>
    </row>
    <row r="7" spans="1:10" x14ac:dyDescent="0.2">
      <c r="A7" t="str">
        <v>CREATINA BIRDMAN CON ELECTROLIT</v>
      </c>
      <c r="B7" s="3">
        <v>1</v>
      </c>
      <c r="C7" s="5">
        <v>350</v>
      </c>
      <c r="D7" s="5">
        <v>430</v>
      </c>
      <c r="E7" s="5">
        <v>430</v>
      </c>
      <c r="F7" s="5">
        <v>80</v>
      </c>
      <c r="I7" s="31" t="s">
        <v>6</v>
      </c>
      <c r="J7" s="32">
        <f>Resumen!B7</f>
        <v>770.28858753649467</v>
      </c>
    </row>
    <row r="8" spans="1:10" x14ac:dyDescent="0.2">
      <c r="A8" t="str">
        <v xml:space="preserve">OUTLET ISOFLEX 5LB CHOCOLATE PEANUT BUTTER </v>
      </c>
      <c r="B8" s="3">
        <v>10</v>
      </c>
      <c r="C8" s="5">
        <v>1120</v>
      </c>
      <c r="D8" s="5">
        <v>35</v>
      </c>
      <c r="E8" s="5">
        <v>350</v>
      </c>
      <c r="F8" s="5">
        <v>190</v>
      </c>
    </row>
    <row r="9" spans="1:10" x14ac:dyDescent="0.2">
      <c r="A9" t="str">
        <v>PREENTRENO CBUM THAVAGE PWO 40 SERV 6 PEAT</v>
      </c>
      <c r="B9" s="3">
        <v>20</v>
      </c>
      <c r="C9" s="5">
        <v>600</v>
      </c>
      <c r="D9" s="5">
        <v>25</v>
      </c>
      <c r="E9" s="5">
        <v>500</v>
      </c>
      <c r="F9" s="5">
        <v>220.93023255813955</v>
      </c>
    </row>
    <row r="10" spans="1:10" x14ac:dyDescent="0.2">
      <c r="A10" t="str">
        <v>PROTEINA ISO-HD 5 LBS COOKIES BUTTER</v>
      </c>
      <c r="B10" s="3">
        <v>10</v>
      </c>
      <c r="C10" s="5">
        <v>1100</v>
      </c>
      <c r="D10" s="5">
        <v>35</v>
      </c>
      <c r="E10" s="5">
        <v>350</v>
      </c>
      <c r="F10" s="5">
        <v>192.85714285714286</v>
      </c>
    </row>
    <row r="11" spans="1:10" x14ac:dyDescent="0.2">
      <c r="A11" t="str">
        <v>PROTEINA ISOPURE ZERO CARB 4.5 LBS VAINILLA</v>
      </c>
      <c r="B11" s="3">
        <v>1</v>
      </c>
      <c r="C11" s="5">
        <v>1500</v>
      </c>
      <c r="D11" s="5">
        <v>1700</v>
      </c>
      <c r="E11" s="5">
        <v>1700</v>
      </c>
      <c r="F11" s="5">
        <v>200</v>
      </c>
    </row>
    <row r="12" spans="1:10" x14ac:dyDescent="0.2">
      <c r="A12" t="str">
        <v>PROTEINA RAW CBUM ITHOLATE 5 LBS COOKIES &amp; CREAM (UND)</v>
      </c>
      <c r="B12" s="3">
        <v>10</v>
      </c>
      <c r="C12" s="5">
        <v>1400</v>
      </c>
      <c r="D12" s="5">
        <v>35</v>
      </c>
      <c r="E12" s="5">
        <v>350</v>
      </c>
      <c r="F12" s="5">
        <v>150</v>
      </c>
    </row>
    <row r="13" spans="1:10" x14ac:dyDescent="0.2">
      <c r="A13" t="str">
        <v>RAW CBUM ESSENTIAL PWO 30 SERV JAMAICA *EDICION LIMITADA*</v>
      </c>
      <c r="B13" s="3">
        <v>20</v>
      </c>
      <c r="C13" s="5">
        <v>420</v>
      </c>
      <c r="D13" s="5">
        <v>25</v>
      </c>
      <c r="E13" s="5">
        <v>500</v>
      </c>
      <c r="F13" s="5">
        <v>245.45454545454547</v>
      </c>
    </row>
    <row r="14" spans="1:10" x14ac:dyDescent="0.2">
      <c r="A14" t="str">
        <v xml:space="preserve">RAW MY COOKIE DEALER 113 G 12 PACK MILK &amp; COOKIES </v>
      </c>
      <c r="B14" s="3">
        <v>22</v>
      </c>
      <c r="C14" s="5">
        <v>600</v>
      </c>
      <c r="D14" s="5">
        <v>70</v>
      </c>
      <c r="E14" s="5">
        <v>1540</v>
      </c>
      <c r="F14" s="5">
        <v>440</v>
      </c>
    </row>
    <row r="15" spans="1:10" x14ac:dyDescent="0.2">
      <c r="A15" t="str">
        <v>VASOS SHAKERS</v>
      </c>
      <c r="B15" s="3">
        <v>2</v>
      </c>
      <c r="C15" s="5">
        <v>300</v>
      </c>
      <c r="D15" s="5">
        <v>130</v>
      </c>
      <c r="E15" s="5">
        <v>260</v>
      </c>
      <c r="F15" s="5">
        <v>60</v>
      </c>
    </row>
    <row r="16" spans="1:10" x14ac:dyDescent="0.2">
      <c r="B16" s="3"/>
      <c r="C16" s="5"/>
      <c r="D16" s="5"/>
      <c r="E16" s="5"/>
      <c r="F16" s="5"/>
    </row>
    <row r="17" spans="2:6" x14ac:dyDescent="0.2">
      <c r="B17" s="3"/>
      <c r="C17" s="5"/>
      <c r="D17" s="5"/>
      <c r="E17" s="5"/>
      <c r="F17" s="5"/>
    </row>
    <row r="18" spans="2:6" x14ac:dyDescent="0.2">
      <c r="B18" s="3"/>
      <c r="C18" s="5"/>
      <c r="D18" s="5"/>
      <c r="E18" s="5"/>
      <c r="F18" s="5"/>
    </row>
    <row r="19" spans="2:6" x14ac:dyDescent="0.2">
      <c r="B19" s="3"/>
      <c r="C19" s="5"/>
      <c r="D19" s="5"/>
      <c r="E19" s="5"/>
      <c r="F19" s="5"/>
    </row>
    <row r="20" spans="2:6" x14ac:dyDescent="0.2">
      <c r="B20" s="3"/>
      <c r="C20" s="5"/>
      <c r="D20" s="5"/>
      <c r="E20" s="5"/>
      <c r="F20" s="5"/>
    </row>
    <row r="21" spans="2:6" x14ac:dyDescent="0.2">
      <c r="B21" s="3"/>
      <c r="C21" s="5"/>
      <c r="D21" s="5"/>
      <c r="E21" s="5"/>
      <c r="F21" s="5"/>
    </row>
    <row r="22" spans="2:6" x14ac:dyDescent="0.2">
      <c r="B22" s="3"/>
      <c r="C22" s="5"/>
      <c r="D22" s="5"/>
      <c r="E22" s="5"/>
      <c r="F22" s="5"/>
    </row>
    <row r="23" spans="2:6" x14ac:dyDescent="0.2">
      <c r="B23" s="3"/>
      <c r="C23" s="5"/>
      <c r="D23" s="5"/>
      <c r="E23" s="5"/>
      <c r="F23" s="5"/>
    </row>
    <row r="24" spans="2:6" x14ac:dyDescent="0.2">
      <c r="B24" s="3"/>
      <c r="C24" s="5"/>
      <c r="D24" s="5"/>
      <c r="E24" s="5"/>
      <c r="F24" s="5"/>
    </row>
    <row r="25" spans="2:6" x14ac:dyDescent="0.2">
      <c r="B25" s="3"/>
      <c r="C25" s="5"/>
      <c r="D25" s="5"/>
      <c r="E25" s="5"/>
      <c r="F25" s="5"/>
    </row>
    <row r="26" spans="2:6" x14ac:dyDescent="0.2">
      <c r="B26" s="3"/>
      <c r="C26" s="5"/>
      <c r="D26" s="5"/>
      <c r="E26" s="5"/>
      <c r="F26" s="5"/>
    </row>
    <row r="27" spans="2:6" x14ac:dyDescent="0.2">
      <c r="B27" s="3"/>
      <c r="C27" s="5"/>
      <c r="D27" s="5"/>
      <c r="E27" s="5"/>
      <c r="F27" s="5"/>
    </row>
    <row r="28" spans="2:6" x14ac:dyDescent="0.2">
      <c r="B28" s="3"/>
      <c r="C28" s="5"/>
      <c r="D28" s="5"/>
      <c r="E28" s="5"/>
      <c r="F28" s="5"/>
    </row>
    <row r="29" spans="2:6" x14ac:dyDescent="0.2">
      <c r="B29" s="3"/>
      <c r="C29" s="5"/>
      <c r="D29" s="5"/>
      <c r="E29" s="5"/>
      <c r="F29" s="5"/>
    </row>
    <row r="30" spans="2:6" x14ac:dyDescent="0.2">
      <c r="B30" s="3"/>
      <c r="C30" s="5"/>
      <c r="D30" s="5"/>
      <c r="E30" s="5"/>
      <c r="F30" s="5"/>
    </row>
    <row r="31" spans="2:6" x14ac:dyDescent="0.2">
      <c r="B31" s="3"/>
      <c r="C31" s="5"/>
      <c r="D31" s="5"/>
      <c r="E31" s="5"/>
      <c r="F31" s="5"/>
    </row>
    <row r="32" spans="2:6" x14ac:dyDescent="0.2">
      <c r="B32" s="3"/>
      <c r="C32" s="5"/>
      <c r="D32" s="5"/>
      <c r="E32" s="5"/>
      <c r="F32" s="5"/>
    </row>
    <row r="33" spans="2:6" x14ac:dyDescent="0.2">
      <c r="B33" s="3"/>
      <c r="C33" s="5"/>
      <c r="D33" s="5"/>
      <c r="E33" s="5"/>
      <c r="F33" s="5"/>
    </row>
    <row r="34" spans="2:6" x14ac:dyDescent="0.2">
      <c r="B34" s="3"/>
      <c r="C34" s="5"/>
      <c r="D34" s="5"/>
      <c r="E34" s="5"/>
      <c r="F34" s="5"/>
    </row>
    <row r="35" spans="2:6" x14ac:dyDescent="0.2">
      <c r="B35" s="3"/>
      <c r="C35" s="5"/>
      <c r="D35" s="5"/>
      <c r="E35" s="5"/>
      <c r="F35" s="5"/>
    </row>
    <row r="36" spans="2:6" x14ac:dyDescent="0.2">
      <c r="B36" s="3"/>
      <c r="C36" s="5"/>
      <c r="D36" s="5"/>
      <c r="E36" s="5"/>
      <c r="F36" s="5"/>
    </row>
    <row r="37" spans="2:6" x14ac:dyDescent="0.2">
      <c r="B37" s="3"/>
      <c r="C37" s="5"/>
      <c r="D37" s="5"/>
      <c r="E37" s="5"/>
      <c r="F37" s="5"/>
    </row>
    <row r="38" spans="2:6" x14ac:dyDescent="0.2">
      <c r="B38" s="3"/>
      <c r="C38" s="5"/>
      <c r="D38" s="5"/>
      <c r="E38" s="5"/>
      <c r="F38" s="5"/>
    </row>
    <row r="39" spans="2:6" x14ac:dyDescent="0.2">
      <c r="B39" s="3"/>
      <c r="C39" s="5"/>
      <c r="D39" s="5"/>
      <c r="E39" s="5"/>
      <c r="F39" s="5"/>
    </row>
    <row r="40" spans="2:6" x14ac:dyDescent="0.2">
      <c r="B40" s="3"/>
      <c r="C40" s="5"/>
      <c r="D40" s="5"/>
      <c r="E40" s="5"/>
      <c r="F40" s="5"/>
    </row>
    <row r="41" spans="2:6" x14ac:dyDescent="0.2">
      <c r="B41" s="3"/>
      <c r="C41" s="5"/>
      <c r="D41" s="5"/>
      <c r="E41" s="5"/>
      <c r="F41" s="5"/>
    </row>
    <row r="42" spans="2:6" x14ac:dyDescent="0.2">
      <c r="B42" s="3"/>
      <c r="C42" s="5"/>
      <c r="D42" s="5"/>
      <c r="E42" s="5"/>
      <c r="F42" s="5"/>
    </row>
    <row r="43" spans="2:6" x14ac:dyDescent="0.2">
      <c r="B43" s="3"/>
      <c r="C43" s="5"/>
      <c r="D43" s="5"/>
      <c r="E43" s="5"/>
      <c r="F43" s="5"/>
    </row>
    <row r="44" spans="2:6" x14ac:dyDescent="0.2">
      <c r="B44" s="3"/>
      <c r="C44" s="5"/>
      <c r="D44" s="5"/>
      <c r="E44" s="5"/>
      <c r="F44" s="5"/>
    </row>
    <row r="45" spans="2:6" x14ac:dyDescent="0.2">
      <c r="B45" s="3"/>
      <c r="C45" s="5"/>
      <c r="D45" s="5"/>
      <c r="E45" s="5"/>
      <c r="F45" s="5"/>
    </row>
    <row r="46" spans="2:6" x14ac:dyDescent="0.2">
      <c r="B46" s="3"/>
      <c r="C46" s="5"/>
      <c r="D46" s="5"/>
      <c r="E46" s="5"/>
      <c r="F46" s="5"/>
    </row>
    <row r="47" spans="2:6" x14ac:dyDescent="0.2">
      <c r="B47" s="3"/>
      <c r="C47" s="5"/>
      <c r="D47" s="5"/>
      <c r="E47" s="5"/>
      <c r="F47" s="5"/>
    </row>
    <row r="48" spans="2:6" x14ac:dyDescent="0.2">
      <c r="B48" s="3"/>
      <c r="C48" s="5"/>
      <c r="D48" s="5"/>
      <c r="E48" s="5"/>
      <c r="F48" s="5"/>
    </row>
    <row r="49" spans="2:6" x14ac:dyDescent="0.2">
      <c r="B49" s="3"/>
      <c r="C49" s="5"/>
      <c r="D49" s="5"/>
      <c r="E49" s="5"/>
      <c r="F49" s="5"/>
    </row>
    <row r="50" spans="2:6" x14ac:dyDescent="0.2">
      <c r="B50" s="3"/>
      <c r="C50" s="5"/>
      <c r="D50" s="5"/>
      <c r="E50" s="5"/>
      <c r="F50" s="5"/>
    </row>
    <row r="51" spans="2:6" x14ac:dyDescent="0.2">
      <c r="B51" s="3"/>
      <c r="C51" s="5"/>
      <c r="D51" s="5"/>
      <c r="E51" s="5"/>
      <c r="F51" s="5"/>
    </row>
    <row r="52" spans="2:6" x14ac:dyDescent="0.2">
      <c r="B52" s="3"/>
      <c r="C52" s="5"/>
      <c r="D52" s="5"/>
      <c r="E52" s="5"/>
      <c r="F52" s="5"/>
    </row>
    <row r="53" spans="2:6" x14ac:dyDescent="0.2">
      <c r="B53" s="3"/>
      <c r="C53" s="5"/>
      <c r="D53" s="5"/>
      <c r="E53" s="5"/>
      <c r="F53" s="5"/>
    </row>
    <row r="54" spans="2:6" x14ac:dyDescent="0.2">
      <c r="B54" s="3"/>
      <c r="C54" s="5"/>
      <c r="D54" s="5"/>
      <c r="E54" s="5"/>
      <c r="F54" s="5"/>
    </row>
    <row r="55" spans="2:6" x14ac:dyDescent="0.2">
      <c r="B55" s="3"/>
      <c r="C55" s="5"/>
      <c r="D55" s="5"/>
      <c r="E55" s="5"/>
      <c r="F55" s="5"/>
    </row>
    <row r="56" spans="2:6" x14ac:dyDescent="0.2">
      <c r="B56" s="3"/>
      <c r="C56" s="5"/>
      <c r="D56" s="5"/>
      <c r="E56" s="5"/>
      <c r="F56" s="5"/>
    </row>
    <row r="57" spans="2:6" x14ac:dyDescent="0.2">
      <c r="B57" s="3"/>
      <c r="C57" s="5"/>
      <c r="D57" s="5"/>
      <c r="E57" s="5"/>
      <c r="F57" s="5"/>
    </row>
    <row r="58" spans="2:6" x14ac:dyDescent="0.2">
      <c r="B58" s="3"/>
      <c r="C58" s="5"/>
      <c r="D58" s="5"/>
      <c r="E58" s="5"/>
      <c r="F58" s="5"/>
    </row>
    <row r="59" spans="2:6" x14ac:dyDescent="0.2">
      <c r="B59" s="3"/>
      <c r="C59" s="5"/>
      <c r="D59" s="5"/>
      <c r="E59" s="5"/>
      <c r="F59" s="5"/>
    </row>
    <row r="60" spans="2:6" x14ac:dyDescent="0.2">
      <c r="B60" s="3"/>
      <c r="C60" s="5"/>
      <c r="D60" s="5"/>
      <c r="E60" s="5"/>
      <c r="F60" s="5"/>
    </row>
    <row r="61" spans="2:6" x14ac:dyDescent="0.2">
      <c r="B61" s="3"/>
      <c r="C61" s="5"/>
      <c r="D61" s="5"/>
      <c r="E61" s="5"/>
      <c r="F61" s="5"/>
    </row>
    <row r="62" spans="2:6" x14ac:dyDescent="0.2">
      <c r="B62" s="3"/>
      <c r="C62" s="5"/>
      <c r="D62" s="5"/>
      <c r="E62" s="5"/>
      <c r="F62" s="5"/>
    </row>
    <row r="63" spans="2:6" x14ac:dyDescent="0.2">
      <c r="B63" s="3"/>
      <c r="C63" s="5"/>
      <c r="D63" s="5"/>
      <c r="E63" s="5"/>
      <c r="F63" s="5"/>
    </row>
    <row r="64" spans="2:6" x14ac:dyDescent="0.2">
      <c r="B64" s="3"/>
      <c r="C64" s="5"/>
      <c r="D64" s="5"/>
      <c r="E64" s="5"/>
      <c r="F64" s="5"/>
    </row>
    <row r="65" spans="2:6" x14ac:dyDescent="0.2">
      <c r="B65" s="3"/>
      <c r="C65" s="5"/>
      <c r="D65" s="5"/>
      <c r="E65" s="5"/>
      <c r="F65" s="5"/>
    </row>
    <row r="66" spans="2:6" x14ac:dyDescent="0.2">
      <c r="B66" s="3"/>
      <c r="C66" s="5"/>
      <c r="D66" s="5"/>
      <c r="E66" s="5"/>
      <c r="F66" s="5"/>
    </row>
    <row r="67" spans="2:6" x14ac:dyDescent="0.2">
      <c r="B67" s="3"/>
      <c r="C67" s="5"/>
      <c r="D67" s="5"/>
      <c r="E67" s="5"/>
      <c r="F67" s="5"/>
    </row>
    <row r="68" spans="2:6" x14ac:dyDescent="0.2">
      <c r="B68" s="3"/>
      <c r="C68" s="5"/>
      <c r="D68" s="5"/>
      <c r="E68" s="5"/>
      <c r="F68" s="5"/>
    </row>
    <row r="69" spans="2:6" x14ac:dyDescent="0.2">
      <c r="B69" s="3"/>
      <c r="C69" s="5"/>
      <c r="D69" s="5"/>
      <c r="E69" s="5"/>
      <c r="F69" s="5"/>
    </row>
    <row r="70" spans="2:6" x14ac:dyDescent="0.2">
      <c r="B70" s="3"/>
      <c r="C70" s="5"/>
      <c r="D70" s="5"/>
      <c r="E70" s="5"/>
      <c r="F70" s="5"/>
    </row>
    <row r="71" spans="2:6" x14ac:dyDescent="0.2">
      <c r="B71" s="3"/>
      <c r="C71" s="5"/>
      <c r="D71" s="5"/>
      <c r="E71" s="5"/>
      <c r="F71" s="5"/>
    </row>
    <row r="72" spans="2:6" x14ac:dyDescent="0.2">
      <c r="B72" s="3"/>
      <c r="C72" s="5"/>
      <c r="D72" s="5"/>
      <c r="E72" s="5"/>
      <c r="F72" s="5"/>
    </row>
    <row r="73" spans="2:6" x14ac:dyDescent="0.2">
      <c r="B73" s="3"/>
      <c r="C73" s="5"/>
      <c r="D73" s="5"/>
      <c r="E73" s="5"/>
      <c r="F73" s="5"/>
    </row>
    <row r="74" spans="2:6" x14ac:dyDescent="0.2">
      <c r="B74" s="3"/>
      <c r="C74" s="5"/>
      <c r="D74" s="5"/>
      <c r="E74" s="5"/>
      <c r="F74" s="5"/>
    </row>
    <row r="75" spans="2:6" x14ac:dyDescent="0.2">
      <c r="B75" s="3"/>
      <c r="C75" s="5"/>
      <c r="D75" s="5"/>
      <c r="E75" s="5"/>
      <c r="F75" s="5"/>
    </row>
    <row r="76" spans="2:6" x14ac:dyDescent="0.2">
      <c r="B76" s="3"/>
      <c r="C76" s="5"/>
      <c r="D76" s="5"/>
      <c r="E76" s="5"/>
      <c r="F76" s="5"/>
    </row>
    <row r="77" spans="2:6" x14ac:dyDescent="0.2">
      <c r="B77" s="3"/>
      <c r="C77" s="5"/>
      <c r="D77" s="5"/>
      <c r="E77" s="5"/>
      <c r="F77" s="5"/>
    </row>
    <row r="78" spans="2:6" x14ac:dyDescent="0.2">
      <c r="B78" s="3"/>
      <c r="C78" s="5"/>
      <c r="D78" s="5"/>
      <c r="E78" s="5"/>
      <c r="F78" s="5"/>
    </row>
    <row r="79" spans="2:6" x14ac:dyDescent="0.2">
      <c r="B79" s="3"/>
      <c r="C79" s="5"/>
      <c r="D79" s="5"/>
      <c r="E79" s="5"/>
      <c r="F79" s="5"/>
    </row>
    <row r="80" spans="2:6" x14ac:dyDescent="0.2">
      <c r="B80" s="3"/>
      <c r="C80" s="5"/>
      <c r="D80" s="5"/>
      <c r="E80" s="5"/>
      <c r="F80" s="5"/>
    </row>
    <row r="81" spans="2:6" x14ac:dyDescent="0.2">
      <c r="B81" s="3"/>
      <c r="C81" s="5"/>
      <c r="D81" s="5"/>
      <c r="E81" s="5"/>
      <c r="F81" s="5"/>
    </row>
    <row r="82" spans="2:6" x14ac:dyDescent="0.2">
      <c r="B82" s="3"/>
      <c r="C82" s="5"/>
      <c r="D82" s="5"/>
      <c r="E82" s="5"/>
      <c r="F82" s="5"/>
    </row>
    <row r="83" spans="2:6" x14ac:dyDescent="0.2">
      <c r="B83" s="3"/>
      <c r="C83" s="5"/>
      <c r="D83" s="5"/>
      <c r="E83" s="5"/>
      <c r="F83" s="5"/>
    </row>
    <row r="84" spans="2:6" x14ac:dyDescent="0.2">
      <c r="B84" s="3"/>
      <c r="C84" s="5"/>
      <c r="D84" s="5"/>
      <c r="E84" s="5"/>
      <c r="F84" s="5"/>
    </row>
    <row r="85" spans="2:6" x14ac:dyDescent="0.2">
      <c r="B85" s="3"/>
      <c r="C85" s="5"/>
      <c r="D85" s="5"/>
      <c r="E85" s="5"/>
      <c r="F85" s="5"/>
    </row>
    <row r="86" spans="2:6" x14ac:dyDescent="0.2">
      <c r="B86" s="3"/>
      <c r="C86" s="5"/>
      <c r="D86" s="5"/>
      <c r="E86" s="5"/>
      <c r="F86" s="5"/>
    </row>
    <row r="87" spans="2:6" x14ac:dyDescent="0.2">
      <c r="B87" s="3"/>
      <c r="C87" s="5"/>
      <c r="D87" s="5"/>
      <c r="E87" s="5"/>
      <c r="F87" s="5"/>
    </row>
    <row r="88" spans="2:6" x14ac:dyDescent="0.2">
      <c r="B88" s="3"/>
      <c r="C88" s="5"/>
      <c r="D88" s="5"/>
      <c r="E88" s="5"/>
      <c r="F88" s="5"/>
    </row>
    <row r="89" spans="2:6" x14ac:dyDescent="0.2">
      <c r="B89" s="3"/>
      <c r="C89" s="5"/>
      <c r="D89" s="5"/>
      <c r="E89" s="5"/>
      <c r="F89" s="5"/>
    </row>
    <row r="90" spans="2:6" x14ac:dyDescent="0.2">
      <c r="B90" s="3"/>
      <c r="C90" s="5"/>
      <c r="D90" s="5"/>
      <c r="E90" s="5"/>
      <c r="F90" s="5"/>
    </row>
    <row r="91" spans="2:6" x14ac:dyDescent="0.2">
      <c r="B91" s="3"/>
      <c r="C91" s="5"/>
      <c r="D91" s="5"/>
      <c r="E91" s="5"/>
      <c r="F91" s="5"/>
    </row>
    <row r="92" spans="2:6" x14ac:dyDescent="0.2">
      <c r="B92" s="3"/>
      <c r="C92" s="5"/>
      <c r="D92" s="5"/>
      <c r="E92" s="5"/>
      <c r="F92" s="5"/>
    </row>
    <row r="93" spans="2:6" x14ac:dyDescent="0.2">
      <c r="B93" s="3"/>
      <c r="C93" s="5"/>
      <c r="D93" s="5"/>
      <c r="E93" s="5"/>
      <c r="F93" s="5"/>
    </row>
    <row r="94" spans="2:6" x14ac:dyDescent="0.2">
      <c r="B94" s="3"/>
      <c r="C94" s="5"/>
      <c r="D94" s="5"/>
      <c r="E94" s="5"/>
      <c r="F94" s="5"/>
    </row>
    <row r="95" spans="2:6" x14ac:dyDescent="0.2">
      <c r="B95" s="3"/>
      <c r="C95" s="5"/>
      <c r="D95" s="5"/>
      <c r="E95" s="5"/>
      <c r="F95" s="5"/>
    </row>
    <row r="96" spans="2:6" x14ac:dyDescent="0.2">
      <c r="B96" s="3"/>
      <c r="C96" s="5"/>
      <c r="D96" s="5"/>
      <c r="E96" s="5"/>
      <c r="F96" s="5"/>
    </row>
    <row r="97" spans="2:6" x14ac:dyDescent="0.2">
      <c r="B97" s="3"/>
      <c r="C97" s="5"/>
      <c r="D97" s="5"/>
      <c r="E97" s="5"/>
      <c r="F97" s="5"/>
    </row>
    <row r="98" spans="2:6" x14ac:dyDescent="0.2">
      <c r="B98" s="3"/>
      <c r="C98" s="5"/>
      <c r="D98" s="5"/>
      <c r="E98" s="5"/>
      <c r="F98" s="5"/>
    </row>
    <row r="99" spans="2:6" x14ac:dyDescent="0.2">
      <c r="B99" s="3"/>
      <c r="C99" s="5"/>
      <c r="D99" s="5"/>
      <c r="E99" s="5"/>
      <c r="F99" s="5"/>
    </row>
    <row r="100" spans="2:6" x14ac:dyDescent="0.2">
      <c r="B100" s="3"/>
      <c r="C100" s="5"/>
      <c r="D100" s="5"/>
      <c r="E100" s="5"/>
      <c r="F100" s="5"/>
    </row>
    <row r="101" spans="2:6" x14ac:dyDescent="0.2">
      <c r="B101" s="3"/>
      <c r="C101" s="5"/>
      <c r="D101" s="5"/>
      <c r="E101" s="5"/>
      <c r="F101" s="5"/>
    </row>
    <row r="102" spans="2:6" x14ac:dyDescent="0.2">
      <c r="B102" s="3"/>
      <c r="C102" s="5"/>
      <c r="D102" s="5"/>
      <c r="E102" s="5"/>
      <c r="F102" s="5"/>
    </row>
    <row r="103" spans="2:6" x14ac:dyDescent="0.2">
      <c r="B103" s="3"/>
      <c r="C103" s="5"/>
      <c r="D103" s="5"/>
      <c r="E103" s="5"/>
      <c r="F103" s="5"/>
    </row>
    <row r="104" spans="2:6" x14ac:dyDescent="0.2">
      <c r="B104" s="3"/>
      <c r="C104" s="5"/>
      <c r="D104" s="5"/>
      <c r="E104" s="5"/>
      <c r="F104" s="5"/>
    </row>
    <row r="105" spans="2:6" x14ac:dyDescent="0.2">
      <c r="B105" s="3"/>
      <c r="C105" s="5"/>
      <c r="D105" s="5"/>
      <c r="E105" s="5"/>
      <c r="F105" s="5"/>
    </row>
    <row r="106" spans="2:6" x14ac:dyDescent="0.2">
      <c r="B106" s="3"/>
      <c r="C106" s="5"/>
      <c r="D106" s="5"/>
      <c r="E106" s="5"/>
      <c r="F106" s="5"/>
    </row>
    <row r="107" spans="2:6" x14ac:dyDescent="0.2">
      <c r="B107" s="3"/>
      <c r="C107" s="5"/>
      <c r="D107" s="5"/>
      <c r="E107" s="5"/>
      <c r="F107" s="5"/>
    </row>
    <row r="108" spans="2:6" x14ac:dyDescent="0.2">
      <c r="B108" s="3"/>
      <c r="C108" s="5"/>
      <c r="D108" s="5"/>
      <c r="E108" s="5"/>
      <c r="F108" s="5"/>
    </row>
    <row r="109" spans="2:6" x14ac:dyDescent="0.2">
      <c r="B109" s="3"/>
      <c r="C109" s="5"/>
      <c r="D109" s="5"/>
      <c r="E109" s="5"/>
      <c r="F109" s="5"/>
    </row>
    <row r="110" spans="2:6" x14ac:dyDescent="0.2">
      <c r="B110" s="3"/>
      <c r="C110" s="5"/>
      <c r="D110" s="5"/>
      <c r="E110" s="5"/>
      <c r="F110" s="5"/>
    </row>
    <row r="111" spans="2:6" x14ac:dyDescent="0.2">
      <c r="B111" s="3"/>
      <c r="C111" s="5"/>
      <c r="D111" s="5"/>
      <c r="E111" s="5"/>
      <c r="F111" s="5"/>
    </row>
    <row r="112" spans="2:6" x14ac:dyDescent="0.2">
      <c r="B112" s="3"/>
      <c r="C112" s="5"/>
      <c r="D112" s="5"/>
      <c r="E112" s="5"/>
      <c r="F112" s="5"/>
    </row>
    <row r="113" spans="2:6" x14ac:dyDescent="0.2">
      <c r="B113" s="3"/>
      <c r="C113" s="5"/>
      <c r="D113" s="5"/>
      <c r="E113" s="5"/>
      <c r="F113" s="5"/>
    </row>
    <row r="114" spans="2:6" x14ac:dyDescent="0.2">
      <c r="B114" s="3"/>
      <c r="C114" s="5"/>
      <c r="D114" s="5"/>
      <c r="E114" s="5"/>
      <c r="F114" s="5"/>
    </row>
    <row r="115" spans="2:6" x14ac:dyDescent="0.2">
      <c r="B115" s="3"/>
      <c r="C115" s="5"/>
      <c r="D115" s="5"/>
      <c r="E115" s="5"/>
      <c r="F115" s="5"/>
    </row>
    <row r="116" spans="2:6" x14ac:dyDescent="0.2">
      <c r="B116" s="3"/>
      <c r="C116" s="5"/>
      <c r="D116" s="5"/>
      <c r="E116" s="5"/>
      <c r="F116" s="5"/>
    </row>
    <row r="117" spans="2:6" x14ac:dyDescent="0.2">
      <c r="B117" s="3"/>
      <c r="C117" s="5"/>
      <c r="D117" s="5"/>
      <c r="E117" s="5"/>
      <c r="F117" s="5"/>
    </row>
    <row r="118" spans="2:6" x14ac:dyDescent="0.2">
      <c r="B118" s="3"/>
      <c r="C118" s="5"/>
      <c r="D118" s="5"/>
      <c r="E118" s="5"/>
      <c r="F118" s="5"/>
    </row>
    <row r="119" spans="2:6" x14ac:dyDescent="0.2">
      <c r="B119" s="3"/>
      <c r="C119" s="5"/>
      <c r="D119" s="5"/>
      <c r="E119" s="5"/>
      <c r="F119" s="5"/>
    </row>
    <row r="120" spans="2:6" x14ac:dyDescent="0.2">
      <c r="B120" s="3"/>
      <c r="C120" s="5"/>
      <c r="D120" s="5"/>
      <c r="E120" s="5"/>
      <c r="F120" s="5"/>
    </row>
    <row r="121" spans="2:6" x14ac:dyDescent="0.2">
      <c r="B121" s="3"/>
      <c r="C121" s="5"/>
      <c r="D121" s="5"/>
      <c r="E121" s="5"/>
      <c r="F121" s="5"/>
    </row>
    <row r="122" spans="2:6" x14ac:dyDescent="0.2">
      <c r="B122" s="3"/>
      <c r="C122" s="5"/>
      <c r="D122" s="5"/>
      <c r="E122" s="5"/>
      <c r="F122" s="5"/>
    </row>
    <row r="123" spans="2:6" x14ac:dyDescent="0.2">
      <c r="B123" s="3"/>
      <c r="C123" s="5"/>
      <c r="D123" s="5"/>
      <c r="E123" s="5"/>
      <c r="F123" s="5"/>
    </row>
    <row r="124" spans="2:6" x14ac:dyDescent="0.2">
      <c r="B124" s="3"/>
      <c r="C124" s="5"/>
      <c r="D124" s="5"/>
      <c r="E124" s="5"/>
      <c r="F124" s="5"/>
    </row>
    <row r="125" spans="2:6" x14ac:dyDescent="0.2">
      <c r="B125" s="3"/>
      <c r="C125" s="5"/>
      <c r="D125" s="5"/>
      <c r="E125" s="5"/>
      <c r="F125" s="5"/>
    </row>
    <row r="126" spans="2:6" x14ac:dyDescent="0.2">
      <c r="B126" s="3"/>
      <c r="C126" s="5"/>
      <c r="D126" s="5"/>
      <c r="E126" s="5"/>
      <c r="F126" s="5"/>
    </row>
    <row r="127" spans="2:6" x14ac:dyDescent="0.2">
      <c r="B127" s="3"/>
      <c r="C127" s="5"/>
      <c r="D127" s="5"/>
      <c r="E127" s="5"/>
      <c r="F127" s="5"/>
    </row>
    <row r="128" spans="2:6" x14ac:dyDescent="0.2">
      <c r="B128" s="3"/>
      <c r="C128" s="5"/>
      <c r="D128" s="5"/>
      <c r="E128" s="5"/>
      <c r="F128" s="5"/>
    </row>
    <row r="129" spans="2:6" x14ac:dyDescent="0.2">
      <c r="B129" s="3"/>
      <c r="C129" s="5"/>
      <c r="D129" s="5"/>
      <c r="E129" s="5"/>
      <c r="F129" s="5"/>
    </row>
    <row r="130" spans="2:6" x14ac:dyDescent="0.2">
      <c r="B130" s="3"/>
      <c r="C130" s="5"/>
      <c r="D130" s="5"/>
      <c r="E130" s="5"/>
      <c r="F130" s="5"/>
    </row>
    <row r="131" spans="2:6" x14ac:dyDescent="0.2">
      <c r="B131" s="3"/>
      <c r="C131" s="5"/>
      <c r="D131" s="5"/>
      <c r="E131" s="5"/>
      <c r="F131" s="5"/>
    </row>
    <row r="132" spans="2:6" x14ac:dyDescent="0.2">
      <c r="B132" s="3"/>
      <c r="C132" s="5"/>
      <c r="D132" s="5"/>
      <c r="E132" s="5"/>
      <c r="F132" s="5"/>
    </row>
    <row r="133" spans="2:6" x14ac:dyDescent="0.2">
      <c r="B133" s="3"/>
      <c r="C133" s="5"/>
      <c r="D133" s="5"/>
      <c r="E133" s="5"/>
      <c r="F133" s="5"/>
    </row>
    <row r="134" spans="2:6" x14ac:dyDescent="0.2">
      <c r="B134" s="3"/>
      <c r="C134" s="5"/>
      <c r="D134" s="5"/>
      <c r="E134" s="5"/>
      <c r="F134" s="5"/>
    </row>
    <row r="135" spans="2:6" x14ac:dyDescent="0.2">
      <c r="B135" s="3"/>
      <c r="C135" s="5"/>
      <c r="D135" s="5"/>
      <c r="E135" s="5"/>
      <c r="F135" s="5"/>
    </row>
    <row r="136" spans="2:6" x14ac:dyDescent="0.2">
      <c r="B136" s="3"/>
      <c r="C136" s="5"/>
      <c r="D136" s="5"/>
      <c r="E136" s="5"/>
      <c r="F136" s="5"/>
    </row>
    <row r="137" spans="2:6" x14ac:dyDescent="0.2">
      <c r="B137" s="3"/>
      <c r="C137" s="5"/>
      <c r="D137" s="5"/>
      <c r="E137" s="5"/>
      <c r="F137" s="5"/>
    </row>
    <row r="138" spans="2:6" x14ac:dyDescent="0.2">
      <c r="B138" s="3"/>
      <c r="C138" s="5"/>
      <c r="D138" s="5"/>
      <c r="E138" s="5"/>
      <c r="F138" s="5"/>
    </row>
    <row r="139" spans="2:6" x14ac:dyDescent="0.2">
      <c r="B139" s="3"/>
      <c r="C139" s="5"/>
      <c r="D139" s="5"/>
      <c r="E139" s="5"/>
      <c r="F139" s="5"/>
    </row>
    <row r="140" spans="2:6" x14ac:dyDescent="0.2">
      <c r="B140" s="3"/>
      <c r="C140" s="5"/>
      <c r="D140" s="5"/>
      <c r="E140" s="5"/>
      <c r="F140" s="5"/>
    </row>
    <row r="141" spans="2:6" x14ac:dyDescent="0.2">
      <c r="B141" s="3"/>
      <c r="C141" s="5"/>
      <c r="D141" s="5"/>
      <c r="E141" s="5"/>
      <c r="F141" s="5"/>
    </row>
    <row r="142" spans="2:6" x14ac:dyDescent="0.2">
      <c r="B142" s="3"/>
      <c r="C142" s="5"/>
      <c r="D142" s="5"/>
      <c r="E142" s="5"/>
      <c r="F142" s="5"/>
    </row>
    <row r="143" spans="2:6" x14ac:dyDescent="0.2">
      <c r="B143" s="3"/>
      <c r="C143" s="5"/>
      <c r="D143" s="5"/>
      <c r="E143" s="5"/>
      <c r="F143" s="5"/>
    </row>
    <row r="144" spans="2:6" x14ac:dyDescent="0.2">
      <c r="B144" s="3"/>
      <c r="C144" s="5"/>
      <c r="D144" s="5"/>
      <c r="E144" s="5"/>
      <c r="F144" s="5"/>
    </row>
    <row r="145" spans="2:6" x14ac:dyDescent="0.2">
      <c r="B145" s="3"/>
      <c r="C145" s="5"/>
      <c r="D145" s="5"/>
      <c r="E145" s="5"/>
      <c r="F145" s="5"/>
    </row>
    <row r="146" spans="2:6" x14ac:dyDescent="0.2">
      <c r="B146" s="3"/>
      <c r="C146" s="5"/>
      <c r="D146" s="5"/>
      <c r="E146" s="5"/>
      <c r="F146" s="5"/>
    </row>
    <row r="147" spans="2:6" x14ac:dyDescent="0.2">
      <c r="B147" s="3"/>
      <c r="C147" s="5"/>
      <c r="D147" s="5"/>
      <c r="E147" s="5"/>
      <c r="F147" s="5"/>
    </row>
    <row r="148" spans="2:6" x14ac:dyDescent="0.2">
      <c r="B148" s="3"/>
      <c r="C148" s="5"/>
      <c r="D148" s="5"/>
      <c r="E148" s="5"/>
      <c r="F148" s="5"/>
    </row>
    <row r="149" spans="2:6" x14ac:dyDescent="0.2">
      <c r="B149" s="3"/>
      <c r="C149" s="5"/>
      <c r="D149" s="5"/>
      <c r="E149" s="5"/>
      <c r="F149" s="5"/>
    </row>
    <row r="150" spans="2:6" x14ac:dyDescent="0.2">
      <c r="B150" s="3"/>
      <c r="C150" s="5"/>
      <c r="D150" s="5"/>
      <c r="E150" s="5"/>
      <c r="F150" s="5"/>
    </row>
    <row r="151" spans="2:6" x14ac:dyDescent="0.2">
      <c r="B151" s="3"/>
      <c r="C151" s="5"/>
      <c r="D151" s="5"/>
      <c r="E151" s="5"/>
      <c r="F151" s="5"/>
    </row>
    <row r="152" spans="2:6" x14ac:dyDescent="0.2">
      <c r="B152" s="3"/>
      <c r="C152" s="5"/>
      <c r="D152" s="5"/>
      <c r="E152" s="5"/>
      <c r="F152" s="5"/>
    </row>
    <row r="153" spans="2:6" x14ac:dyDescent="0.2">
      <c r="B153" s="3"/>
      <c r="C153" s="5"/>
      <c r="D153" s="5"/>
      <c r="E153" s="5"/>
      <c r="F153" s="5"/>
    </row>
    <row r="154" spans="2:6" x14ac:dyDescent="0.2">
      <c r="B154" s="3"/>
      <c r="C154" s="5"/>
      <c r="D154" s="5"/>
      <c r="E154" s="5"/>
      <c r="F154" s="5"/>
    </row>
    <row r="155" spans="2:6" x14ac:dyDescent="0.2">
      <c r="B155" s="3"/>
      <c r="C155" s="5"/>
      <c r="D155" s="5"/>
      <c r="E155" s="5"/>
      <c r="F155" s="5"/>
    </row>
    <row r="156" spans="2:6" x14ac:dyDescent="0.2">
      <c r="B156" s="3"/>
      <c r="C156" s="5"/>
      <c r="D156" s="5"/>
      <c r="E156" s="5"/>
      <c r="F156" s="5"/>
    </row>
    <row r="157" spans="2:6" x14ac:dyDescent="0.2">
      <c r="B157" s="3"/>
      <c r="C157" s="5"/>
      <c r="D157" s="5"/>
      <c r="E157" s="5"/>
      <c r="F157" s="5"/>
    </row>
    <row r="158" spans="2:6" x14ac:dyDescent="0.2">
      <c r="B158" s="3"/>
      <c r="C158" s="5"/>
      <c r="D158" s="5"/>
      <c r="E158" s="5"/>
      <c r="F158" s="5"/>
    </row>
    <row r="159" spans="2:6" x14ac:dyDescent="0.2">
      <c r="B159" s="3"/>
      <c r="C159" s="5"/>
      <c r="D159" s="5"/>
      <c r="E159" s="5"/>
      <c r="F159" s="5"/>
    </row>
    <row r="160" spans="2:6" x14ac:dyDescent="0.2">
      <c r="B160" s="3"/>
      <c r="C160" s="5"/>
      <c r="D160" s="5"/>
      <c r="E160" s="5"/>
      <c r="F160" s="5"/>
    </row>
    <row r="161" spans="2:6" x14ac:dyDescent="0.2">
      <c r="B161" s="3"/>
      <c r="C161" s="5"/>
      <c r="D161" s="5"/>
      <c r="E161" s="5"/>
      <c r="F161" s="5"/>
    </row>
    <row r="162" spans="2:6" x14ac:dyDescent="0.2">
      <c r="B162" s="3"/>
      <c r="C162" s="5"/>
      <c r="D162" s="5"/>
      <c r="E162" s="5"/>
      <c r="F162" s="5"/>
    </row>
    <row r="163" spans="2:6" x14ac:dyDescent="0.2">
      <c r="B163" s="3"/>
      <c r="C163" s="5"/>
      <c r="D163" s="5"/>
      <c r="E163" s="5"/>
      <c r="F163" s="5"/>
    </row>
    <row r="164" spans="2:6" x14ac:dyDescent="0.2">
      <c r="B164" s="3"/>
      <c r="C164" s="5"/>
      <c r="D164" s="5"/>
      <c r="E164" s="5"/>
      <c r="F164" s="5"/>
    </row>
    <row r="165" spans="2:6" x14ac:dyDescent="0.2">
      <c r="B165" s="3"/>
      <c r="C165" s="5"/>
      <c r="D165" s="5"/>
      <c r="E165" s="5"/>
      <c r="F165" s="5"/>
    </row>
    <row r="166" spans="2:6" x14ac:dyDescent="0.2">
      <c r="B166" s="3"/>
      <c r="C166" s="5"/>
      <c r="D166" s="5"/>
      <c r="E166" s="5"/>
      <c r="F166" s="5"/>
    </row>
    <row r="167" spans="2:6" x14ac:dyDescent="0.2">
      <c r="B167" s="3"/>
      <c r="C167" s="5"/>
      <c r="D167" s="5"/>
      <c r="E167" s="5"/>
      <c r="F167" s="5"/>
    </row>
    <row r="168" spans="2:6" x14ac:dyDescent="0.2">
      <c r="B168" s="3"/>
      <c r="C168" s="5"/>
      <c r="D168" s="5"/>
      <c r="E168" s="5"/>
      <c r="F168" s="5"/>
    </row>
    <row r="169" spans="2:6" x14ac:dyDescent="0.2">
      <c r="B169" s="3"/>
      <c r="C169" s="5"/>
      <c r="D169" s="5"/>
      <c r="E169" s="5"/>
      <c r="F169" s="5"/>
    </row>
    <row r="170" spans="2:6" x14ac:dyDescent="0.2">
      <c r="B170" s="3"/>
      <c r="C170" s="5"/>
      <c r="D170" s="5"/>
      <c r="E170" s="5"/>
      <c r="F170" s="5"/>
    </row>
    <row r="171" spans="2:6" x14ac:dyDescent="0.2">
      <c r="B171" s="3"/>
      <c r="C171" s="5"/>
      <c r="D171" s="5"/>
      <c r="E171" s="5"/>
      <c r="F171" s="5"/>
    </row>
    <row r="172" spans="2:6" x14ac:dyDescent="0.2">
      <c r="B172" s="3"/>
      <c r="C172" s="5"/>
      <c r="D172" s="5"/>
      <c r="E172" s="5"/>
      <c r="F172" s="5"/>
    </row>
    <row r="173" spans="2:6" x14ac:dyDescent="0.2">
      <c r="B173" s="3"/>
      <c r="C173" s="5"/>
      <c r="D173" s="5"/>
      <c r="E173" s="5"/>
      <c r="F173" s="5"/>
    </row>
    <row r="174" spans="2:6" x14ac:dyDescent="0.2">
      <c r="B174" s="3"/>
      <c r="C174" s="5"/>
      <c r="D174" s="5"/>
      <c r="E174" s="5"/>
      <c r="F174" s="5"/>
    </row>
    <row r="175" spans="2:6" x14ac:dyDescent="0.2">
      <c r="B175" s="3"/>
      <c r="C175" s="5"/>
      <c r="D175" s="5"/>
      <c r="E175" s="5"/>
      <c r="F175" s="5"/>
    </row>
    <row r="176" spans="2:6" x14ac:dyDescent="0.2">
      <c r="B176" s="3"/>
      <c r="C176" s="5"/>
      <c r="D176" s="5"/>
      <c r="E176" s="5"/>
      <c r="F176" s="5"/>
    </row>
    <row r="177" spans="2:6" x14ac:dyDescent="0.2">
      <c r="B177" s="3"/>
      <c r="C177" s="5"/>
      <c r="D177" s="5"/>
      <c r="E177" s="5"/>
      <c r="F177" s="5"/>
    </row>
    <row r="178" spans="2:6" x14ac:dyDescent="0.2">
      <c r="B178" s="3"/>
      <c r="C178" s="5"/>
      <c r="D178" s="5"/>
      <c r="E178" s="5"/>
      <c r="F178" s="5"/>
    </row>
    <row r="179" spans="2:6" x14ac:dyDescent="0.2">
      <c r="B179" s="3"/>
      <c r="C179" s="5"/>
      <c r="D179" s="5"/>
      <c r="E179" s="5"/>
      <c r="F179" s="5"/>
    </row>
    <row r="180" spans="2:6" x14ac:dyDescent="0.2">
      <c r="B180" s="3"/>
      <c r="C180" s="5"/>
      <c r="D180" s="5"/>
      <c r="E180" s="5"/>
      <c r="F180" s="5"/>
    </row>
    <row r="181" spans="2:6" x14ac:dyDescent="0.2">
      <c r="B181" s="3"/>
      <c r="C181" s="5"/>
      <c r="D181" s="5"/>
      <c r="E181" s="5"/>
      <c r="F181" s="5"/>
    </row>
    <row r="182" spans="2:6" x14ac:dyDescent="0.2">
      <c r="B182" s="3"/>
      <c r="C182" s="5"/>
      <c r="D182" s="5"/>
      <c r="E182" s="5"/>
      <c r="F182" s="5"/>
    </row>
    <row r="183" spans="2:6" x14ac:dyDescent="0.2">
      <c r="B183" s="3"/>
      <c r="C183" s="5"/>
      <c r="D183" s="5"/>
      <c r="E183" s="5"/>
      <c r="F183" s="5"/>
    </row>
    <row r="184" spans="2:6" x14ac:dyDescent="0.2">
      <c r="B184" s="3"/>
      <c r="C184" s="5"/>
      <c r="D184" s="5"/>
      <c r="E184" s="5"/>
      <c r="F184" s="5"/>
    </row>
    <row r="185" spans="2:6" x14ac:dyDescent="0.2">
      <c r="B185" s="3"/>
      <c r="C185" s="5"/>
      <c r="D185" s="5"/>
      <c r="E185" s="5"/>
      <c r="F185" s="5"/>
    </row>
    <row r="186" spans="2:6" x14ac:dyDescent="0.2">
      <c r="B186" s="3"/>
      <c r="C186" s="5"/>
      <c r="D186" s="5"/>
      <c r="E186" s="5"/>
      <c r="F186" s="5"/>
    </row>
    <row r="187" spans="2:6" x14ac:dyDescent="0.2">
      <c r="B187" s="3"/>
      <c r="C187" s="5"/>
      <c r="D187" s="5"/>
      <c r="E187" s="5"/>
      <c r="F187" s="5"/>
    </row>
    <row r="188" spans="2:6" x14ac:dyDescent="0.2">
      <c r="B188" s="3"/>
      <c r="C188" s="5"/>
      <c r="D188" s="5"/>
      <c r="E188" s="5"/>
      <c r="F188" s="5"/>
    </row>
    <row r="189" spans="2:6" x14ac:dyDescent="0.2">
      <c r="B189" s="3"/>
      <c r="C189" s="5"/>
      <c r="D189" s="5"/>
      <c r="E189" s="5"/>
      <c r="F189" s="5"/>
    </row>
    <row r="190" spans="2:6" x14ac:dyDescent="0.2">
      <c r="B190" s="3"/>
      <c r="C190" s="5"/>
      <c r="D190" s="5"/>
      <c r="E190" s="5"/>
      <c r="F190" s="5"/>
    </row>
    <row r="191" spans="2:6" x14ac:dyDescent="0.2">
      <c r="B191" s="3"/>
      <c r="C191" s="5"/>
      <c r="D191" s="5"/>
      <c r="E191" s="5"/>
      <c r="F191" s="5"/>
    </row>
    <row r="192" spans="2:6" x14ac:dyDescent="0.2">
      <c r="B192" s="3"/>
      <c r="C192" s="5"/>
      <c r="D192" s="5"/>
      <c r="E192" s="5"/>
      <c r="F192" s="5"/>
    </row>
    <row r="193" spans="2:6" x14ac:dyDescent="0.2">
      <c r="B193" s="3"/>
      <c r="C193" s="5"/>
      <c r="D193" s="5"/>
      <c r="E193" s="5"/>
      <c r="F193" s="5"/>
    </row>
    <row r="194" spans="2:6" x14ac:dyDescent="0.2">
      <c r="B194" s="3"/>
      <c r="C194" s="5"/>
      <c r="D194" s="5"/>
      <c r="E194" s="5"/>
      <c r="F194" s="5"/>
    </row>
    <row r="195" spans="2:6" x14ac:dyDescent="0.2">
      <c r="B195" s="3"/>
      <c r="C195" s="5"/>
      <c r="D195" s="5"/>
      <c r="E195" s="5"/>
      <c r="F195" s="5"/>
    </row>
    <row r="196" spans="2:6" x14ac:dyDescent="0.2">
      <c r="B196" s="3"/>
      <c r="C196" s="5"/>
      <c r="D196" s="5"/>
      <c r="E196" s="5"/>
      <c r="F196" s="5"/>
    </row>
    <row r="197" spans="2:6" x14ac:dyDescent="0.2">
      <c r="B197" s="3"/>
      <c r="C197" s="5"/>
      <c r="D197" s="5"/>
      <c r="E197" s="5"/>
      <c r="F197" s="5"/>
    </row>
    <row r="198" spans="2:6" x14ac:dyDescent="0.2">
      <c r="B198" s="3"/>
      <c r="C198" s="5"/>
      <c r="D198" s="5"/>
      <c r="E198" s="5"/>
      <c r="F198" s="5"/>
    </row>
    <row r="199" spans="2:6" x14ac:dyDescent="0.2">
      <c r="B199" s="3"/>
      <c r="C199" s="5"/>
      <c r="D199" s="5"/>
      <c r="E199" s="5"/>
      <c r="F199" s="5"/>
    </row>
    <row r="200" spans="2:6" x14ac:dyDescent="0.2">
      <c r="B200" s="3"/>
      <c r="C200" s="5"/>
      <c r="D200" s="5"/>
      <c r="E200" s="5"/>
      <c r="F200" s="5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2"/>
  <sheetViews>
    <sheetView showGridLines="0" workbookViewId="0">
      <pane ySplit="1" topLeftCell="A2" activePane="bottomLeft" state="frozen"/>
      <selection pane="bottomLeft" activeCell="A15" sqref="A15:F16"/>
    </sheetView>
  </sheetViews>
  <sheetFormatPr baseColWidth="10" defaultColWidth="8.6640625" defaultRowHeight="15" x14ac:dyDescent="0.2"/>
  <cols>
    <col min="1" max="1" width="9.1640625" customWidth="1"/>
    <col min="2" max="2" width="50" customWidth="1"/>
    <col min="3" max="3" width="18.33203125" customWidth="1"/>
    <col min="4" max="6" width="15" customWidth="1"/>
  </cols>
  <sheetData>
    <row r="1" spans="1:6" x14ac:dyDescent="0.2">
      <c r="A1" s="17" t="s">
        <v>7</v>
      </c>
      <c r="B1" s="17" t="s">
        <v>8</v>
      </c>
      <c r="C1" s="17" t="s">
        <v>3</v>
      </c>
      <c r="D1" s="17" t="s">
        <v>4</v>
      </c>
      <c r="E1" s="17" t="s">
        <v>5</v>
      </c>
      <c r="F1" s="17" t="s">
        <v>6</v>
      </c>
    </row>
    <row r="2" spans="1:6" x14ac:dyDescent="0.2">
      <c r="A2" s="18" t="str">
        <f>IF(Productos!A2="","",Productos!A2)</f>
        <v>P001</v>
      </c>
      <c r="B2" s="18" t="str">
        <f>IF(Productos!B2="","",Productos!B2)</f>
        <v>AN ABE ENERGY DRINK 11.2 OZ 12PK TANG ORANGE</v>
      </c>
      <c r="C2" s="26">
        <f>IF(A2="","",Ventas!H2)</f>
        <v>0</v>
      </c>
      <c r="D2" s="26">
        <f>IF(A2="","",ROUND(C2/3,2))</f>
        <v>0</v>
      </c>
      <c r="E2" s="26">
        <f>IF(A2="","",ROUND(C2/3,2))</f>
        <v>0</v>
      </c>
      <c r="F2" s="26">
        <f>IF(A2="","",C2-D2-E2)</f>
        <v>0</v>
      </c>
    </row>
    <row r="3" spans="1:6" x14ac:dyDescent="0.2">
      <c r="A3" s="18" t="str">
        <f>IF(Productos!A3="","",Productos!A3)</f>
        <v>P002</v>
      </c>
      <c r="B3" s="18" t="str">
        <f>IF(Productos!B3="","",Productos!B3)</f>
        <v>ARMADA ASHWAGANDHA + L-TEANINA 600 MG 90 CAPS</v>
      </c>
      <c r="C3" s="26">
        <f>IF(A3="","",Ventas!H3)</f>
        <v>0</v>
      </c>
      <c r="D3" s="26">
        <f t="shared" ref="D3:D66" si="0">IF(A3="","",ROUND(C3/3,2))</f>
        <v>0</v>
      </c>
      <c r="E3" s="26">
        <f t="shared" ref="E3:E66" si="1">IF(A3="","",ROUND(C3/3,2))</f>
        <v>0</v>
      </c>
      <c r="F3" s="26">
        <f t="shared" ref="F3:F66" si="2">IF(A3="","",C3-D3-E3)</f>
        <v>0</v>
      </c>
    </row>
    <row r="4" spans="1:6" x14ac:dyDescent="0.2">
      <c r="A4" s="18" t="str">
        <f>IF(Productos!A4="","",Productos!A4)</f>
        <v>P003</v>
      </c>
      <c r="B4" s="18" t="str">
        <f>IF(Productos!B4="","",Productos!B4)</f>
        <v>ARMADA CITRATO DE MAGNESIO 1000 MG 100 CAPS</v>
      </c>
      <c r="C4" s="26">
        <f>IF(A4="","",Ventas!H4)</f>
        <v>0</v>
      </c>
      <c r="D4" s="26">
        <f t="shared" si="0"/>
        <v>0</v>
      </c>
      <c r="E4" s="26">
        <f t="shared" si="1"/>
        <v>0</v>
      </c>
      <c r="F4" s="26">
        <f t="shared" si="2"/>
        <v>0</v>
      </c>
    </row>
    <row r="5" spans="1:6" x14ac:dyDescent="0.2">
      <c r="A5" s="18" t="str">
        <f>IF(Productos!A5="","",Productos!A5)</f>
        <v>P004</v>
      </c>
      <c r="B5" s="18" t="str">
        <f>IF(Productos!B5="","",Productos!B5)</f>
        <v>BEBIDA CELSIUS</v>
      </c>
      <c r="C5" s="26">
        <f>IF(A5="","",Ventas!H5)</f>
        <v>40</v>
      </c>
      <c r="D5" s="26">
        <f t="shared" si="0"/>
        <v>13.33</v>
      </c>
      <c r="E5" s="26">
        <f t="shared" si="1"/>
        <v>13.33</v>
      </c>
      <c r="F5" s="26">
        <f t="shared" si="2"/>
        <v>13.340000000000002</v>
      </c>
    </row>
    <row r="6" spans="1:6" x14ac:dyDescent="0.2">
      <c r="A6" s="18" t="str">
        <f>IF(Productos!A6="","",Productos!A6)</f>
        <v>P005</v>
      </c>
      <c r="B6" s="18" t="str">
        <f>IF(Productos!B6="","",Productos!B6)</f>
        <v>BLOOM 25 SERV PAQUETE</v>
      </c>
      <c r="C6" s="26">
        <f>IF(A6="","",Ventas!H6)</f>
        <v>0</v>
      </c>
      <c r="D6" s="26">
        <f t="shared" si="0"/>
        <v>0</v>
      </c>
      <c r="E6" s="26">
        <f t="shared" si="1"/>
        <v>0</v>
      </c>
      <c r="F6" s="26">
        <f t="shared" si="2"/>
        <v>0</v>
      </c>
    </row>
    <row r="7" spans="1:6" x14ac:dyDescent="0.2">
      <c r="A7" s="18" t="str">
        <f>IF(Productos!A7="","",Productos!A7)</f>
        <v>P006</v>
      </c>
      <c r="B7" s="18" t="str">
        <f>IF(Productos!B7="","",Productos!B7)</f>
        <v>BLOOM SPAERKALING ENERGY 12OZ PEACH WATERMELON</v>
      </c>
      <c r="C7" s="26">
        <f>IF(A7="","",Ventas!H7)</f>
        <v>0</v>
      </c>
      <c r="D7" s="26">
        <f t="shared" si="0"/>
        <v>0</v>
      </c>
      <c r="E7" s="26">
        <f t="shared" si="1"/>
        <v>0</v>
      </c>
      <c r="F7" s="26">
        <f t="shared" si="2"/>
        <v>0</v>
      </c>
    </row>
    <row r="8" spans="1:6" x14ac:dyDescent="0.2">
      <c r="A8" s="18" t="str">
        <f>IF(Productos!A8="","",Productos!A8)</f>
        <v>P007</v>
      </c>
      <c r="B8" s="18" t="str">
        <f>IF(Productos!B8="","",Productos!B8)</f>
        <v>BLOOM SPARKLING ENERGY 12OZ PEACH MANGO</v>
      </c>
      <c r="C8" s="26">
        <f>IF(A8="","",Ventas!H8)</f>
        <v>0</v>
      </c>
      <c r="D8" s="26">
        <f t="shared" si="0"/>
        <v>0</v>
      </c>
      <c r="E8" s="26">
        <f t="shared" si="1"/>
        <v>0</v>
      </c>
      <c r="F8" s="26">
        <f t="shared" si="2"/>
        <v>0</v>
      </c>
    </row>
    <row r="9" spans="1:6" x14ac:dyDescent="0.2">
      <c r="A9" s="18" t="str">
        <f>IF(Productos!A9="","",Productos!A9)</f>
        <v>P008</v>
      </c>
      <c r="B9" s="18" t="str">
        <f>IF(Productos!B9="","",Productos!B9)</f>
        <v>BLOOM SPEARKLING ENERGY 12OZ PEACH LEMONS</v>
      </c>
      <c r="C9" s="26">
        <f>IF(A9="","",Ventas!H9)</f>
        <v>0</v>
      </c>
      <c r="D9" s="26">
        <f t="shared" si="0"/>
        <v>0</v>
      </c>
      <c r="E9" s="26">
        <f t="shared" si="1"/>
        <v>0</v>
      </c>
      <c r="F9" s="26">
        <f t="shared" si="2"/>
        <v>0</v>
      </c>
    </row>
    <row r="10" spans="1:6" x14ac:dyDescent="0.2">
      <c r="A10" s="18" t="str">
        <f>IF(Productos!A10="","",Productos!A10)</f>
        <v>P009</v>
      </c>
      <c r="B10" s="18" t="str">
        <f>IF(Productos!B10="","",Productos!B10)</f>
        <v>BLOOM SURTIDO</v>
      </c>
      <c r="C10" s="26">
        <f>IF(A10="","",Ventas!H10)</f>
        <v>191.66666666666663</v>
      </c>
      <c r="D10" s="26">
        <f t="shared" si="0"/>
        <v>63.89</v>
      </c>
      <c r="E10" s="26">
        <f t="shared" si="1"/>
        <v>63.89</v>
      </c>
      <c r="F10" s="26">
        <f t="shared" si="2"/>
        <v>63.886666666666628</v>
      </c>
    </row>
    <row r="11" spans="1:6" x14ac:dyDescent="0.2">
      <c r="A11" s="18" t="str">
        <f>IF(Productos!A11="","",Productos!A11)</f>
        <v>P010</v>
      </c>
      <c r="B11" s="18" t="str">
        <f>IF(Productos!B11="","",Productos!B11)</f>
        <v>BSN NO-XPLODE VASO PUMP 24 SERV PINEAPPLE PUMP</v>
      </c>
      <c r="C11" s="26">
        <f>IF(A11="","",Ventas!H11)</f>
        <v>0</v>
      </c>
      <c r="D11" s="26">
        <f t="shared" si="0"/>
        <v>0</v>
      </c>
      <c r="E11" s="26">
        <f t="shared" si="1"/>
        <v>0</v>
      </c>
      <c r="F11" s="26">
        <f t="shared" si="2"/>
        <v>0</v>
      </c>
    </row>
    <row r="12" spans="1:6" x14ac:dyDescent="0.2">
      <c r="A12" s="18" t="str">
        <f>IF(Productos!A12="","",Productos!A12)</f>
        <v>P011</v>
      </c>
      <c r="B12" s="18" t="str">
        <f>IF(Productos!B12="","",Productos!B12)</f>
        <v>BSN PROTEIN CRIPS 12 BARS VANILLA MARSHMALLOW *OFERTA*</v>
      </c>
      <c r="C12" s="26">
        <f>IF(A12="","",Ventas!H12)</f>
        <v>180</v>
      </c>
      <c r="D12" s="26">
        <f t="shared" si="0"/>
        <v>60</v>
      </c>
      <c r="E12" s="26">
        <f t="shared" si="1"/>
        <v>60</v>
      </c>
      <c r="F12" s="26">
        <f t="shared" si="2"/>
        <v>60</v>
      </c>
    </row>
    <row r="13" spans="1:6" x14ac:dyDescent="0.2">
      <c r="A13" s="18" t="str">
        <f>IF(Productos!A13="","",Productos!A13)</f>
        <v>P012</v>
      </c>
      <c r="B13" s="18" t="str">
        <f>IF(Productos!B13="","",Productos!B13)</f>
        <v>CBUM ESSENTIAL PWO 30 SERV BLUE RASPBERRY</v>
      </c>
      <c r="C13" s="26">
        <f>IF(A13="","",Ventas!H13)</f>
        <v>0</v>
      </c>
      <c r="D13" s="26">
        <f t="shared" si="0"/>
        <v>0</v>
      </c>
      <c r="E13" s="26">
        <f t="shared" si="1"/>
        <v>0</v>
      </c>
      <c r="F13" s="26">
        <f t="shared" si="2"/>
        <v>0</v>
      </c>
    </row>
    <row r="14" spans="1:6" x14ac:dyDescent="0.2">
      <c r="A14" s="18" t="str">
        <f>IF(Productos!A14="","",Productos!A14)</f>
        <v>P013</v>
      </c>
      <c r="B14" s="18" t="str">
        <f>IF(Productos!B14="","",Productos!B14)</f>
        <v>CBUM ESSENTIAL PWO 30 SERV GUAVA</v>
      </c>
      <c r="C14" s="26">
        <f>IF(A14="","",Ventas!H14)</f>
        <v>0</v>
      </c>
      <c r="D14" s="26">
        <f t="shared" si="0"/>
        <v>0</v>
      </c>
      <c r="E14" s="26">
        <f t="shared" si="1"/>
        <v>0</v>
      </c>
      <c r="F14" s="26">
        <f t="shared" si="2"/>
        <v>0</v>
      </c>
    </row>
    <row r="15" spans="1:6" x14ac:dyDescent="0.2">
      <c r="A15" s="18" t="str">
        <f>IF(Productos!A15="","",Productos!A15)</f>
        <v>P014</v>
      </c>
      <c r="B15" s="18" t="str">
        <f>IF(Productos!B15="","",Productos!B15)</f>
        <v>CBUM ESSENTIAL PWO 30 SERV LYCHEE</v>
      </c>
      <c r="C15" s="26">
        <f>IF(A15="","",Ventas!H15)</f>
        <v>0</v>
      </c>
      <c r="D15" s="26">
        <f t="shared" si="0"/>
        <v>0</v>
      </c>
      <c r="E15" s="26">
        <f t="shared" si="1"/>
        <v>0</v>
      </c>
      <c r="F15" s="26">
        <f t="shared" si="2"/>
        <v>0</v>
      </c>
    </row>
    <row r="16" spans="1:6" x14ac:dyDescent="0.2">
      <c r="A16" s="18" t="str">
        <f>IF(Productos!A16="","",Productos!A16)</f>
        <v>P015</v>
      </c>
      <c r="B16" s="18" t="str">
        <f>IF(Productos!B16="","",Productos!B16)</f>
        <v>CBUM ESSENTIAL PWO 30SER GUAVA FRUIT</v>
      </c>
      <c r="C16" s="26">
        <f>IF(A16="","",Ventas!H16)</f>
        <v>0</v>
      </c>
      <c r="D16" s="26">
        <f t="shared" si="0"/>
        <v>0</v>
      </c>
      <c r="E16" s="26">
        <f t="shared" si="1"/>
        <v>0</v>
      </c>
      <c r="F16" s="26">
        <f t="shared" si="2"/>
        <v>0</v>
      </c>
    </row>
    <row r="17" spans="1:6" x14ac:dyDescent="0.2">
      <c r="A17" s="18" t="str">
        <f>IF(Productos!A17="","",Productos!A17)</f>
        <v>P016</v>
      </c>
      <c r="B17" s="18" t="str">
        <f>IF(Productos!B17="","",Productos!B17)</f>
        <v>CREATINA BIRDMAN</v>
      </c>
      <c r="C17" s="26">
        <f>IF(A17="","",Ventas!H17)</f>
        <v>120</v>
      </c>
      <c r="D17" s="26">
        <f t="shared" si="0"/>
        <v>40</v>
      </c>
      <c r="E17" s="26">
        <f t="shared" si="1"/>
        <v>40</v>
      </c>
      <c r="F17" s="26">
        <f t="shared" si="2"/>
        <v>40</v>
      </c>
    </row>
    <row r="18" spans="1:6" x14ac:dyDescent="0.2">
      <c r="A18" s="18" t="str">
        <f>IF(Productos!A18="","",Productos!A18)</f>
        <v>P017</v>
      </c>
      <c r="B18" s="18" t="str">
        <f>IF(Productos!B18="","",Productos!B18)</f>
        <v>CREATINA BIRDMAN CON ELECTROLIT</v>
      </c>
      <c r="C18" s="26">
        <f>IF(A18="","",Ventas!H18)</f>
        <v>80</v>
      </c>
      <c r="D18" s="26">
        <f t="shared" si="0"/>
        <v>26.67</v>
      </c>
      <c r="E18" s="26">
        <f t="shared" si="1"/>
        <v>26.67</v>
      </c>
      <c r="F18" s="26">
        <f t="shared" si="2"/>
        <v>26.659999999999997</v>
      </c>
    </row>
    <row r="19" spans="1:6" x14ac:dyDescent="0.2">
      <c r="A19" s="18" t="str">
        <f>IF(Productos!A19="","",Productos!A19)</f>
        <v>P018</v>
      </c>
      <c r="B19" s="18" t="str">
        <f>IF(Productos!B19="","",Productos!B19)</f>
        <v>CREATINA DRAGON PHARMA MONOHYDRATE 1KG</v>
      </c>
      <c r="C19" s="26">
        <f>IF(A19="","",Ventas!H19)</f>
        <v>0</v>
      </c>
      <c r="D19" s="26">
        <f t="shared" si="0"/>
        <v>0</v>
      </c>
      <c r="E19" s="26">
        <f t="shared" si="1"/>
        <v>0</v>
      </c>
      <c r="F19" s="26">
        <f t="shared" si="2"/>
        <v>0</v>
      </c>
    </row>
    <row r="20" spans="1:6" x14ac:dyDescent="0.2">
      <c r="A20" s="18" t="str">
        <f>IF(Productos!A20="","",Productos!A20)</f>
        <v>P019</v>
      </c>
      <c r="B20" s="18" t="str">
        <f>IF(Productos!B20="","",Productos!B20)</f>
        <v xml:space="preserve">CREATINA DRAGON PHARMACREATINE MONOHYDRATE 300 GRS UNFLAVORED </v>
      </c>
      <c r="C20" s="26">
        <f>IF(A20="","",Ventas!H20)</f>
        <v>0</v>
      </c>
      <c r="D20" s="26">
        <f t="shared" si="0"/>
        <v>0</v>
      </c>
      <c r="E20" s="26">
        <f t="shared" si="1"/>
        <v>0</v>
      </c>
      <c r="F20" s="26">
        <f t="shared" si="2"/>
        <v>0</v>
      </c>
    </row>
    <row r="21" spans="1:6" x14ac:dyDescent="0.2">
      <c r="A21" s="18" t="str">
        <f>IF(Productos!A21="","",Productos!A21)</f>
        <v>P020</v>
      </c>
      <c r="B21" s="18" t="str">
        <f>IF(Productos!B21="","",Productos!B21)</f>
        <v>CREATINA MONOHIDRATADA CAT 300GR</v>
      </c>
      <c r="C21" s="26">
        <f>IF(A21="","",Ventas!H21)</f>
        <v>0</v>
      </c>
      <c r="D21" s="26">
        <f t="shared" si="0"/>
        <v>0</v>
      </c>
      <c r="E21" s="26">
        <f t="shared" si="1"/>
        <v>0</v>
      </c>
      <c r="F21" s="26">
        <f t="shared" si="2"/>
        <v>0</v>
      </c>
    </row>
    <row r="22" spans="1:6" x14ac:dyDescent="0.2">
      <c r="A22" s="18" t="str">
        <f>IF(Productos!A22="","",Productos!A22)</f>
        <v>P021</v>
      </c>
      <c r="B22" s="18" t="str">
        <f>IF(Productos!B22="","",Productos!B22)</f>
        <v>CREATINA MONOHYDRATADA CAT 1000GR</v>
      </c>
      <c r="C22" s="26">
        <f>IF(A22="","",Ventas!H22)</f>
        <v>0</v>
      </c>
      <c r="D22" s="26">
        <f t="shared" si="0"/>
        <v>0</v>
      </c>
      <c r="E22" s="26">
        <f t="shared" si="1"/>
        <v>0</v>
      </c>
      <c r="F22" s="26">
        <f t="shared" si="2"/>
        <v>0</v>
      </c>
    </row>
    <row r="23" spans="1:6" x14ac:dyDescent="0.2">
      <c r="A23" s="18" t="str">
        <f>IF(Productos!A23="","",Productos!A23)</f>
        <v>P022</v>
      </c>
      <c r="B23" s="18" t="str">
        <f>IF(Productos!B23="","",Productos!B23)</f>
        <v>DIPS DRAGON PHARMA</v>
      </c>
      <c r="C23" s="26">
        <f>IF(A23="","",Ventas!H23)</f>
        <v>0</v>
      </c>
      <c r="D23" s="26">
        <f t="shared" si="0"/>
        <v>0</v>
      </c>
      <c r="E23" s="26">
        <f t="shared" si="1"/>
        <v>0</v>
      </c>
      <c r="F23" s="26">
        <f t="shared" si="2"/>
        <v>0</v>
      </c>
    </row>
    <row r="24" spans="1:6" x14ac:dyDescent="0.2">
      <c r="A24" s="18" t="str">
        <f>IF(Productos!A24="","",Productos!A24)</f>
        <v>P023</v>
      </c>
      <c r="B24" s="18" t="str">
        <f>IF(Productos!B24="","",Productos!B24)</f>
        <v>DRAGON L-CARNITINE 32 SERV BLUE RASPBERRY</v>
      </c>
      <c r="C24" s="26">
        <f>IF(A24="","",Ventas!H24)</f>
        <v>0</v>
      </c>
      <c r="D24" s="26">
        <f t="shared" si="0"/>
        <v>0</v>
      </c>
      <c r="E24" s="26">
        <f t="shared" si="1"/>
        <v>0</v>
      </c>
      <c r="F24" s="26">
        <f t="shared" si="2"/>
        <v>0</v>
      </c>
    </row>
    <row r="25" spans="1:6" x14ac:dyDescent="0.2">
      <c r="A25" s="18" t="str">
        <f>IF(Productos!A25="","",Productos!A25)</f>
        <v>P024</v>
      </c>
      <c r="B25" s="18" t="str">
        <f>IF(Productos!B25="","",Productos!B25)</f>
        <v>ENERGY 16 OZ 12 PK BLUE RASPBERRY "NUEVO SABOR</v>
      </c>
      <c r="C25" s="26">
        <f>IF(A25="","",Ventas!H25)</f>
        <v>0</v>
      </c>
      <c r="D25" s="26">
        <f t="shared" si="0"/>
        <v>0</v>
      </c>
      <c r="E25" s="26">
        <f t="shared" si="1"/>
        <v>0</v>
      </c>
      <c r="F25" s="26">
        <f t="shared" si="2"/>
        <v>0</v>
      </c>
    </row>
    <row r="26" spans="1:6" x14ac:dyDescent="0.2">
      <c r="A26" s="18" t="str">
        <f>IF(Productos!A26="","",Productos!A26)</f>
        <v>P025</v>
      </c>
      <c r="B26" s="18" t="str">
        <f>IF(Productos!B26="","",Productos!B26)</f>
        <v>FUEL DRINK 16 OZ/12PACK RING POP CHERRY</v>
      </c>
      <c r="C26" s="26">
        <f>IF(A26="","",Ventas!H26)</f>
        <v>0</v>
      </c>
      <c r="D26" s="26">
        <f t="shared" si="0"/>
        <v>0</v>
      </c>
      <c r="E26" s="26">
        <f t="shared" si="1"/>
        <v>0</v>
      </c>
      <c r="F26" s="26">
        <f t="shared" si="2"/>
        <v>0</v>
      </c>
    </row>
    <row r="27" spans="1:6" x14ac:dyDescent="0.2">
      <c r="A27" s="18" t="str">
        <f>IF(Productos!A27="","",Productos!A27)</f>
        <v>P026</v>
      </c>
      <c r="B27" s="18" t="str">
        <f>IF(Productos!B27="","",Productos!B27)</f>
        <v>GAT SPORT GLUTAMINA 300G</v>
      </c>
      <c r="C27" s="26">
        <f>IF(A27="","",Ventas!H27)</f>
        <v>0</v>
      </c>
      <c r="D27" s="26">
        <f t="shared" si="0"/>
        <v>0</v>
      </c>
      <c r="E27" s="26">
        <f t="shared" si="1"/>
        <v>0</v>
      </c>
      <c r="F27" s="26">
        <f t="shared" si="2"/>
        <v>0</v>
      </c>
    </row>
    <row r="28" spans="1:6" x14ac:dyDescent="0.2">
      <c r="A28" s="18" t="str">
        <f>IF(Productos!A28="","",Productos!A28)</f>
        <v>P027</v>
      </c>
      <c r="B28" s="18" t="str">
        <f>IF(Productos!B28="","",Productos!B28)</f>
        <v>GHOST ENERGY 16 OZ 12PK PEACHES</v>
      </c>
      <c r="C28" s="26">
        <f>IF(A28="","",Ventas!H28)</f>
        <v>0</v>
      </c>
      <c r="D28" s="26">
        <f t="shared" si="0"/>
        <v>0</v>
      </c>
      <c r="E28" s="26">
        <f t="shared" si="1"/>
        <v>0</v>
      </c>
      <c r="F28" s="26">
        <f t="shared" si="2"/>
        <v>0</v>
      </c>
    </row>
    <row r="29" spans="1:6" x14ac:dyDescent="0.2">
      <c r="A29" s="18" t="str">
        <f>IF(Productos!A29="","",Productos!A29)</f>
        <v>P028</v>
      </c>
      <c r="B29" s="18" t="str">
        <f>IF(Productos!B29="","",Productos!B29)</f>
        <v>HTP LIPODRENE AMARILLO 90 TABS</v>
      </c>
      <c r="C29" s="26">
        <f>IF(A29="","",Ventas!H29)</f>
        <v>0</v>
      </c>
      <c r="D29" s="26">
        <f t="shared" si="0"/>
        <v>0</v>
      </c>
      <c r="E29" s="26">
        <f t="shared" si="1"/>
        <v>0</v>
      </c>
      <c r="F29" s="26">
        <f t="shared" si="2"/>
        <v>0</v>
      </c>
    </row>
    <row r="30" spans="1:6" x14ac:dyDescent="0.2">
      <c r="A30" s="18" t="str">
        <f>IF(Productos!A30="","",Productos!A30)</f>
        <v>P029</v>
      </c>
      <c r="B30" s="18" t="str">
        <f>IF(Productos!B30="","",Productos!B30)</f>
        <v>ISO 100 1.3 LBS 20 SERV DUNKIN CAPPUCCIONO</v>
      </c>
      <c r="C30" s="26">
        <f>IF(A30="","",Ventas!H30)</f>
        <v>0</v>
      </c>
      <c r="D30" s="26">
        <f t="shared" si="0"/>
        <v>0</v>
      </c>
      <c r="E30" s="26">
        <f t="shared" si="1"/>
        <v>0</v>
      </c>
      <c r="F30" s="26">
        <f t="shared" si="2"/>
        <v>0</v>
      </c>
    </row>
    <row r="31" spans="1:6" x14ac:dyDescent="0.2">
      <c r="A31" s="18" t="str">
        <f>IF(Productos!A31="","",Productos!A31)</f>
        <v>P030</v>
      </c>
      <c r="B31" s="18" t="str">
        <f>IF(Productos!B31="","",Productos!B31)</f>
        <v>ISO 100 1.3 LBS 20 SERV DUNKIN GLAZED DONUT</v>
      </c>
      <c r="C31" s="26">
        <f>IF(A31="","",Ventas!H31)</f>
        <v>0</v>
      </c>
      <c r="D31" s="26">
        <f t="shared" si="0"/>
        <v>0</v>
      </c>
      <c r="E31" s="26">
        <f t="shared" si="1"/>
        <v>0</v>
      </c>
      <c r="F31" s="26">
        <f t="shared" si="2"/>
        <v>0</v>
      </c>
    </row>
    <row r="32" spans="1:6" x14ac:dyDescent="0.2">
      <c r="A32" s="18" t="str">
        <f>IF(Productos!A32="","",Productos!A32)</f>
        <v>P031</v>
      </c>
      <c r="B32" s="18" t="str">
        <f>IF(Productos!B32="","",Productos!B32)</f>
        <v>ISO 100 1.3 LBS 20 SERV DUNKIN GLAZED DONUT OFERTA</v>
      </c>
      <c r="C32" s="26">
        <f>IF(A32="","",Ventas!H32)</f>
        <v>0</v>
      </c>
      <c r="D32" s="26">
        <f t="shared" si="0"/>
        <v>0</v>
      </c>
      <c r="E32" s="26">
        <f t="shared" si="1"/>
        <v>0</v>
      </c>
      <c r="F32" s="26">
        <f t="shared" si="2"/>
        <v>0</v>
      </c>
    </row>
    <row r="33" spans="1:6" x14ac:dyDescent="0.2">
      <c r="A33" s="18" t="str">
        <f>IF(Productos!A33="","",Productos!A33)</f>
        <v>P032</v>
      </c>
      <c r="B33" s="18" t="str">
        <f>IF(Productos!B33="","",Productos!B33)</f>
        <v>ISOPHORM 5 LIBS VAINILLA SOFT</v>
      </c>
      <c r="C33" s="26">
        <f>IF(A33="","",Ventas!H33)</f>
        <v>0</v>
      </c>
      <c r="D33" s="26">
        <f t="shared" si="0"/>
        <v>0</v>
      </c>
      <c r="E33" s="26">
        <f t="shared" si="1"/>
        <v>0</v>
      </c>
      <c r="F33" s="26">
        <f t="shared" si="2"/>
        <v>0</v>
      </c>
    </row>
    <row r="34" spans="1:6" x14ac:dyDescent="0.2">
      <c r="A34" s="18" t="str">
        <f>IF(Productos!A34="","",Productos!A34)</f>
        <v>P033</v>
      </c>
      <c r="B34" s="18" t="str">
        <f>IF(Productos!B34="","",Productos!B34)</f>
        <v xml:space="preserve">OUTLET ISOFLEX 5LB CHOCOLATE PEANUT BUTTER </v>
      </c>
      <c r="C34" s="26">
        <f>IF(A34="","",Ventas!H34)</f>
        <v>0</v>
      </c>
      <c r="D34" s="26">
        <f t="shared" si="0"/>
        <v>0</v>
      </c>
      <c r="E34" s="26">
        <f t="shared" si="1"/>
        <v>0</v>
      </c>
      <c r="F34" s="26">
        <f t="shared" si="2"/>
        <v>0</v>
      </c>
    </row>
    <row r="35" spans="1:6" x14ac:dyDescent="0.2">
      <c r="A35" s="18" t="str">
        <f>IF(Productos!A35="","",Productos!A35)</f>
        <v>P034</v>
      </c>
      <c r="B35" s="18" t="str">
        <f>IF(Productos!B35="","",Productos!B35)</f>
        <v xml:space="preserve">OUTLET ISOFLEX 5LB CHOCOLATE PEANUT BUTTER </v>
      </c>
      <c r="C35" s="26">
        <f>IF(A35="","",Ventas!H35)</f>
        <v>190</v>
      </c>
      <c r="D35" s="26">
        <f t="shared" si="0"/>
        <v>63.33</v>
      </c>
      <c r="E35" s="26">
        <f t="shared" si="1"/>
        <v>63.33</v>
      </c>
      <c r="F35" s="26">
        <f t="shared" si="2"/>
        <v>63.34</v>
      </c>
    </row>
    <row r="36" spans="1:6" x14ac:dyDescent="0.2">
      <c r="A36" s="18" t="str">
        <f>IF(Productos!A36="","",Productos!A36)</f>
        <v>P035</v>
      </c>
      <c r="B36" s="18" t="str">
        <f>IF(Productos!B36="","",Productos!B36)</f>
        <v>PREENTRENO BLACK MAMBA 20 SERV GRAPE BUBLEGUM</v>
      </c>
      <c r="C36" s="26">
        <f>IF(A36="","",Ventas!H36)</f>
        <v>0</v>
      </c>
      <c r="D36" s="26">
        <f t="shared" si="0"/>
        <v>0</v>
      </c>
      <c r="E36" s="26">
        <f t="shared" si="1"/>
        <v>0</v>
      </c>
      <c r="F36" s="26">
        <f t="shared" si="2"/>
        <v>0</v>
      </c>
    </row>
    <row r="37" spans="1:6" x14ac:dyDescent="0.2">
      <c r="A37" s="18" t="str">
        <f>IF(Productos!A37="","",Productos!A37)</f>
        <v>P036</v>
      </c>
      <c r="B37" s="18" t="str">
        <f>IF(Productos!B37="","",Productos!B37)</f>
        <v>PREENTRENO BLACK MAMBA 20 SERV GRAPE BUBLEGUM (UND)</v>
      </c>
      <c r="C37" s="26">
        <f>IF(A37="","",Ventas!H37)</f>
        <v>0</v>
      </c>
      <c r="D37" s="26">
        <f t="shared" si="0"/>
        <v>0</v>
      </c>
      <c r="E37" s="26">
        <f t="shared" si="1"/>
        <v>0</v>
      </c>
      <c r="F37" s="26">
        <f t="shared" si="2"/>
        <v>0</v>
      </c>
    </row>
    <row r="38" spans="1:6" x14ac:dyDescent="0.2">
      <c r="A38" s="18" t="str">
        <f>IF(Productos!A38="","",Productos!A38)</f>
        <v>P037</v>
      </c>
      <c r="B38" s="18" t="str">
        <f>IF(Productos!B38="","",Productos!B38)</f>
        <v>PREENTRENO BUCKED UP MOTHER BUCKER 20 SRV MIAMI</v>
      </c>
      <c r="C38" s="26">
        <f>IF(A38="","",Ventas!H38)</f>
        <v>0</v>
      </c>
      <c r="D38" s="26">
        <f t="shared" si="0"/>
        <v>0</v>
      </c>
      <c r="E38" s="26">
        <f t="shared" si="1"/>
        <v>0</v>
      </c>
      <c r="F38" s="26">
        <f t="shared" si="2"/>
        <v>0</v>
      </c>
    </row>
    <row r="39" spans="1:6" x14ac:dyDescent="0.2">
      <c r="A39" s="18" t="str">
        <f>IF(Productos!A39="","",Productos!A39)</f>
        <v>P038</v>
      </c>
      <c r="B39" s="18" t="str">
        <f>IF(Productos!B39="","",Productos!B39)</f>
        <v>PREENTRENO CBUM ESSENTIAL PWO 30 SERV ORANGE</v>
      </c>
      <c r="C39" s="26">
        <f>IF(A39="","",Ventas!H39)</f>
        <v>0</v>
      </c>
      <c r="D39" s="26">
        <f t="shared" si="0"/>
        <v>0</v>
      </c>
      <c r="E39" s="26">
        <f t="shared" si="1"/>
        <v>0</v>
      </c>
      <c r="F39" s="26">
        <f t="shared" si="2"/>
        <v>0</v>
      </c>
    </row>
    <row r="40" spans="1:6" x14ac:dyDescent="0.2">
      <c r="A40" s="18" t="str">
        <f>IF(Productos!A40="","",Productos!A40)</f>
        <v>P039</v>
      </c>
      <c r="B40" s="18" t="str">
        <f>IF(Productos!B40="","",Productos!B40)</f>
        <v>PREENTRENO CBUM ESSENTIAL PWO 30 SERV RED WHITE AND BUM</v>
      </c>
      <c r="C40" s="26">
        <f>IF(A40="","",Ventas!H40)</f>
        <v>0</v>
      </c>
      <c r="D40" s="26">
        <f t="shared" si="0"/>
        <v>0</v>
      </c>
      <c r="E40" s="26">
        <f t="shared" si="1"/>
        <v>0</v>
      </c>
      <c r="F40" s="26">
        <f t="shared" si="2"/>
        <v>0</v>
      </c>
    </row>
    <row r="41" spans="1:6" x14ac:dyDescent="0.2">
      <c r="A41" s="18" t="str">
        <f>IF(Productos!A41="","",Productos!A41)</f>
        <v>P040</v>
      </c>
      <c r="B41" s="18" t="str">
        <f>IF(Productos!B41="","",Productos!B41)</f>
        <v>PREENTRENO CBUM THAVAGE PWO 40 SERV 6 PEAT</v>
      </c>
      <c r="C41" s="26">
        <f>IF(A41="","",Ventas!H41)</f>
        <v>220.93023255813955</v>
      </c>
      <c r="D41" s="26">
        <f t="shared" si="0"/>
        <v>73.64</v>
      </c>
      <c r="E41" s="26">
        <f t="shared" si="1"/>
        <v>73.64</v>
      </c>
      <c r="F41" s="26">
        <f t="shared" si="2"/>
        <v>73.650232558139564</v>
      </c>
    </row>
    <row r="42" spans="1:6" x14ac:dyDescent="0.2">
      <c r="A42" s="18" t="str">
        <f>IF(Productos!A42="","",Productos!A42)</f>
        <v>P041</v>
      </c>
      <c r="B42" s="18" t="str">
        <f>IF(Productos!B42="","",Productos!B42)</f>
        <v>PREENTRENO HYDE NIGHTMARE PWO 30 SERV BLOOD BERRY</v>
      </c>
      <c r="C42" s="26">
        <f>IF(A42="","",Ventas!H42)</f>
        <v>0</v>
      </c>
      <c r="D42" s="26">
        <f t="shared" si="0"/>
        <v>0</v>
      </c>
      <c r="E42" s="26">
        <f t="shared" si="1"/>
        <v>0</v>
      </c>
      <c r="F42" s="26">
        <f t="shared" si="2"/>
        <v>0</v>
      </c>
    </row>
    <row r="43" spans="1:6" x14ac:dyDescent="0.2">
      <c r="A43" s="18" t="str">
        <f>IF(Productos!A43="","",Productos!A43)</f>
        <v>P042</v>
      </c>
      <c r="B43" s="18" t="str">
        <f>IF(Productos!B43="","",Productos!B43)</f>
        <v>PREENTRENO HYDE NIGHTMARE PWO 30 SERV JAWBREAKER</v>
      </c>
      <c r="C43" s="26">
        <f>IF(A43="","",Ventas!H43)</f>
        <v>0</v>
      </c>
      <c r="D43" s="26">
        <f t="shared" si="0"/>
        <v>0</v>
      </c>
      <c r="E43" s="26">
        <f t="shared" si="1"/>
        <v>0</v>
      </c>
      <c r="F43" s="26">
        <f t="shared" si="2"/>
        <v>0</v>
      </c>
    </row>
    <row r="44" spans="1:6" x14ac:dyDescent="0.2">
      <c r="A44" s="18" t="str">
        <f>IF(Productos!A44="","",Productos!A44)</f>
        <v>P043</v>
      </c>
      <c r="B44" s="18" t="str">
        <f>IF(Productos!B44="","",Productos!B44)</f>
        <v>PREENTRENO HYDE NIGHTWARE PWO 30 SERV JAWBREAKER</v>
      </c>
      <c r="C44" s="26">
        <f>IF(A44="","",Ventas!H44)</f>
        <v>0</v>
      </c>
      <c r="D44" s="26">
        <f t="shared" si="0"/>
        <v>0</v>
      </c>
      <c r="E44" s="26">
        <f t="shared" si="1"/>
        <v>0</v>
      </c>
      <c r="F44" s="26">
        <f t="shared" si="2"/>
        <v>0</v>
      </c>
    </row>
    <row r="45" spans="1:6" x14ac:dyDescent="0.2">
      <c r="A45" s="18" t="str">
        <f>IF(Productos!A45="","",Productos!A45)</f>
        <v>P044</v>
      </c>
      <c r="B45" s="18" t="str">
        <f>IF(Productos!B45="","",Productos!B45)</f>
        <v>PREENTRENO PANDA</v>
      </c>
      <c r="C45" s="26">
        <f>IF(A45="","",Ventas!H45)</f>
        <v>0</v>
      </c>
      <c r="D45" s="26">
        <f t="shared" si="0"/>
        <v>0</v>
      </c>
      <c r="E45" s="26">
        <f t="shared" si="1"/>
        <v>0</v>
      </c>
      <c r="F45" s="26">
        <f t="shared" si="2"/>
        <v>0</v>
      </c>
    </row>
    <row r="46" spans="1:6" x14ac:dyDescent="0.2">
      <c r="A46" s="18" t="str">
        <f>IF(Productos!A46="","",Productos!A46)</f>
        <v>P045</v>
      </c>
      <c r="B46" s="18" t="str">
        <f>IF(Productos!B46="","",Productos!B46)</f>
        <v>PREENTRENO PANDA FIRST BLOOD PWO 20 SERV SOUR BLUE RASPBERRY</v>
      </c>
      <c r="C46" s="26">
        <f>IF(A46="","",Ventas!H46)</f>
        <v>0</v>
      </c>
      <c r="D46" s="26">
        <f t="shared" si="0"/>
        <v>0</v>
      </c>
      <c r="E46" s="26">
        <f t="shared" si="1"/>
        <v>0</v>
      </c>
      <c r="F46" s="26">
        <f t="shared" si="2"/>
        <v>0</v>
      </c>
    </row>
    <row r="47" spans="1:6" x14ac:dyDescent="0.2">
      <c r="A47" s="18" t="str">
        <f>IF(Productos!A47="","",Productos!A47)</f>
        <v>P046</v>
      </c>
      <c r="B47" s="18" t="str">
        <f>IF(Productos!B47="","",Productos!B47)</f>
        <v>PREENTRENO RYSE LOADED PRE 30 SERV KOOL AID TROPICAL PUNCH</v>
      </c>
      <c r="C47" s="26">
        <f>IF(A47="","",Ventas!H47)</f>
        <v>0</v>
      </c>
      <c r="D47" s="26">
        <f t="shared" si="0"/>
        <v>0</v>
      </c>
      <c r="E47" s="26">
        <f t="shared" si="1"/>
        <v>0</v>
      </c>
      <c r="F47" s="26">
        <f t="shared" si="2"/>
        <v>0</v>
      </c>
    </row>
    <row r="48" spans="1:6" x14ac:dyDescent="0.2">
      <c r="A48" s="18" t="str">
        <f>IF(Productos!A48="","",Productos!A48)</f>
        <v>P047</v>
      </c>
      <c r="B48" s="18" t="str">
        <f>IF(Productos!B48="","",Productos!B48)</f>
        <v>PREENTRENO VENOM</v>
      </c>
      <c r="C48" s="26">
        <f>IF(A48="","",Ventas!H48)</f>
        <v>0</v>
      </c>
      <c r="D48" s="26">
        <f t="shared" si="0"/>
        <v>0</v>
      </c>
      <c r="E48" s="26">
        <f t="shared" si="1"/>
        <v>0</v>
      </c>
      <c r="F48" s="26">
        <f t="shared" si="2"/>
        <v>0</v>
      </c>
    </row>
    <row r="49" spans="1:6" x14ac:dyDescent="0.2">
      <c r="A49" s="18" t="str">
        <f>IF(Productos!A49="","",Productos!A49)</f>
        <v>P048</v>
      </c>
      <c r="B49" s="18" t="str">
        <f>IF(Productos!B49="","",Productos!B49)</f>
        <v>PREENTRENO VENOM (unidad)</v>
      </c>
      <c r="C49" s="26">
        <f>IF(A49="","",Ventas!H49)</f>
        <v>0</v>
      </c>
      <c r="D49" s="26">
        <f t="shared" si="0"/>
        <v>0</v>
      </c>
      <c r="E49" s="26">
        <f t="shared" si="1"/>
        <v>0</v>
      </c>
      <c r="F49" s="26">
        <f t="shared" si="2"/>
        <v>0</v>
      </c>
    </row>
    <row r="50" spans="1:6" x14ac:dyDescent="0.2">
      <c r="A50" s="18" t="str">
        <f>IF(Productos!A50="","",Productos!A50)</f>
        <v>P049</v>
      </c>
      <c r="B50" s="18" t="str">
        <f>IF(Productos!B50="","",Productos!B50)</f>
        <v>PREETRENO RYSE GODZILLA BACK BERRY LEMONADE</v>
      </c>
      <c r="C50" s="26">
        <f>IF(A50="","",Ventas!H50)</f>
        <v>0</v>
      </c>
      <c r="D50" s="26">
        <f t="shared" si="0"/>
        <v>0</v>
      </c>
      <c r="E50" s="26">
        <f t="shared" si="1"/>
        <v>0</v>
      </c>
      <c r="F50" s="26">
        <f t="shared" si="2"/>
        <v>0</v>
      </c>
    </row>
    <row r="51" spans="1:6" x14ac:dyDescent="0.2">
      <c r="A51" s="18" t="str">
        <f>IF(Productos!A51="","",Productos!A51)</f>
        <v>P050</v>
      </c>
      <c r="B51" s="18" t="str">
        <f>IF(Productos!B51="","",Productos!B51)</f>
        <v>PREETRENO RYSE GODZILLA BACK BERRY LEMONADE</v>
      </c>
      <c r="C51" s="26">
        <f>IF(A51="","",Ventas!H51)</f>
        <v>0</v>
      </c>
      <c r="D51" s="26">
        <f t="shared" si="0"/>
        <v>0</v>
      </c>
      <c r="E51" s="26">
        <f t="shared" si="1"/>
        <v>0</v>
      </c>
      <c r="F51" s="26">
        <f t="shared" si="2"/>
        <v>0</v>
      </c>
    </row>
    <row r="52" spans="1:6" x14ac:dyDescent="0.2">
      <c r="A52" s="18" t="str">
        <f>IF(Productos!A52="","",Productos!A52)</f>
        <v>P051</v>
      </c>
      <c r="B52" s="18" t="str">
        <f>IF(Productos!B52="","",Productos!B52)</f>
        <v>PROTEIN BAR 12 PCK DOUBLE FUDGE BROWNIE</v>
      </c>
      <c r="C52" s="26">
        <f>IF(A52="","",Ventas!H52)</f>
        <v>0</v>
      </c>
      <c r="D52" s="26">
        <f t="shared" si="0"/>
        <v>0</v>
      </c>
      <c r="E52" s="26">
        <f t="shared" si="1"/>
        <v>0</v>
      </c>
      <c r="F52" s="26">
        <f t="shared" si="2"/>
        <v>0</v>
      </c>
    </row>
    <row r="53" spans="1:6" x14ac:dyDescent="0.2">
      <c r="A53" s="18" t="str">
        <f>IF(Productos!A53="","",Productos!A53)</f>
        <v>P052</v>
      </c>
      <c r="B53" s="18" t="str">
        <f>IF(Productos!B53="","",Productos!B53)</f>
        <v>PROTEINA BAR 12PACK DOUBLE FUDGE BRWNIE</v>
      </c>
      <c r="C53" s="26">
        <f>IF(A53="","",Ventas!H53)</f>
        <v>0</v>
      </c>
      <c r="D53" s="26">
        <f t="shared" si="0"/>
        <v>0</v>
      </c>
      <c r="E53" s="26">
        <f t="shared" si="1"/>
        <v>0</v>
      </c>
      <c r="F53" s="26">
        <f t="shared" si="2"/>
        <v>0</v>
      </c>
    </row>
    <row r="54" spans="1:6" x14ac:dyDescent="0.2">
      <c r="A54" s="18" t="str">
        <f>IF(Productos!A54="","",Productos!A54)</f>
        <v>P053</v>
      </c>
      <c r="B54" s="18" t="str">
        <f>IF(Productos!B54="","",Productos!B54)</f>
        <v>PROTEINA ISIPHORM 5 LBS VAINILLA</v>
      </c>
      <c r="C54" s="26">
        <f>IF(A54="","",Ventas!H54)</f>
        <v>0</v>
      </c>
      <c r="D54" s="26">
        <f t="shared" si="0"/>
        <v>0</v>
      </c>
      <c r="E54" s="26">
        <f t="shared" si="1"/>
        <v>0</v>
      </c>
      <c r="F54" s="26">
        <f t="shared" si="2"/>
        <v>0</v>
      </c>
    </row>
    <row r="55" spans="1:6" x14ac:dyDescent="0.2">
      <c r="A55" s="18" t="str">
        <f>IF(Productos!A55="","",Productos!A55)</f>
        <v>P054</v>
      </c>
      <c r="B55" s="18" t="str">
        <f>IF(Productos!B55="","",Productos!B55)</f>
        <v>PROTEINA ISO HD 5 LBS COOKIES BUTTER</v>
      </c>
      <c r="C55" s="26">
        <f>IF(A55="","",Ventas!H55)</f>
        <v>0</v>
      </c>
      <c r="D55" s="26">
        <f t="shared" si="0"/>
        <v>0</v>
      </c>
      <c r="E55" s="26">
        <f t="shared" si="1"/>
        <v>0</v>
      </c>
      <c r="F55" s="26">
        <f t="shared" si="2"/>
        <v>0</v>
      </c>
    </row>
    <row r="56" spans="1:6" x14ac:dyDescent="0.2">
      <c r="A56" s="18" t="str">
        <f>IF(Productos!A56="","",Productos!A56)</f>
        <v>P055</v>
      </c>
      <c r="B56" s="18" t="str">
        <f>IF(Productos!B56="","",Productos!B56)</f>
        <v>PROTEINA ISO-HD 5 LBS COOKIES BUTTER</v>
      </c>
      <c r="C56" s="26">
        <f>IF(A56="","",Ventas!H56)</f>
        <v>192.85714285714286</v>
      </c>
      <c r="D56" s="26">
        <f t="shared" si="0"/>
        <v>64.290000000000006</v>
      </c>
      <c r="E56" s="26">
        <f t="shared" si="1"/>
        <v>64.290000000000006</v>
      </c>
      <c r="F56" s="26">
        <f t="shared" si="2"/>
        <v>64.277142857142863</v>
      </c>
    </row>
    <row r="57" spans="1:6" x14ac:dyDescent="0.2">
      <c r="A57" s="18" t="str">
        <f>IF(Productos!A57="","",Productos!A57)</f>
        <v>P056</v>
      </c>
      <c r="B57" s="18" t="str">
        <f>IF(Productos!B57="","",Productos!B57)</f>
        <v>PROTEINA ISOFIT 5 LBS STRAWBERRY AND CREAM</v>
      </c>
      <c r="C57" s="26">
        <f>IF(A57="","",Ventas!H57)</f>
        <v>0</v>
      </c>
      <c r="D57" s="26">
        <f t="shared" si="0"/>
        <v>0</v>
      </c>
      <c r="E57" s="26">
        <f t="shared" si="1"/>
        <v>0</v>
      </c>
      <c r="F57" s="26">
        <f t="shared" si="2"/>
        <v>0</v>
      </c>
    </row>
    <row r="58" spans="1:6" x14ac:dyDescent="0.2">
      <c r="A58" s="18" t="str">
        <f>IF(Productos!A58="","",Productos!A58)</f>
        <v>P057</v>
      </c>
      <c r="B58" s="18" t="str">
        <f>IF(Productos!B58="","",Productos!B58)</f>
        <v>PROTEINA ISOPHORM 5 LBS BLUEBERR ICE CREAM</v>
      </c>
      <c r="C58" s="26">
        <f>IF(A58="","",Ventas!H58)</f>
        <v>0</v>
      </c>
      <c r="D58" s="26">
        <f t="shared" si="0"/>
        <v>0</v>
      </c>
      <c r="E58" s="26">
        <f t="shared" si="1"/>
        <v>0</v>
      </c>
      <c r="F58" s="26">
        <f t="shared" si="2"/>
        <v>0</v>
      </c>
    </row>
    <row r="59" spans="1:6" x14ac:dyDescent="0.2">
      <c r="A59" s="18" t="str">
        <f>IF(Productos!A59="","",Productos!A59)</f>
        <v>P058</v>
      </c>
      <c r="B59" s="18" t="str">
        <f>IF(Productos!B59="","",Productos!B59)</f>
        <v>PROTEINA ISOPURE ZERO CARB 4.5 LBS VAINILLA</v>
      </c>
      <c r="C59" s="26">
        <f>IF(A59="","",Ventas!H59)</f>
        <v>200</v>
      </c>
      <c r="D59" s="26">
        <f t="shared" si="0"/>
        <v>66.67</v>
      </c>
      <c r="E59" s="26">
        <f t="shared" si="1"/>
        <v>66.67</v>
      </c>
      <c r="F59" s="26">
        <f t="shared" si="2"/>
        <v>66.659999999999982</v>
      </c>
    </row>
    <row r="60" spans="1:6" x14ac:dyDescent="0.2">
      <c r="A60" s="18" t="str">
        <f>IF(Productos!A60="","",Productos!A60)</f>
        <v>P059</v>
      </c>
      <c r="B60" s="18" t="str">
        <f>IF(Productos!B60="","",Productos!B60)</f>
        <v>PROTEINA RAW CBUM ITHOLATE 5 LBS COOKIES &amp; CREAM (UND)</v>
      </c>
      <c r="C60" s="26">
        <f>IF(A60="","",Ventas!H60)</f>
        <v>150</v>
      </c>
      <c r="D60" s="26">
        <f t="shared" si="0"/>
        <v>50</v>
      </c>
      <c r="E60" s="26">
        <f t="shared" si="1"/>
        <v>50</v>
      </c>
      <c r="F60" s="26">
        <f t="shared" si="2"/>
        <v>50</v>
      </c>
    </row>
    <row r="61" spans="1:6" x14ac:dyDescent="0.2">
      <c r="A61" s="18" t="str">
        <f>IF(Productos!A61="","",Productos!A61)</f>
        <v>P060</v>
      </c>
      <c r="B61" s="18" t="str">
        <f>IF(Productos!B61="","",Productos!B61)</f>
        <v>RAW CBUM ESSENTIAL PWO 30 SERV JAMAICA *EDICION LIMITADA*</v>
      </c>
      <c r="C61" s="26">
        <f>IF(A61="","",Ventas!H61)</f>
        <v>245.45454545454547</v>
      </c>
      <c r="D61" s="26">
        <f t="shared" si="0"/>
        <v>81.819999999999993</v>
      </c>
      <c r="E61" s="26">
        <f t="shared" si="1"/>
        <v>81.819999999999993</v>
      </c>
      <c r="F61" s="26">
        <f t="shared" si="2"/>
        <v>81.814545454545481</v>
      </c>
    </row>
    <row r="62" spans="1:6" x14ac:dyDescent="0.2">
      <c r="A62" s="18" t="str">
        <f>IF(Productos!A62="","",Productos!A62)</f>
        <v>P061</v>
      </c>
      <c r="B62" s="18" t="str">
        <f>IF(Productos!B62="","",Productos!B62)</f>
        <v>RAW CREATINE MONOHYDRATE 100 SERV UNFLAVORED</v>
      </c>
      <c r="C62" s="26">
        <f>IF(A62="","",Ventas!H62)</f>
        <v>0</v>
      </c>
      <c r="D62" s="26">
        <f t="shared" si="0"/>
        <v>0</v>
      </c>
      <c r="E62" s="26">
        <f t="shared" si="1"/>
        <v>0</v>
      </c>
      <c r="F62" s="26">
        <f t="shared" si="2"/>
        <v>0</v>
      </c>
    </row>
    <row r="63" spans="1:6" x14ac:dyDescent="0.2">
      <c r="A63" s="18" t="str">
        <f>IF(Productos!A63="","",Productos!A63)</f>
        <v>P062</v>
      </c>
      <c r="B63" s="18" t="str">
        <f>IF(Productos!B63="","",Productos!B63)</f>
        <v>RAW CREATINE MONOHYDRATE 250 SERV UNFLAVORED *NUEVO*</v>
      </c>
      <c r="C63" s="26">
        <f>IF(A63="","",Ventas!H63)</f>
        <v>0</v>
      </c>
      <c r="D63" s="26">
        <f t="shared" si="0"/>
        <v>0</v>
      </c>
      <c r="E63" s="26">
        <f t="shared" si="1"/>
        <v>0</v>
      </c>
      <c r="F63" s="26">
        <f t="shared" si="2"/>
        <v>0</v>
      </c>
    </row>
    <row r="64" spans="1:6" x14ac:dyDescent="0.2">
      <c r="A64" s="18" t="str">
        <f>IF(Productos!A64="","",Productos!A64)</f>
        <v>P063</v>
      </c>
      <c r="B64" s="18" t="str">
        <f>IF(Productos!B64="","",Productos!B64)</f>
        <v xml:space="preserve">RAW MY COOKIE DEALER 113 G 12 PACK MILK &amp; COOKIES </v>
      </c>
      <c r="C64" s="26">
        <f>IF(A64="","",Ventas!H64)</f>
        <v>440</v>
      </c>
      <c r="D64" s="26">
        <f t="shared" si="0"/>
        <v>146.66999999999999</v>
      </c>
      <c r="E64" s="26">
        <f t="shared" si="1"/>
        <v>146.66999999999999</v>
      </c>
      <c r="F64" s="26">
        <f t="shared" si="2"/>
        <v>146.66000000000005</v>
      </c>
    </row>
    <row r="65" spans="1:6" x14ac:dyDescent="0.2">
      <c r="A65" s="18" t="str">
        <f>IF(Productos!A65="","",Productos!A65)</f>
        <v>P064</v>
      </c>
      <c r="B65" s="18" t="str">
        <f>IF(Productos!B65="","",Productos!B65)</f>
        <v>TESTROL GOGA TESTROL GOLD 60 TABSLD</v>
      </c>
      <c r="C65" s="26">
        <f>IF(A65="","",Ventas!H65)</f>
        <v>0</v>
      </c>
      <c r="D65" s="26">
        <f t="shared" si="0"/>
        <v>0</v>
      </c>
      <c r="E65" s="26">
        <f t="shared" si="1"/>
        <v>0</v>
      </c>
      <c r="F65" s="26">
        <f t="shared" si="2"/>
        <v>0</v>
      </c>
    </row>
    <row r="66" spans="1:6" x14ac:dyDescent="0.2">
      <c r="A66" s="18" t="str">
        <f>IF(Productos!A66="","",Productos!A66)</f>
        <v>P065</v>
      </c>
      <c r="B66" s="18" t="str">
        <f>IF(Productos!B66="","",Productos!B66)</f>
        <v>THINK HIGH PROTEIN 10 BARS CHUNKY PEANUT BUTTER</v>
      </c>
      <c r="C66" s="26">
        <f>IF(A66="","",Ventas!H66)</f>
        <v>0</v>
      </c>
      <c r="D66" s="26">
        <f t="shared" si="0"/>
        <v>0</v>
      </c>
      <c r="E66" s="26">
        <f t="shared" si="1"/>
        <v>0</v>
      </c>
      <c r="F66" s="26">
        <f t="shared" si="2"/>
        <v>0</v>
      </c>
    </row>
    <row r="67" spans="1:6" x14ac:dyDescent="0.2">
      <c r="A67" s="18" t="str">
        <f>IF(Productos!A67="","",Productos!A67)</f>
        <v>P066</v>
      </c>
      <c r="B67" s="18" t="str">
        <f>IF(Productos!B67="","",Productos!B67)</f>
        <v>THINK HIGH PROTEIN 10 BARS COOKIES &amp; CREAM</v>
      </c>
      <c r="C67" s="26">
        <f>IF(A67="","",Ventas!H67)</f>
        <v>0</v>
      </c>
      <c r="D67" s="26">
        <f t="shared" ref="D67:D130" si="3">IF(A67="","",ROUND(C67/3,2))</f>
        <v>0</v>
      </c>
      <c r="E67" s="26">
        <f t="shared" ref="E67:E130" si="4">IF(A67="","",ROUND(C67/3,2))</f>
        <v>0</v>
      </c>
      <c r="F67" s="26">
        <f t="shared" ref="F67:F130" si="5">IF(A67="","",C67-D67-E67)</f>
        <v>0</v>
      </c>
    </row>
    <row r="68" spans="1:6" x14ac:dyDescent="0.2">
      <c r="A68" s="18" t="str">
        <f>IF(Productos!A68="","",Productos!A68)</f>
        <v>P067</v>
      </c>
      <c r="B68" s="18" t="str">
        <f>IF(Productos!B68="","",Productos!B68)</f>
        <v>TOTAL WAR BLACK OPS 20 SERV TIGERS BLOOD *CAD 07/27*</v>
      </c>
      <c r="C68" s="26">
        <f>IF(A68="","",Ventas!H68)</f>
        <v>0</v>
      </c>
      <c r="D68" s="26">
        <f t="shared" si="3"/>
        <v>0</v>
      </c>
      <c r="E68" s="26">
        <f t="shared" si="4"/>
        <v>0</v>
      </c>
      <c r="F68" s="26">
        <f t="shared" si="5"/>
        <v>0</v>
      </c>
    </row>
    <row r="69" spans="1:6" x14ac:dyDescent="0.2">
      <c r="A69" s="18" t="str">
        <f>IF(Productos!A69="","",Productos!A69)</f>
        <v>P068</v>
      </c>
      <c r="B69" s="18" t="str">
        <f>IF(Productos!B69="","",Productos!B69)</f>
        <v>VASOS SHAKERS</v>
      </c>
      <c r="C69" s="26">
        <f>IF(A69="","",Ventas!H69)</f>
        <v>60</v>
      </c>
      <c r="D69" s="26">
        <f t="shared" si="3"/>
        <v>20</v>
      </c>
      <c r="E69" s="26">
        <f t="shared" si="4"/>
        <v>20</v>
      </c>
      <c r="F69" s="26">
        <f t="shared" si="5"/>
        <v>20</v>
      </c>
    </row>
    <row r="70" spans="1:6" x14ac:dyDescent="0.2">
      <c r="A70" s="18" t="str">
        <f>IF(Productos!A70="","",Productos!A70)</f>
        <v/>
      </c>
      <c r="B70" s="18" t="str">
        <f>IF(Productos!B70="","",Productos!B70)</f>
        <v/>
      </c>
      <c r="C70" s="26" t="str">
        <f>IF(A70="","",Ventas!H70)</f>
        <v/>
      </c>
      <c r="D70" s="26" t="str">
        <f t="shared" si="3"/>
        <v/>
      </c>
      <c r="E70" s="26" t="str">
        <f t="shared" si="4"/>
        <v/>
      </c>
      <c r="F70" s="26" t="str">
        <f t="shared" si="5"/>
        <v/>
      </c>
    </row>
    <row r="71" spans="1:6" x14ac:dyDescent="0.2">
      <c r="A71" s="18" t="str">
        <f>IF(Productos!A71="","",Productos!A71)</f>
        <v/>
      </c>
      <c r="B71" s="18" t="str">
        <f>IF(Productos!B71="","",Productos!B71)</f>
        <v/>
      </c>
      <c r="C71" s="26" t="str">
        <f>IF(A71="","",Ventas!H71)</f>
        <v/>
      </c>
      <c r="D71" s="26" t="str">
        <f t="shared" si="3"/>
        <v/>
      </c>
      <c r="E71" s="26" t="str">
        <f t="shared" si="4"/>
        <v/>
      </c>
      <c r="F71" s="26" t="str">
        <f t="shared" si="5"/>
        <v/>
      </c>
    </row>
    <row r="72" spans="1:6" x14ac:dyDescent="0.2">
      <c r="A72" s="18" t="str">
        <f>IF(Productos!A72="","",Productos!A72)</f>
        <v/>
      </c>
      <c r="B72" s="18" t="str">
        <f>IF(Productos!B72="","",Productos!B72)</f>
        <v/>
      </c>
      <c r="C72" s="26" t="str">
        <f>IF(A72="","",Ventas!H72)</f>
        <v/>
      </c>
      <c r="D72" s="26" t="str">
        <f t="shared" si="3"/>
        <v/>
      </c>
      <c r="E72" s="26" t="str">
        <f t="shared" si="4"/>
        <v/>
      </c>
      <c r="F72" s="26" t="str">
        <f t="shared" si="5"/>
        <v/>
      </c>
    </row>
    <row r="73" spans="1:6" x14ac:dyDescent="0.2">
      <c r="A73" s="18" t="str">
        <f>IF(Productos!A73="","",Productos!A73)</f>
        <v/>
      </c>
      <c r="B73" s="18" t="str">
        <f>IF(Productos!B73="","",Productos!B73)</f>
        <v/>
      </c>
      <c r="C73" s="26" t="str">
        <f>IF(A73="","",Ventas!H73)</f>
        <v/>
      </c>
      <c r="D73" s="26" t="str">
        <f t="shared" si="3"/>
        <v/>
      </c>
      <c r="E73" s="26" t="str">
        <f t="shared" si="4"/>
        <v/>
      </c>
      <c r="F73" s="26" t="str">
        <f t="shared" si="5"/>
        <v/>
      </c>
    </row>
    <row r="74" spans="1:6" x14ac:dyDescent="0.2">
      <c r="A74" s="18" t="str">
        <f>IF(Productos!A74="","",Productos!A74)</f>
        <v/>
      </c>
      <c r="B74" s="18" t="str">
        <f>IF(Productos!B74="","",Productos!B74)</f>
        <v/>
      </c>
      <c r="C74" s="26" t="str">
        <f>IF(A74="","",Ventas!H74)</f>
        <v/>
      </c>
      <c r="D74" s="26" t="str">
        <f t="shared" si="3"/>
        <v/>
      </c>
      <c r="E74" s="26" t="str">
        <f t="shared" si="4"/>
        <v/>
      </c>
      <c r="F74" s="26" t="str">
        <f t="shared" si="5"/>
        <v/>
      </c>
    </row>
    <row r="75" spans="1:6" x14ac:dyDescent="0.2">
      <c r="A75" s="18" t="str">
        <f>IF(Productos!A75="","",Productos!A75)</f>
        <v/>
      </c>
      <c r="B75" s="18" t="str">
        <f>IF(Productos!B75="","",Productos!B75)</f>
        <v/>
      </c>
      <c r="C75" s="26" t="str">
        <f>IF(A75="","",Ventas!H75)</f>
        <v/>
      </c>
      <c r="D75" s="26" t="str">
        <f t="shared" si="3"/>
        <v/>
      </c>
      <c r="E75" s="26" t="str">
        <f t="shared" si="4"/>
        <v/>
      </c>
      <c r="F75" s="26" t="str">
        <f t="shared" si="5"/>
        <v/>
      </c>
    </row>
    <row r="76" spans="1:6" x14ac:dyDescent="0.2">
      <c r="A76" s="18" t="str">
        <f>IF(Productos!A76="","",Productos!A76)</f>
        <v/>
      </c>
      <c r="B76" s="18" t="str">
        <f>IF(Productos!B76="","",Productos!B76)</f>
        <v/>
      </c>
      <c r="C76" s="26" t="str">
        <f>IF(A76="","",Ventas!H76)</f>
        <v/>
      </c>
      <c r="D76" s="26" t="str">
        <f t="shared" si="3"/>
        <v/>
      </c>
      <c r="E76" s="26" t="str">
        <f t="shared" si="4"/>
        <v/>
      </c>
      <c r="F76" s="26" t="str">
        <f t="shared" si="5"/>
        <v/>
      </c>
    </row>
    <row r="77" spans="1:6" x14ac:dyDescent="0.2">
      <c r="A77" s="18" t="str">
        <f>IF(Productos!A77="","",Productos!A77)</f>
        <v/>
      </c>
      <c r="B77" s="18" t="str">
        <f>IF(Productos!B77="","",Productos!B77)</f>
        <v/>
      </c>
      <c r="C77" s="26" t="str">
        <f>IF(A77="","",Ventas!H77)</f>
        <v/>
      </c>
      <c r="D77" s="26" t="str">
        <f t="shared" si="3"/>
        <v/>
      </c>
      <c r="E77" s="26" t="str">
        <f t="shared" si="4"/>
        <v/>
      </c>
      <c r="F77" s="26" t="str">
        <f t="shared" si="5"/>
        <v/>
      </c>
    </row>
    <row r="78" spans="1:6" x14ac:dyDescent="0.2">
      <c r="A78" s="18" t="str">
        <f>IF(Productos!A78="","",Productos!A78)</f>
        <v/>
      </c>
      <c r="B78" s="18" t="str">
        <f>IF(Productos!B78="","",Productos!B78)</f>
        <v/>
      </c>
      <c r="C78" s="26" t="str">
        <f>IF(A78="","",Ventas!H78)</f>
        <v/>
      </c>
      <c r="D78" s="26" t="str">
        <f t="shared" si="3"/>
        <v/>
      </c>
      <c r="E78" s="26" t="str">
        <f t="shared" si="4"/>
        <v/>
      </c>
      <c r="F78" s="26" t="str">
        <f t="shared" si="5"/>
        <v/>
      </c>
    </row>
    <row r="79" spans="1:6" x14ac:dyDescent="0.2">
      <c r="A79" s="18" t="str">
        <f>IF(Productos!A79="","",Productos!A79)</f>
        <v/>
      </c>
      <c r="B79" s="18" t="str">
        <f>IF(Productos!B79="","",Productos!B79)</f>
        <v/>
      </c>
      <c r="C79" s="26" t="str">
        <f>IF(A79="","",Ventas!H79)</f>
        <v/>
      </c>
      <c r="D79" s="26" t="str">
        <f t="shared" si="3"/>
        <v/>
      </c>
      <c r="E79" s="26" t="str">
        <f t="shared" si="4"/>
        <v/>
      </c>
      <c r="F79" s="26" t="str">
        <f t="shared" si="5"/>
        <v/>
      </c>
    </row>
    <row r="80" spans="1:6" x14ac:dyDescent="0.2">
      <c r="A80" s="18" t="str">
        <f>IF(Productos!A80="","",Productos!A80)</f>
        <v/>
      </c>
      <c r="B80" s="18" t="str">
        <f>IF(Productos!B80="","",Productos!B80)</f>
        <v/>
      </c>
      <c r="C80" s="26" t="str">
        <f>IF(A80="","",Ventas!H80)</f>
        <v/>
      </c>
      <c r="D80" s="26" t="str">
        <f t="shared" si="3"/>
        <v/>
      </c>
      <c r="E80" s="26" t="str">
        <f t="shared" si="4"/>
        <v/>
      </c>
      <c r="F80" s="26" t="str">
        <f t="shared" si="5"/>
        <v/>
      </c>
    </row>
    <row r="81" spans="1:6" x14ac:dyDescent="0.2">
      <c r="A81" s="18" t="str">
        <f>IF(Productos!A81="","",Productos!A81)</f>
        <v/>
      </c>
      <c r="B81" s="18" t="str">
        <f>IF(Productos!B81="","",Productos!B81)</f>
        <v/>
      </c>
      <c r="C81" s="26" t="str">
        <f>IF(A81="","",Ventas!H81)</f>
        <v/>
      </c>
      <c r="D81" s="26" t="str">
        <f t="shared" si="3"/>
        <v/>
      </c>
      <c r="E81" s="26" t="str">
        <f t="shared" si="4"/>
        <v/>
      </c>
      <c r="F81" s="26" t="str">
        <f t="shared" si="5"/>
        <v/>
      </c>
    </row>
    <row r="82" spans="1:6" x14ac:dyDescent="0.2">
      <c r="A82" s="18" t="str">
        <f>IF(Productos!A82="","",Productos!A82)</f>
        <v/>
      </c>
      <c r="B82" s="18" t="str">
        <f>IF(Productos!B82="","",Productos!B82)</f>
        <v/>
      </c>
      <c r="C82" s="26" t="str">
        <f>IF(A82="","",Ventas!H82)</f>
        <v/>
      </c>
      <c r="D82" s="26" t="str">
        <f t="shared" si="3"/>
        <v/>
      </c>
      <c r="E82" s="26" t="str">
        <f t="shared" si="4"/>
        <v/>
      </c>
      <c r="F82" s="26" t="str">
        <f t="shared" si="5"/>
        <v/>
      </c>
    </row>
    <row r="83" spans="1:6" x14ac:dyDescent="0.2">
      <c r="A83" s="18" t="str">
        <f>IF(Productos!A83="","",Productos!A83)</f>
        <v/>
      </c>
      <c r="B83" s="18" t="str">
        <f>IF(Productos!B83="","",Productos!B83)</f>
        <v/>
      </c>
      <c r="C83" s="26" t="str">
        <f>IF(A83="","",Ventas!H83)</f>
        <v/>
      </c>
      <c r="D83" s="26" t="str">
        <f t="shared" si="3"/>
        <v/>
      </c>
      <c r="E83" s="26" t="str">
        <f t="shared" si="4"/>
        <v/>
      </c>
      <c r="F83" s="26" t="str">
        <f t="shared" si="5"/>
        <v/>
      </c>
    </row>
    <row r="84" spans="1:6" x14ac:dyDescent="0.2">
      <c r="A84" s="18" t="str">
        <f>IF(Productos!A84="","",Productos!A84)</f>
        <v/>
      </c>
      <c r="B84" s="18" t="str">
        <f>IF(Productos!B84="","",Productos!B84)</f>
        <v/>
      </c>
      <c r="C84" s="26" t="str">
        <f>IF(A84="","",Ventas!H84)</f>
        <v/>
      </c>
      <c r="D84" s="26" t="str">
        <f t="shared" si="3"/>
        <v/>
      </c>
      <c r="E84" s="26" t="str">
        <f t="shared" si="4"/>
        <v/>
      </c>
      <c r="F84" s="26" t="str">
        <f t="shared" si="5"/>
        <v/>
      </c>
    </row>
    <row r="85" spans="1:6" x14ac:dyDescent="0.2">
      <c r="A85" s="18" t="str">
        <f>IF(Productos!A85="","",Productos!A85)</f>
        <v/>
      </c>
      <c r="B85" s="18" t="str">
        <f>IF(Productos!B85="","",Productos!B85)</f>
        <v/>
      </c>
      <c r="C85" s="26" t="str">
        <f>IF(A85="","",Ventas!H85)</f>
        <v/>
      </c>
      <c r="D85" s="26" t="str">
        <f t="shared" si="3"/>
        <v/>
      </c>
      <c r="E85" s="26" t="str">
        <f t="shared" si="4"/>
        <v/>
      </c>
      <c r="F85" s="26" t="str">
        <f t="shared" si="5"/>
        <v/>
      </c>
    </row>
    <row r="86" spans="1:6" x14ac:dyDescent="0.2">
      <c r="A86" s="18" t="str">
        <f>IF(Productos!A86="","",Productos!A86)</f>
        <v/>
      </c>
      <c r="B86" s="18" t="str">
        <f>IF(Productos!B86="","",Productos!B86)</f>
        <v/>
      </c>
      <c r="C86" s="26" t="str">
        <f>IF(A86="","",Ventas!H86)</f>
        <v/>
      </c>
      <c r="D86" s="26" t="str">
        <f t="shared" si="3"/>
        <v/>
      </c>
      <c r="E86" s="26" t="str">
        <f t="shared" si="4"/>
        <v/>
      </c>
      <c r="F86" s="26" t="str">
        <f t="shared" si="5"/>
        <v/>
      </c>
    </row>
    <row r="87" spans="1:6" x14ac:dyDescent="0.2">
      <c r="A87" s="18" t="str">
        <f>IF(Productos!A87="","",Productos!A87)</f>
        <v/>
      </c>
      <c r="B87" s="18" t="str">
        <f>IF(Productos!B87="","",Productos!B87)</f>
        <v/>
      </c>
      <c r="C87" s="26" t="str">
        <f>IF(A87="","",Ventas!H87)</f>
        <v/>
      </c>
      <c r="D87" s="26" t="str">
        <f t="shared" si="3"/>
        <v/>
      </c>
      <c r="E87" s="26" t="str">
        <f t="shared" si="4"/>
        <v/>
      </c>
      <c r="F87" s="26" t="str">
        <f t="shared" si="5"/>
        <v/>
      </c>
    </row>
    <row r="88" spans="1:6" x14ac:dyDescent="0.2">
      <c r="A88" s="18" t="str">
        <f>IF(Productos!A88="","",Productos!A88)</f>
        <v/>
      </c>
      <c r="B88" s="18" t="str">
        <f>IF(Productos!B88="","",Productos!B88)</f>
        <v/>
      </c>
      <c r="C88" s="26" t="str">
        <f>IF(A88="","",Ventas!H88)</f>
        <v/>
      </c>
      <c r="D88" s="26" t="str">
        <f t="shared" si="3"/>
        <v/>
      </c>
      <c r="E88" s="26" t="str">
        <f t="shared" si="4"/>
        <v/>
      </c>
      <c r="F88" s="26" t="str">
        <f t="shared" si="5"/>
        <v/>
      </c>
    </row>
    <row r="89" spans="1:6" x14ac:dyDescent="0.2">
      <c r="A89" s="18" t="str">
        <f>IF(Productos!A89="","",Productos!A89)</f>
        <v/>
      </c>
      <c r="B89" s="18" t="str">
        <f>IF(Productos!B89="","",Productos!B89)</f>
        <v/>
      </c>
      <c r="C89" s="26" t="str">
        <f>IF(A89="","",Ventas!H89)</f>
        <v/>
      </c>
      <c r="D89" s="26" t="str">
        <f t="shared" si="3"/>
        <v/>
      </c>
      <c r="E89" s="26" t="str">
        <f t="shared" si="4"/>
        <v/>
      </c>
      <c r="F89" s="26" t="str">
        <f t="shared" si="5"/>
        <v/>
      </c>
    </row>
    <row r="90" spans="1:6" x14ac:dyDescent="0.2">
      <c r="A90" s="18" t="str">
        <f>IF(Productos!A90="","",Productos!A90)</f>
        <v/>
      </c>
      <c r="B90" s="18" t="str">
        <f>IF(Productos!B90="","",Productos!B90)</f>
        <v/>
      </c>
      <c r="C90" s="26" t="str">
        <f>IF(A90="","",Ventas!H90)</f>
        <v/>
      </c>
      <c r="D90" s="26" t="str">
        <f t="shared" si="3"/>
        <v/>
      </c>
      <c r="E90" s="26" t="str">
        <f t="shared" si="4"/>
        <v/>
      </c>
      <c r="F90" s="26" t="str">
        <f t="shared" si="5"/>
        <v/>
      </c>
    </row>
    <row r="91" spans="1:6" x14ac:dyDescent="0.2">
      <c r="A91" s="18" t="str">
        <f>IF(Productos!A91="","",Productos!A91)</f>
        <v/>
      </c>
      <c r="B91" s="18" t="str">
        <f>IF(Productos!B91="","",Productos!B91)</f>
        <v/>
      </c>
      <c r="C91" s="26" t="str">
        <f>IF(A91="","",Ventas!H91)</f>
        <v/>
      </c>
      <c r="D91" s="26" t="str">
        <f t="shared" si="3"/>
        <v/>
      </c>
      <c r="E91" s="26" t="str">
        <f t="shared" si="4"/>
        <v/>
      </c>
      <c r="F91" s="26" t="str">
        <f t="shared" si="5"/>
        <v/>
      </c>
    </row>
    <row r="92" spans="1:6" x14ac:dyDescent="0.2">
      <c r="A92" s="18" t="str">
        <f>IF(Productos!A92="","",Productos!A92)</f>
        <v/>
      </c>
      <c r="B92" s="18" t="str">
        <f>IF(Productos!B92="","",Productos!B92)</f>
        <v/>
      </c>
      <c r="C92" s="26" t="str">
        <f>IF(A92="","",Ventas!H92)</f>
        <v/>
      </c>
      <c r="D92" s="26" t="str">
        <f t="shared" si="3"/>
        <v/>
      </c>
      <c r="E92" s="26" t="str">
        <f t="shared" si="4"/>
        <v/>
      </c>
      <c r="F92" s="26" t="str">
        <f t="shared" si="5"/>
        <v/>
      </c>
    </row>
    <row r="93" spans="1:6" x14ac:dyDescent="0.2">
      <c r="A93" s="18" t="str">
        <f>IF(Productos!A93="","",Productos!A93)</f>
        <v/>
      </c>
      <c r="B93" s="18" t="str">
        <f>IF(Productos!B93="","",Productos!B93)</f>
        <v/>
      </c>
      <c r="C93" s="26" t="str">
        <f>IF(A93="","",Ventas!H93)</f>
        <v/>
      </c>
      <c r="D93" s="26" t="str">
        <f t="shared" si="3"/>
        <v/>
      </c>
      <c r="E93" s="26" t="str">
        <f t="shared" si="4"/>
        <v/>
      </c>
      <c r="F93" s="26" t="str">
        <f t="shared" si="5"/>
        <v/>
      </c>
    </row>
    <row r="94" spans="1:6" x14ac:dyDescent="0.2">
      <c r="A94" s="18" t="str">
        <f>IF(Productos!A94="","",Productos!A94)</f>
        <v/>
      </c>
      <c r="B94" s="18" t="str">
        <f>IF(Productos!B94="","",Productos!B94)</f>
        <v/>
      </c>
      <c r="C94" s="26" t="str">
        <f>IF(A94="","",Ventas!H94)</f>
        <v/>
      </c>
      <c r="D94" s="26" t="str">
        <f t="shared" si="3"/>
        <v/>
      </c>
      <c r="E94" s="26" t="str">
        <f t="shared" si="4"/>
        <v/>
      </c>
      <c r="F94" s="26" t="str">
        <f t="shared" si="5"/>
        <v/>
      </c>
    </row>
    <row r="95" spans="1:6" x14ac:dyDescent="0.2">
      <c r="A95" s="18" t="str">
        <f>IF(Productos!A95="","",Productos!A95)</f>
        <v/>
      </c>
      <c r="B95" s="18" t="str">
        <f>IF(Productos!B95="","",Productos!B95)</f>
        <v/>
      </c>
      <c r="C95" s="26" t="str">
        <f>IF(A95="","",Ventas!H95)</f>
        <v/>
      </c>
      <c r="D95" s="26" t="str">
        <f t="shared" si="3"/>
        <v/>
      </c>
      <c r="E95" s="26" t="str">
        <f t="shared" si="4"/>
        <v/>
      </c>
      <c r="F95" s="26" t="str">
        <f t="shared" si="5"/>
        <v/>
      </c>
    </row>
    <row r="96" spans="1:6" x14ac:dyDescent="0.2">
      <c r="A96" s="18" t="str">
        <f>IF(Productos!A96="","",Productos!A96)</f>
        <v/>
      </c>
      <c r="B96" s="18" t="str">
        <f>IF(Productos!B96="","",Productos!B96)</f>
        <v/>
      </c>
      <c r="C96" s="26" t="str">
        <f>IF(A96="","",Ventas!H96)</f>
        <v/>
      </c>
      <c r="D96" s="26" t="str">
        <f t="shared" si="3"/>
        <v/>
      </c>
      <c r="E96" s="26" t="str">
        <f t="shared" si="4"/>
        <v/>
      </c>
      <c r="F96" s="26" t="str">
        <f t="shared" si="5"/>
        <v/>
      </c>
    </row>
    <row r="97" spans="1:6" x14ac:dyDescent="0.2">
      <c r="A97" s="18" t="str">
        <f>IF(Productos!A97="","",Productos!A97)</f>
        <v/>
      </c>
      <c r="B97" s="18" t="str">
        <f>IF(Productos!B97="","",Productos!B97)</f>
        <v/>
      </c>
      <c r="C97" s="26" t="str">
        <f>IF(A97="","",Ventas!H97)</f>
        <v/>
      </c>
      <c r="D97" s="26" t="str">
        <f t="shared" si="3"/>
        <v/>
      </c>
      <c r="E97" s="26" t="str">
        <f t="shared" si="4"/>
        <v/>
      </c>
      <c r="F97" s="26" t="str">
        <f t="shared" si="5"/>
        <v/>
      </c>
    </row>
    <row r="98" spans="1:6" x14ac:dyDescent="0.2">
      <c r="A98" s="18" t="str">
        <f>IF(Productos!A98="","",Productos!A98)</f>
        <v/>
      </c>
      <c r="B98" s="18" t="str">
        <f>IF(Productos!B98="","",Productos!B98)</f>
        <v/>
      </c>
      <c r="C98" s="26" t="str">
        <f>IF(A98="","",Ventas!H98)</f>
        <v/>
      </c>
      <c r="D98" s="26" t="str">
        <f t="shared" si="3"/>
        <v/>
      </c>
      <c r="E98" s="26" t="str">
        <f t="shared" si="4"/>
        <v/>
      </c>
      <c r="F98" s="26" t="str">
        <f t="shared" si="5"/>
        <v/>
      </c>
    </row>
    <row r="99" spans="1:6" x14ac:dyDescent="0.2">
      <c r="A99" s="18" t="str">
        <f>IF(Productos!A99="","",Productos!A99)</f>
        <v/>
      </c>
      <c r="B99" s="18" t="str">
        <f>IF(Productos!B99="","",Productos!B99)</f>
        <v/>
      </c>
      <c r="C99" s="26" t="str">
        <f>IF(A99="","",Ventas!H99)</f>
        <v/>
      </c>
      <c r="D99" s="26" t="str">
        <f t="shared" si="3"/>
        <v/>
      </c>
      <c r="E99" s="26" t="str">
        <f t="shared" si="4"/>
        <v/>
      </c>
      <c r="F99" s="26" t="str">
        <f t="shared" si="5"/>
        <v/>
      </c>
    </row>
    <row r="100" spans="1:6" x14ac:dyDescent="0.2">
      <c r="A100" s="18" t="str">
        <f>IF(Productos!A100="","",Productos!A100)</f>
        <v/>
      </c>
      <c r="B100" s="18" t="str">
        <f>IF(Productos!B100="","",Productos!B100)</f>
        <v/>
      </c>
      <c r="C100" s="26" t="str">
        <f>IF(A100="","",Ventas!H100)</f>
        <v/>
      </c>
      <c r="D100" s="26" t="str">
        <f t="shared" si="3"/>
        <v/>
      </c>
      <c r="E100" s="26" t="str">
        <f t="shared" si="4"/>
        <v/>
      </c>
      <c r="F100" s="26" t="str">
        <f t="shared" si="5"/>
        <v/>
      </c>
    </row>
    <row r="101" spans="1:6" x14ac:dyDescent="0.2">
      <c r="A101" s="18" t="str">
        <f>IF(Productos!A101="","",Productos!A101)</f>
        <v/>
      </c>
      <c r="B101" s="18" t="str">
        <f>IF(Productos!B101="","",Productos!B101)</f>
        <v/>
      </c>
      <c r="C101" s="26" t="str">
        <f>IF(A101="","",Ventas!H101)</f>
        <v/>
      </c>
      <c r="D101" s="26" t="str">
        <f t="shared" si="3"/>
        <v/>
      </c>
      <c r="E101" s="26" t="str">
        <f t="shared" si="4"/>
        <v/>
      </c>
      <c r="F101" s="26" t="str">
        <f t="shared" si="5"/>
        <v/>
      </c>
    </row>
    <row r="102" spans="1:6" x14ac:dyDescent="0.2">
      <c r="A102" s="18" t="str">
        <f>IF(Productos!A102="","",Productos!A102)</f>
        <v/>
      </c>
      <c r="B102" s="18" t="str">
        <f>IF(Productos!B102="","",Productos!B102)</f>
        <v/>
      </c>
      <c r="C102" s="26" t="str">
        <f>IF(A102="","",Ventas!H102)</f>
        <v/>
      </c>
      <c r="D102" s="26" t="str">
        <f t="shared" si="3"/>
        <v/>
      </c>
      <c r="E102" s="26" t="str">
        <f t="shared" si="4"/>
        <v/>
      </c>
      <c r="F102" s="26" t="str">
        <f t="shared" si="5"/>
        <v/>
      </c>
    </row>
    <row r="103" spans="1:6" x14ac:dyDescent="0.2">
      <c r="A103" s="18" t="str">
        <f>IF(Productos!A103="","",Productos!A103)</f>
        <v/>
      </c>
      <c r="B103" s="18" t="str">
        <f>IF(Productos!B103="","",Productos!B103)</f>
        <v/>
      </c>
      <c r="C103" s="26" t="str">
        <f>IF(A103="","",Ventas!H103)</f>
        <v/>
      </c>
      <c r="D103" s="26" t="str">
        <f t="shared" si="3"/>
        <v/>
      </c>
      <c r="E103" s="26" t="str">
        <f t="shared" si="4"/>
        <v/>
      </c>
      <c r="F103" s="26" t="str">
        <f t="shared" si="5"/>
        <v/>
      </c>
    </row>
    <row r="104" spans="1:6" x14ac:dyDescent="0.2">
      <c r="A104" s="18" t="str">
        <f>IF(Productos!A104="","",Productos!A104)</f>
        <v/>
      </c>
      <c r="B104" s="18" t="str">
        <f>IF(Productos!B104="","",Productos!B104)</f>
        <v/>
      </c>
      <c r="C104" s="26" t="str">
        <f>IF(A104="","",Ventas!H104)</f>
        <v/>
      </c>
      <c r="D104" s="26" t="str">
        <f t="shared" si="3"/>
        <v/>
      </c>
      <c r="E104" s="26" t="str">
        <f t="shared" si="4"/>
        <v/>
      </c>
      <c r="F104" s="26" t="str">
        <f t="shared" si="5"/>
        <v/>
      </c>
    </row>
    <row r="105" spans="1:6" x14ac:dyDescent="0.2">
      <c r="A105" s="18" t="str">
        <f>IF(Productos!A105="","",Productos!A105)</f>
        <v/>
      </c>
      <c r="B105" s="18" t="str">
        <f>IF(Productos!B105="","",Productos!B105)</f>
        <v/>
      </c>
      <c r="C105" s="26" t="str">
        <f>IF(A105="","",Ventas!H105)</f>
        <v/>
      </c>
      <c r="D105" s="26" t="str">
        <f t="shared" si="3"/>
        <v/>
      </c>
      <c r="E105" s="26" t="str">
        <f t="shared" si="4"/>
        <v/>
      </c>
      <c r="F105" s="26" t="str">
        <f t="shared" si="5"/>
        <v/>
      </c>
    </row>
    <row r="106" spans="1:6" x14ac:dyDescent="0.2">
      <c r="A106" s="18" t="str">
        <f>IF(Productos!A106="","",Productos!A106)</f>
        <v/>
      </c>
      <c r="B106" s="18" t="str">
        <f>IF(Productos!B106="","",Productos!B106)</f>
        <v/>
      </c>
      <c r="C106" s="26" t="str">
        <f>IF(A106="","",Ventas!H106)</f>
        <v/>
      </c>
      <c r="D106" s="26" t="str">
        <f t="shared" si="3"/>
        <v/>
      </c>
      <c r="E106" s="26" t="str">
        <f t="shared" si="4"/>
        <v/>
      </c>
      <c r="F106" s="26" t="str">
        <f t="shared" si="5"/>
        <v/>
      </c>
    </row>
    <row r="107" spans="1:6" x14ac:dyDescent="0.2">
      <c r="A107" s="18" t="str">
        <f>IF(Productos!A107="","",Productos!A107)</f>
        <v/>
      </c>
      <c r="B107" s="18" t="str">
        <f>IF(Productos!B107="","",Productos!B107)</f>
        <v/>
      </c>
      <c r="C107" s="26" t="str">
        <f>IF(A107="","",Ventas!H107)</f>
        <v/>
      </c>
      <c r="D107" s="26" t="str">
        <f t="shared" si="3"/>
        <v/>
      </c>
      <c r="E107" s="26" t="str">
        <f t="shared" si="4"/>
        <v/>
      </c>
      <c r="F107" s="26" t="str">
        <f t="shared" si="5"/>
        <v/>
      </c>
    </row>
    <row r="108" spans="1:6" x14ac:dyDescent="0.2">
      <c r="A108" s="18" t="str">
        <f>IF(Productos!A108="","",Productos!A108)</f>
        <v/>
      </c>
      <c r="B108" s="18" t="str">
        <f>IF(Productos!B108="","",Productos!B108)</f>
        <v/>
      </c>
      <c r="C108" s="26" t="str">
        <f>IF(A108="","",Ventas!H108)</f>
        <v/>
      </c>
      <c r="D108" s="26" t="str">
        <f t="shared" si="3"/>
        <v/>
      </c>
      <c r="E108" s="26" t="str">
        <f t="shared" si="4"/>
        <v/>
      </c>
      <c r="F108" s="26" t="str">
        <f t="shared" si="5"/>
        <v/>
      </c>
    </row>
    <row r="109" spans="1:6" x14ac:dyDescent="0.2">
      <c r="A109" s="18" t="str">
        <f>IF(Productos!A109="","",Productos!A109)</f>
        <v/>
      </c>
      <c r="B109" s="18" t="str">
        <f>IF(Productos!B109="","",Productos!B109)</f>
        <v/>
      </c>
      <c r="C109" s="26" t="str">
        <f>IF(A109="","",Ventas!H109)</f>
        <v/>
      </c>
      <c r="D109" s="26" t="str">
        <f t="shared" si="3"/>
        <v/>
      </c>
      <c r="E109" s="26" t="str">
        <f t="shared" si="4"/>
        <v/>
      </c>
      <c r="F109" s="26" t="str">
        <f t="shared" si="5"/>
        <v/>
      </c>
    </row>
    <row r="110" spans="1:6" x14ac:dyDescent="0.2">
      <c r="A110" s="18" t="str">
        <f>IF(Productos!A110="","",Productos!A110)</f>
        <v/>
      </c>
      <c r="B110" s="18" t="str">
        <f>IF(Productos!B110="","",Productos!B110)</f>
        <v/>
      </c>
      <c r="C110" s="26" t="str">
        <f>IF(A110="","",Ventas!H110)</f>
        <v/>
      </c>
      <c r="D110" s="26" t="str">
        <f t="shared" si="3"/>
        <v/>
      </c>
      <c r="E110" s="26" t="str">
        <f t="shared" si="4"/>
        <v/>
      </c>
      <c r="F110" s="26" t="str">
        <f t="shared" si="5"/>
        <v/>
      </c>
    </row>
    <row r="111" spans="1:6" x14ac:dyDescent="0.2">
      <c r="A111" s="18" t="str">
        <f>IF(Productos!A111="","",Productos!A111)</f>
        <v/>
      </c>
      <c r="B111" s="18" t="str">
        <f>IF(Productos!B111="","",Productos!B111)</f>
        <v/>
      </c>
      <c r="C111" s="26" t="str">
        <f>IF(A111="","",Ventas!H111)</f>
        <v/>
      </c>
      <c r="D111" s="26" t="str">
        <f t="shared" si="3"/>
        <v/>
      </c>
      <c r="E111" s="26" t="str">
        <f t="shared" si="4"/>
        <v/>
      </c>
      <c r="F111" s="26" t="str">
        <f t="shared" si="5"/>
        <v/>
      </c>
    </row>
    <row r="112" spans="1:6" x14ac:dyDescent="0.2">
      <c r="A112" s="18" t="str">
        <f>IF(Productos!A112="","",Productos!A112)</f>
        <v/>
      </c>
      <c r="B112" s="18" t="str">
        <f>IF(Productos!B112="","",Productos!B112)</f>
        <v/>
      </c>
      <c r="C112" s="26" t="str">
        <f>IF(A112="","",Ventas!H112)</f>
        <v/>
      </c>
      <c r="D112" s="26" t="str">
        <f t="shared" si="3"/>
        <v/>
      </c>
      <c r="E112" s="26" t="str">
        <f t="shared" si="4"/>
        <v/>
      </c>
      <c r="F112" s="26" t="str">
        <f t="shared" si="5"/>
        <v/>
      </c>
    </row>
    <row r="113" spans="1:6" x14ac:dyDescent="0.2">
      <c r="A113" s="18" t="str">
        <f>IF(Productos!A113="","",Productos!A113)</f>
        <v/>
      </c>
      <c r="B113" s="18" t="str">
        <f>IF(Productos!B113="","",Productos!B113)</f>
        <v/>
      </c>
      <c r="C113" s="26" t="str">
        <f>IF(A113="","",Ventas!H113)</f>
        <v/>
      </c>
      <c r="D113" s="26" t="str">
        <f t="shared" si="3"/>
        <v/>
      </c>
      <c r="E113" s="26" t="str">
        <f t="shared" si="4"/>
        <v/>
      </c>
      <c r="F113" s="26" t="str">
        <f t="shared" si="5"/>
        <v/>
      </c>
    </row>
    <row r="114" spans="1:6" x14ac:dyDescent="0.2">
      <c r="A114" s="18" t="str">
        <f>IF(Productos!A114="","",Productos!A114)</f>
        <v/>
      </c>
      <c r="B114" s="18" t="str">
        <f>IF(Productos!B114="","",Productos!B114)</f>
        <v/>
      </c>
      <c r="C114" s="26" t="str">
        <f>IF(A114="","",Ventas!H114)</f>
        <v/>
      </c>
      <c r="D114" s="26" t="str">
        <f t="shared" si="3"/>
        <v/>
      </c>
      <c r="E114" s="26" t="str">
        <f t="shared" si="4"/>
        <v/>
      </c>
      <c r="F114" s="26" t="str">
        <f t="shared" si="5"/>
        <v/>
      </c>
    </row>
    <row r="115" spans="1:6" x14ac:dyDescent="0.2">
      <c r="A115" s="18" t="str">
        <f>IF(Productos!A115="","",Productos!A115)</f>
        <v/>
      </c>
      <c r="B115" s="18" t="str">
        <f>IF(Productos!B115="","",Productos!B115)</f>
        <v/>
      </c>
      <c r="C115" s="26" t="str">
        <f>IF(A115="","",Ventas!H115)</f>
        <v/>
      </c>
      <c r="D115" s="26" t="str">
        <f t="shared" si="3"/>
        <v/>
      </c>
      <c r="E115" s="26" t="str">
        <f t="shared" si="4"/>
        <v/>
      </c>
      <c r="F115" s="26" t="str">
        <f t="shared" si="5"/>
        <v/>
      </c>
    </row>
    <row r="116" spans="1:6" x14ac:dyDescent="0.2">
      <c r="A116" s="18" t="str">
        <f>IF(Productos!A116="","",Productos!A116)</f>
        <v/>
      </c>
      <c r="B116" s="18" t="str">
        <f>IF(Productos!B116="","",Productos!B116)</f>
        <v/>
      </c>
      <c r="C116" s="26" t="str">
        <f>IF(A116="","",Ventas!H116)</f>
        <v/>
      </c>
      <c r="D116" s="26" t="str">
        <f t="shared" si="3"/>
        <v/>
      </c>
      <c r="E116" s="26" t="str">
        <f t="shared" si="4"/>
        <v/>
      </c>
      <c r="F116" s="26" t="str">
        <f t="shared" si="5"/>
        <v/>
      </c>
    </row>
    <row r="117" spans="1:6" x14ac:dyDescent="0.2">
      <c r="A117" s="18" t="str">
        <f>IF(Productos!A117="","",Productos!A117)</f>
        <v/>
      </c>
      <c r="B117" s="18" t="str">
        <f>IF(Productos!B117="","",Productos!B117)</f>
        <v/>
      </c>
      <c r="C117" s="26" t="str">
        <f>IF(A117="","",Ventas!H117)</f>
        <v/>
      </c>
      <c r="D117" s="26" t="str">
        <f t="shared" si="3"/>
        <v/>
      </c>
      <c r="E117" s="26" t="str">
        <f t="shared" si="4"/>
        <v/>
      </c>
      <c r="F117" s="26" t="str">
        <f t="shared" si="5"/>
        <v/>
      </c>
    </row>
    <row r="118" spans="1:6" x14ac:dyDescent="0.2">
      <c r="A118" s="18" t="str">
        <f>IF(Productos!A118="","",Productos!A118)</f>
        <v/>
      </c>
      <c r="B118" s="18" t="str">
        <f>IF(Productos!B118="","",Productos!B118)</f>
        <v/>
      </c>
      <c r="C118" s="26" t="str">
        <f>IF(A118="","",Ventas!H118)</f>
        <v/>
      </c>
      <c r="D118" s="26" t="str">
        <f t="shared" si="3"/>
        <v/>
      </c>
      <c r="E118" s="26" t="str">
        <f t="shared" si="4"/>
        <v/>
      </c>
      <c r="F118" s="26" t="str">
        <f t="shared" si="5"/>
        <v/>
      </c>
    </row>
    <row r="119" spans="1:6" x14ac:dyDescent="0.2">
      <c r="A119" s="18" t="str">
        <f>IF(Productos!A119="","",Productos!A119)</f>
        <v/>
      </c>
      <c r="B119" s="18" t="str">
        <f>IF(Productos!B119="","",Productos!B119)</f>
        <v/>
      </c>
      <c r="C119" s="26" t="str">
        <f>IF(A119="","",Ventas!H119)</f>
        <v/>
      </c>
      <c r="D119" s="26" t="str">
        <f t="shared" si="3"/>
        <v/>
      </c>
      <c r="E119" s="26" t="str">
        <f t="shared" si="4"/>
        <v/>
      </c>
      <c r="F119" s="26" t="str">
        <f t="shared" si="5"/>
        <v/>
      </c>
    </row>
    <row r="120" spans="1:6" x14ac:dyDescent="0.2">
      <c r="A120" s="18" t="str">
        <f>IF(Productos!A120="","",Productos!A120)</f>
        <v/>
      </c>
      <c r="B120" s="18" t="str">
        <f>IF(Productos!B120="","",Productos!B120)</f>
        <v/>
      </c>
      <c r="C120" s="26" t="str">
        <f>IF(A120="","",Ventas!H120)</f>
        <v/>
      </c>
      <c r="D120" s="26" t="str">
        <f t="shared" si="3"/>
        <v/>
      </c>
      <c r="E120" s="26" t="str">
        <f t="shared" si="4"/>
        <v/>
      </c>
      <c r="F120" s="26" t="str">
        <f t="shared" si="5"/>
        <v/>
      </c>
    </row>
    <row r="121" spans="1:6" x14ac:dyDescent="0.2">
      <c r="A121" s="18" t="str">
        <f>IF(Productos!A121="","",Productos!A121)</f>
        <v/>
      </c>
      <c r="B121" s="18" t="str">
        <f>IF(Productos!B121="","",Productos!B121)</f>
        <v/>
      </c>
      <c r="C121" s="26" t="str">
        <f>IF(A121="","",Ventas!H121)</f>
        <v/>
      </c>
      <c r="D121" s="26" t="str">
        <f t="shared" si="3"/>
        <v/>
      </c>
      <c r="E121" s="26" t="str">
        <f t="shared" si="4"/>
        <v/>
      </c>
      <c r="F121" s="26" t="str">
        <f t="shared" si="5"/>
        <v/>
      </c>
    </row>
    <row r="122" spans="1:6" x14ac:dyDescent="0.2">
      <c r="A122" s="18" t="str">
        <f>IF(Productos!A122="","",Productos!A122)</f>
        <v/>
      </c>
      <c r="B122" s="18" t="str">
        <f>IF(Productos!B122="","",Productos!B122)</f>
        <v/>
      </c>
      <c r="C122" s="26" t="str">
        <f>IF(A122="","",Ventas!H122)</f>
        <v/>
      </c>
      <c r="D122" s="26" t="str">
        <f t="shared" si="3"/>
        <v/>
      </c>
      <c r="E122" s="26" t="str">
        <f t="shared" si="4"/>
        <v/>
      </c>
      <c r="F122" s="26" t="str">
        <f t="shared" si="5"/>
        <v/>
      </c>
    </row>
    <row r="123" spans="1:6" x14ac:dyDescent="0.2">
      <c r="A123" s="18" t="str">
        <f>IF(Productos!A123="","",Productos!A123)</f>
        <v/>
      </c>
      <c r="B123" s="18" t="str">
        <f>IF(Productos!B123="","",Productos!B123)</f>
        <v/>
      </c>
      <c r="C123" s="26" t="str">
        <f>IF(A123="","",Ventas!H123)</f>
        <v/>
      </c>
      <c r="D123" s="26" t="str">
        <f t="shared" si="3"/>
        <v/>
      </c>
      <c r="E123" s="26" t="str">
        <f t="shared" si="4"/>
        <v/>
      </c>
      <c r="F123" s="26" t="str">
        <f t="shared" si="5"/>
        <v/>
      </c>
    </row>
    <row r="124" spans="1:6" x14ac:dyDescent="0.2">
      <c r="A124" s="18" t="str">
        <f>IF(Productos!A124="","",Productos!A124)</f>
        <v/>
      </c>
      <c r="B124" s="18" t="str">
        <f>IF(Productos!B124="","",Productos!B124)</f>
        <v/>
      </c>
      <c r="C124" s="26" t="str">
        <f>IF(A124="","",Ventas!H124)</f>
        <v/>
      </c>
      <c r="D124" s="26" t="str">
        <f t="shared" si="3"/>
        <v/>
      </c>
      <c r="E124" s="26" t="str">
        <f t="shared" si="4"/>
        <v/>
      </c>
      <c r="F124" s="26" t="str">
        <f t="shared" si="5"/>
        <v/>
      </c>
    </row>
    <row r="125" spans="1:6" x14ac:dyDescent="0.2">
      <c r="A125" s="18" t="str">
        <f>IF(Productos!A125="","",Productos!A125)</f>
        <v/>
      </c>
      <c r="B125" s="18" t="str">
        <f>IF(Productos!B125="","",Productos!B125)</f>
        <v/>
      </c>
      <c r="C125" s="26" t="str">
        <f>IF(A125="","",Ventas!H125)</f>
        <v/>
      </c>
      <c r="D125" s="26" t="str">
        <f t="shared" si="3"/>
        <v/>
      </c>
      <c r="E125" s="26" t="str">
        <f t="shared" si="4"/>
        <v/>
      </c>
      <c r="F125" s="26" t="str">
        <f t="shared" si="5"/>
        <v/>
      </c>
    </row>
    <row r="126" spans="1:6" x14ac:dyDescent="0.2">
      <c r="A126" s="18" t="str">
        <f>IF(Productos!A126="","",Productos!A126)</f>
        <v/>
      </c>
      <c r="B126" s="18" t="str">
        <f>IF(Productos!B126="","",Productos!B126)</f>
        <v/>
      </c>
      <c r="C126" s="26" t="str">
        <f>IF(A126="","",Ventas!H126)</f>
        <v/>
      </c>
      <c r="D126" s="26" t="str">
        <f t="shared" si="3"/>
        <v/>
      </c>
      <c r="E126" s="26" t="str">
        <f t="shared" si="4"/>
        <v/>
      </c>
      <c r="F126" s="26" t="str">
        <f t="shared" si="5"/>
        <v/>
      </c>
    </row>
    <row r="127" spans="1:6" x14ac:dyDescent="0.2">
      <c r="A127" s="18" t="str">
        <f>IF(Productos!A127="","",Productos!A127)</f>
        <v/>
      </c>
      <c r="B127" s="18" t="str">
        <f>IF(Productos!B127="","",Productos!B127)</f>
        <v/>
      </c>
      <c r="C127" s="26" t="str">
        <f>IF(A127="","",Ventas!H127)</f>
        <v/>
      </c>
      <c r="D127" s="26" t="str">
        <f t="shared" si="3"/>
        <v/>
      </c>
      <c r="E127" s="26" t="str">
        <f t="shared" si="4"/>
        <v/>
      </c>
      <c r="F127" s="26" t="str">
        <f t="shared" si="5"/>
        <v/>
      </c>
    </row>
    <row r="128" spans="1:6" x14ac:dyDescent="0.2">
      <c r="A128" s="18" t="str">
        <f>IF(Productos!A128="","",Productos!A128)</f>
        <v/>
      </c>
      <c r="B128" s="18" t="str">
        <f>IF(Productos!B128="","",Productos!B128)</f>
        <v/>
      </c>
      <c r="C128" s="26" t="str">
        <f>IF(A128="","",Ventas!H128)</f>
        <v/>
      </c>
      <c r="D128" s="26" t="str">
        <f t="shared" si="3"/>
        <v/>
      </c>
      <c r="E128" s="26" t="str">
        <f t="shared" si="4"/>
        <v/>
      </c>
      <c r="F128" s="26" t="str">
        <f t="shared" si="5"/>
        <v/>
      </c>
    </row>
    <row r="129" spans="1:6" x14ac:dyDescent="0.2">
      <c r="A129" s="18" t="str">
        <f>IF(Productos!A129="","",Productos!A129)</f>
        <v/>
      </c>
      <c r="B129" s="18" t="str">
        <f>IF(Productos!B129="","",Productos!B129)</f>
        <v/>
      </c>
      <c r="C129" s="26" t="str">
        <f>IF(A129="","",Ventas!H129)</f>
        <v/>
      </c>
      <c r="D129" s="26" t="str">
        <f t="shared" si="3"/>
        <v/>
      </c>
      <c r="E129" s="26" t="str">
        <f t="shared" si="4"/>
        <v/>
      </c>
      <c r="F129" s="26" t="str">
        <f t="shared" si="5"/>
        <v/>
      </c>
    </row>
    <row r="130" spans="1:6" x14ac:dyDescent="0.2">
      <c r="A130" s="18" t="str">
        <f>IF(Productos!A130="","",Productos!A130)</f>
        <v/>
      </c>
      <c r="B130" s="18" t="str">
        <f>IF(Productos!B130="","",Productos!B130)</f>
        <v/>
      </c>
      <c r="C130" s="26" t="str">
        <f>IF(A130="","",Ventas!H130)</f>
        <v/>
      </c>
      <c r="D130" s="26" t="str">
        <f t="shared" si="3"/>
        <v/>
      </c>
      <c r="E130" s="26" t="str">
        <f t="shared" si="4"/>
        <v/>
      </c>
      <c r="F130" s="26" t="str">
        <f t="shared" si="5"/>
        <v/>
      </c>
    </row>
    <row r="131" spans="1:6" x14ac:dyDescent="0.2">
      <c r="A131" s="18" t="str">
        <f>IF(Productos!A131="","",Productos!A131)</f>
        <v/>
      </c>
      <c r="B131" s="18" t="str">
        <f>IF(Productos!B131="","",Productos!B131)</f>
        <v/>
      </c>
      <c r="C131" s="26" t="str">
        <f>IF(A131="","",Ventas!H131)</f>
        <v/>
      </c>
      <c r="D131" s="26" t="str">
        <f t="shared" ref="D131:D194" si="6">IF(A131="","",ROUND(C131/3,2))</f>
        <v/>
      </c>
      <c r="E131" s="26" t="str">
        <f t="shared" ref="E131:E194" si="7">IF(A131="","",ROUND(C131/3,2))</f>
        <v/>
      </c>
      <c r="F131" s="26" t="str">
        <f t="shared" ref="F131:F194" si="8">IF(A131="","",C131-D131-E131)</f>
        <v/>
      </c>
    </row>
    <row r="132" spans="1:6" x14ac:dyDescent="0.2">
      <c r="A132" s="18" t="str">
        <f>IF(Productos!A132="","",Productos!A132)</f>
        <v/>
      </c>
      <c r="B132" s="18" t="str">
        <f>IF(Productos!B132="","",Productos!B132)</f>
        <v/>
      </c>
      <c r="C132" s="26" t="str">
        <f>IF(A132="","",Ventas!H132)</f>
        <v/>
      </c>
      <c r="D132" s="26" t="str">
        <f t="shared" si="6"/>
        <v/>
      </c>
      <c r="E132" s="26" t="str">
        <f t="shared" si="7"/>
        <v/>
      </c>
      <c r="F132" s="26" t="str">
        <f t="shared" si="8"/>
        <v/>
      </c>
    </row>
    <row r="133" spans="1:6" x14ac:dyDescent="0.2">
      <c r="A133" s="18" t="str">
        <f>IF(Productos!A133="","",Productos!A133)</f>
        <v/>
      </c>
      <c r="B133" s="18" t="str">
        <f>IF(Productos!B133="","",Productos!B133)</f>
        <v/>
      </c>
      <c r="C133" s="26" t="str">
        <f>IF(A133="","",Ventas!H133)</f>
        <v/>
      </c>
      <c r="D133" s="26" t="str">
        <f t="shared" si="6"/>
        <v/>
      </c>
      <c r="E133" s="26" t="str">
        <f t="shared" si="7"/>
        <v/>
      </c>
      <c r="F133" s="26" t="str">
        <f t="shared" si="8"/>
        <v/>
      </c>
    </row>
    <row r="134" spans="1:6" x14ac:dyDescent="0.2">
      <c r="A134" s="18" t="str">
        <f>IF(Productos!A134="","",Productos!A134)</f>
        <v/>
      </c>
      <c r="B134" s="18" t="str">
        <f>IF(Productos!B134="","",Productos!B134)</f>
        <v/>
      </c>
      <c r="C134" s="26" t="str">
        <f>IF(A134="","",Ventas!H134)</f>
        <v/>
      </c>
      <c r="D134" s="26" t="str">
        <f t="shared" si="6"/>
        <v/>
      </c>
      <c r="E134" s="26" t="str">
        <f t="shared" si="7"/>
        <v/>
      </c>
      <c r="F134" s="26" t="str">
        <f t="shared" si="8"/>
        <v/>
      </c>
    </row>
    <row r="135" spans="1:6" x14ac:dyDescent="0.2">
      <c r="A135" s="18" t="str">
        <f>IF(Productos!A135="","",Productos!A135)</f>
        <v/>
      </c>
      <c r="B135" s="18" t="str">
        <f>IF(Productos!B135="","",Productos!B135)</f>
        <v/>
      </c>
      <c r="C135" s="26" t="str">
        <f>IF(A135="","",Ventas!H135)</f>
        <v/>
      </c>
      <c r="D135" s="26" t="str">
        <f t="shared" si="6"/>
        <v/>
      </c>
      <c r="E135" s="26" t="str">
        <f t="shared" si="7"/>
        <v/>
      </c>
      <c r="F135" s="26" t="str">
        <f t="shared" si="8"/>
        <v/>
      </c>
    </row>
    <row r="136" spans="1:6" x14ac:dyDescent="0.2">
      <c r="A136" s="18" t="str">
        <f>IF(Productos!A136="","",Productos!A136)</f>
        <v/>
      </c>
      <c r="B136" s="18" t="str">
        <f>IF(Productos!B136="","",Productos!B136)</f>
        <v/>
      </c>
      <c r="C136" s="26" t="str">
        <f>IF(A136="","",Ventas!H136)</f>
        <v/>
      </c>
      <c r="D136" s="26" t="str">
        <f t="shared" si="6"/>
        <v/>
      </c>
      <c r="E136" s="26" t="str">
        <f t="shared" si="7"/>
        <v/>
      </c>
      <c r="F136" s="26" t="str">
        <f t="shared" si="8"/>
        <v/>
      </c>
    </row>
    <row r="137" spans="1:6" x14ac:dyDescent="0.2">
      <c r="A137" s="18" t="str">
        <f>IF(Productos!A137="","",Productos!A137)</f>
        <v/>
      </c>
      <c r="B137" s="18" t="str">
        <f>IF(Productos!B137="","",Productos!B137)</f>
        <v/>
      </c>
      <c r="C137" s="26" t="str">
        <f>IF(A137="","",Ventas!H137)</f>
        <v/>
      </c>
      <c r="D137" s="26" t="str">
        <f t="shared" si="6"/>
        <v/>
      </c>
      <c r="E137" s="26" t="str">
        <f t="shared" si="7"/>
        <v/>
      </c>
      <c r="F137" s="26" t="str">
        <f t="shared" si="8"/>
        <v/>
      </c>
    </row>
    <row r="138" spans="1:6" x14ac:dyDescent="0.2">
      <c r="A138" s="18" t="str">
        <f>IF(Productos!A138="","",Productos!A138)</f>
        <v/>
      </c>
      <c r="B138" s="18" t="str">
        <f>IF(Productos!B138="","",Productos!B138)</f>
        <v/>
      </c>
      <c r="C138" s="26" t="str">
        <f>IF(A138="","",Ventas!H138)</f>
        <v/>
      </c>
      <c r="D138" s="26" t="str">
        <f t="shared" si="6"/>
        <v/>
      </c>
      <c r="E138" s="26" t="str">
        <f t="shared" si="7"/>
        <v/>
      </c>
      <c r="F138" s="26" t="str">
        <f t="shared" si="8"/>
        <v/>
      </c>
    </row>
    <row r="139" spans="1:6" x14ac:dyDescent="0.2">
      <c r="A139" s="18" t="str">
        <f>IF(Productos!A139="","",Productos!A139)</f>
        <v/>
      </c>
      <c r="B139" s="18" t="str">
        <f>IF(Productos!B139="","",Productos!B139)</f>
        <v/>
      </c>
      <c r="C139" s="26" t="str">
        <f>IF(A139="","",Ventas!H139)</f>
        <v/>
      </c>
      <c r="D139" s="26" t="str">
        <f t="shared" si="6"/>
        <v/>
      </c>
      <c r="E139" s="26" t="str">
        <f t="shared" si="7"/>
        <v/>
      </c>
      <c r="F139" s="26" t="str">
        <f t="shared" si="8"/>
        <v/>
      </c>
    </row>
    <row r="140" spans="1:6" x14ac:dyDescent="0.2">
      <c r="A140" s="18" t="str">
        <f>IF(Productos!A140="","",Productos!A140)</f>
        <v/>
      </c>
      <c r="B140" s="18" t="str">
        <f>IF(Productos!B140="","",Productos!B140)</f>
        <v/>
      </c>
      <c r="C140" s="26" t="str">
        <f>IF(A140="","",Ventas!H140)</f>
        <v/>
      </c>
      <c r="D140" s="26" t="str">
        <f t="shared" si="6"/>
        <v/>
      </c>
      <c r="E140" s="26" t="str">
        <f t="shared" si="7"/>
        <v/>
      </c>
      <c r="F140" s="26" t="str">
        <f t="shared" si="8"/>
        <v/>
      </c>
    </row>
    <row r="141" spans="1:6" x14ac:dyDescent="0.2">
      <c r="A141" s="18" t="str">
        <f>IF(Productos!A141="","",Productos!A141)</f>
        <v/>
      </c>
      <c r="B141" s="18" t="str">
        <f>IF(Productos!B141="","",Productos!B141)</f>
        <v/>
      </c>
      <c r="C141" s="26" t="str">
        <f>IF(A141="","",Ventas!H141)</f>
        <v/>
      </c>
      <c r="D141" s="26" t="str">
        <f t="shared" si="6"/>
        <v/>
      </c>
      <c r="E141" s="26" t="str">
        <f t="shared" si="7"/>
        <v/>
      </c>
      <c r="F141" s="26" t="str">
        <f t="shared" si="8"/>
        <v/>
      </c>
    </row>
    <row r="142" spans="1:6" x14ac:dyDescent="0.2">
      <c r="A142" s="18" t="str">
        <f>IF(Productos!A142="","",Productos!A142)</f>
        <v/>
      </c>
      <c r="B142" s="18" t="str">
        <f>IF(Productos!B142="","",Productos!B142)</f>
        <v/>
      </c>
      <c r="C142" s="26" t="str">
        <f>IF(A142="","",Ventas!H142)</f>
        <v/>
      </c>
      <c r="D142" s="26" t="str">
        <f t="shared" si="6"/>
        <v/>
      </c>
      <c r="E142" s="26" t="str">
        <f t="shared" si="7"/>
        <v/>
      </c>
      <c r="F142" s="26" t="str">
        <f t="shared" si="8"/>
        <v/>
      </c>
    </row>
    <row r="143" spans="1:6" x14ac:dyDescent="0.2">
      <c r="A143" s="18" t="str">
        <f>IF(Productos!A143="","",Productos!A143)</f>
        <v/>
      </c>
      <c r="B143" s="18" t="str">
        <f>IF(Productos!B143="","",Productos!B143)</f>
        <v/>
      </c>
      <c r="C143" s="26" t="str">
        <f>IF(A143="","",Ventas!H143)</f>
        <v/>
      </c>
      <c r="D143" s="26" t="str">
        <f t="shared" si="6"/>
        <v/>
      </c>
      <c r="E143" s="26" t="str">
        <f t="shared" si="7"/>
        <v/>
      </c>
      <c r="F143" s="26" t="str">
        <f t="shared" si="8"/>
        <v/>
      </c>
    </row>
    <row r="144" spans="1:6" x14ac:dyDescent="0.2">
      <c r="A144" s="18" t="str">
        <f>IF(Productos!A144="","",Productos!A144)</f>
        <v/>
      </c>
      <c r="B144" s="18" t="str">
        <f>IF(Productos!B144="","",Productos!B144)</f>
        <v/>
      </c>
      <c r="C144" s="26" t="str">
        <f>IF(A144="","",Ventas!H144)</f>
        <v/>
      </c>
      <c r="D144" s="26" t="str">
        <f t="shared" si="6"/>
        <v/>
      </c>
      <c r="E144" s="26" t="str">
        <f t="shared" si="7"/>
        <v/>
      </c>
      <c r="F144" s="26" t="str">
        <f t="shared" si="8"/>
        <v/>
      </c>
    </row>
    <row r="145" spans="1:6" x14ac:dyDescent="0.2">
      <c r="A145" s="18" t="str">
        <f>IF(Productos!A145="","",Productos!A145)</f>
        <v/>
      </c>
      <c r="B145" s="18" t="str">
        <f>IF(Productos!B145="","",Productos!B145)</f>
        <v/>
      </c>
      <c r="C145" s="26" t="str">
        <f>IF(A145="","",Ventas!H145)</f>
        <v/>
      </c>
      <c r="D145" s="26" t="str">
        <f t="shared" si="6"/>
        <v/>
      </c>
      <c r="E145" s="26" t="str">
        <f t="shared" si="7"/>
        <v/>
      </c>
      <c r="F145" s="26" t="str">
        <f t="shared" si="8"/>
        <v/>
      </c>
    </row>
    <row r="146" spans="1:6" x14ac:dyDescent="0.2">
      <c r="A146" s="18" t="str">
        <f>IF(Productos!A146="","",Productos!A146)</f>
        <v/>
      </c>
      <c r="B146" s="18" t="str">
        <f>IF(Productos!B146="","",Productos!B146)</f>
        <v/>
      </c>
      <c r="C146" s="26" t="str">
        <f>IF(A146="","",Ventas!H146)</f>
        <v/>
      </c>
      <c r="D146" s="26" t="str">
        <f t="shared" si="6"/>
        <v/>
      </c>
      <c r="E146" s="26" t="str">
        <f t="shared" si="7"/>
        <v/>
      </c>
      <c r="F146" s="26" t="str">
        <f t="shared" si="8"/>
        <v/>
      </c>
    </row>
    <row r="147" spans="1:6" x14ac:dyDescent="0.2">
      <c r="A147" s="18" t="str">
        <f>IF(Productos!A147="","",Productos!A147)</f>
        <v/>
      </c>
      <c r="B147" s="18" t="str">
        <f>IF(Productos!B147="","",Productos!B147)</f>
        <v/>
      </c>
      <c r="C147" s="26" t="str">
        <f>IF(A147="","",Ventas!H147)</f>
        <v/>
      </c>
      <c r="D147" s="26" t="str">
        <f t="shared" si="6"/>
        <v/>
      </c>
      <c r="E147" s="26" t="str">
        <f t="shared" si="7"/>
        <v/>
      </c>
      <c r="F147" s="26" t="str">
        <f t="shared" si="8"/>
        <v/>
      </c>
    </row>
    <row r="148" spans="1:6" x14ac:dyDescent="0.2">
      <c r="A148" s="18" t="str">
        <f>IF(Productos!A148="","",Productos!A148)</f>
        <v/>
      </c>
      <c r="B148" s="18" t="str">
        <f>IF(Productos!B148="","",Productos!B148)</f>
        <v/>
      </c>
      <c r="C148" s="26" t="str">
        <f>IF(A148="","",Ventas!H148)</f>
        <v/>
      </c>
      <c r="D148" s="26" t="str">
        <f t="shared" si="6"/>
        <v/>
      </c>
      <c r="E148" s="26" t="str">
        <f t="shared" si="7"/>
        <v/>
      </c>
      <c r="F148" s="26" t="str">
        <f t="shared" si="8"/>
        <v/>
      </c>
    </row>
    <row r="149" spans="1:6" x14ac:dyDescent="0.2">
      <c r="A149" s="18" t="str">
        <f>IF(Productos!A149="","",Productos!A149)</f>
        <v/>
      </c>
      <c r="B149" s="18" t="str">
        <f>IF(Productos!B149="","",Productos!B149)</f>
        <v/>
      </c>
      <c r="C149" s="26" t="str">
        <f>IF(A149="","",Ventas!H149)</f>
        <v/>
      </c>
      <c r="D149" s="26" t="str">
        <f t="shared" si="6"/>
        <v/>
      </c>
      <c r="E149" s="26" t="str">
        <f t="shared" si="7"/>
        <v/>
      </c>
      <c r="F149" s="26" t="str">
        <f t="shared" si="8"/>
        <v/>
      </c>
    </row>
    <row r="150" spans="1:6" x14ac:dyDescent="0.2">
      <c r="A150" s="18" t="str">
        <f>IF(Productos!A150="","",Productos!A150)</f>
        <v/>
      </c>
      <c r="B150" s="18" t="str">
        <f>IF(Productos!B150="","",Productos!B150)</f>
        <v/>
      </c>
      <c r="C150" s="26" t="str">
        <f>IF(A150="","",Ventas!H150)</f>
        <v/>
      </c>
      <c r="D150" s="26" t="str">
        <f t="shared" si="6"/>
        <v/>
      </c>
      <c r="E150" s="26" t="str">
        <f t="shared" si="7"/>
        <v/>
      </c>
      <c r="F150" s="26" t="str">
        <f t="shared" si="8"/>
        <v/>
      </c>
    </row>
    <row r="151" spans="1:6" x14ac:dyDescent="0.2">
      <c r="A151" s="18" t="str">
        <f>IF(Productos!A151="","",Productos!A151)</f>
        <v/>
      </c>
      <c r="B151" s="18" t="str">
        <f>IF(Productos!B151="","",Productos!B151)</f>
        <v/>
      </c>
      <c r="C151" s="26" t="str">
        <f>IF(A151="","",Ventas!H151)</f>
        <v/>
      </c>
      <c r="D151" s="26" t="str">
        <f t="shared" si="6"/>
        <v/>
      </c>
      <c r="E151" s="26" t="str">
        <f t="shared" si="7"/>
        <v/>
      </c>
      <c r="F151" s="26" t="str">
        <f t="shared" si="8"/>
        <v/>
      </c>
    </row>
    <row r="152" spans="1:6" x14ac:dyDescent="0.2">
      <c r="A152" s="18" t="str">
        <f>IF(Productos!A152="","",Productos!A152)</f>
        <v/>
      </c>
      <c r="B152" s="18" t="str">
        <f>IF(Productos!B152="","",Productos!B152)</f>
        <v/>
      </c>
      <c r="C152" s="26" t="str">
        <f>IF(A152="","",Ventas!H152)</f>
        <v/>
      </c>
      <c r="D152" s="26" t="str">
        <f t="shared" si="6"/>
        <v/>
      </c>
      <c r="E152" s="26" t="str">
        <f t="shared" si="7"/>
        <v/>
      </c>
      <c r="F152" s="26" t="str">
        <f t="shared" si="8"/>
        <v/>
      </c>
    </row>
    <row r="153" spans="1:6" x14ac:dyDescent="0.2">
      <c r="A153" s="18" t="str">
        <f>IF(Productos!A153="","",Productos!A153)</f>
        <v/>
      </c>
      <c r="B153" s="18" t="str">
        <f>IF(Productos!B153="","",Productos!B153)</f>
        <v/>
      </c>
      <c r="C153" s="26" t="str">
        <f>IF(A153="","",Ventas!H153)</f>
        <v/>
      </c>
      <c r="D153" s="26" t="str">
        <f t="shared" si="6"/>
        <v/>
      </c>
      <c r="E153" s="26" t="str">
        <f t="shared" si="7"/>
        <v/>
      </c>
      <c r="F153" s="26" t="str">
        <f t="shared" si="8"/>
        <v/>
      </c>
    </row>
    <row r="154" spans="1:6" x14ac:dyDescent="0.2">
      <c r="A154" s="18" t="str">
        <f>IF(Productos!A154="","",Productos!A154)</f>
        <v/>
      </c>
      <c r="B154" s="18" t="str">
        <f>IF(Productos!B154="","",Productos!B154)</f>
        <v/>
      </c>
      <c r="C154" s="26" t="str">
        <f>IF(A154="","",Ventas!H154)</f>
        <v/>
      </c>
      <c r="D154" s="26" t="str">
        <f t="shared" si="6"/>
        <v/>
      </c>
      <c r="E154" s="26" t="str">
        <f t="shared" si="7"/>
        <v/>
      </c>
      <c r="F154" s="26" t="str">
        <f t="shared" si="8"/>
        <v/>
      </c>
    </row>
    <row r="155" spans="1:6" x14ac:dyDescent="0.2">
      <c r="A155" s="18" t="str">
        <f>IF(Productos!A155="","",Productos!A155)</f>
        <v/>
      </c>
      <c r="B155" s="18" t="str">
        <f>IF(Productos!B155="","",Productos!B155)</f>
        <v/>
      </c>
      <c r="C155" s="26" t="str">
        <f>IF(A155="","",Ventas!H155)</f>
        <v/>
      </c>
      <c r="D155" s="26" t="str">
        <f t="shared" si="6"/>
        <v/>
      </c>
      <c r="E155" s="26" t="str">
        <f t="shared" si="7"/>
        <v/>
      </c>
      <c r="F155" s="26" t="str">
        <f t="shared" si="8"/>
        <v/>
      </c>
    </row>
    <row r="156" spans="1:6" x14ac:dyDescent="0.2">
      <c r="A156" s="18" t="str">
        <f>IF(Productos!A156="","",Productos!A156)</f>
        <v/>
      </c>
      <c r="B156" s="18" t="str">
        <f>IF(Productos!B156="","",Productos!B156)</f>
        <v/>
      </c>
      <c r="C156" s="26" t="str">
        <f>IF(A156="","",Ventas!H156)</f>
        <v/>
      </c>
      <c r="D156" s="26" t="str">
        <f t="shared" si="6"/>
        <v/>
      </c>
      <c r="E156" s="26" t="str">
        <f t="shared" si="7"/>
        <v/>
      </c>
      <c r="F156" s="26" t="str">
        <f t="shared" si="8"/>
        <v/>
      </c>
    </row>
    <row r="157" spans="1:6" x14ac:dyDescent="0.2">
      <c r="A157" s="18" t="str">
        <f>IF(Productos!A157="","",Productos!A157)</f>
        <v/>
      </c>
      <c r="B157" s="18" t="str">
        <f>IF(Productos!B157="","",Productos!B157)</f>
        <v/>
      </c>
      <c r="C157" s="26" t="str">
        <f>IF(A157="","",Ventas!H157)</f>
        <v/>
      </c>
      <c r="D157" s="26" t="str">
        <f t="shared" si="6"/>
        <v/>
      </c>
      <c r="E157" s="26" t="str">
        <f t="shared" si="7"/>
        <v/>
      </c>
      <c r="F157" s="26" t="str">
        <f t="shared" si="8"/>
        <v/>
      </c>
    </row>
    <row r="158" spans="1:6" x14ac:dyDescent="0.2">
      <c r="A158" s="18" t="str">
        <f>IF(Productos!A158="","",Productos!A158)</f>
        <v/>
      </c>
      <c r="B158" s="18" t="str">
        <f>IF(Productos!B158="","",Productos!B158)</f>
        <v/>
      </c>
      <c r="C158" s="26" t="str">
        <f>IF(A158="","",Ventas!H158)</f>
        <v/>
      </c>
      <c r="D158" s="26" t="str">
        <f t="shared" si="6"/>
        <v/>
      </c>
      <c r="E158" s="26" t="str">
        <f t="shared" si="7"/>
        <v/>
      </c>
      <c r="F158" s="26" t="str">
        <f t="shared" si="8"/>
        <v/>
      </c>
    </row>
    <row r="159" spans="1:6" x14ac:dyDescent="0.2">
      <c r="A159" s="18" t="str">
        <f>IF(Productos!A159="","",Productos!A159)</f>
        <v/>
      </c>
      <c r="B159" s="18" t="str">
        <f>IF(Productos!B159="","",Productos!B159)</f>
        <v/>
      </c>
      <c r="C159" s="26" t="str">
        <f>IF(A159="","",Ventas!H159)</f>
        <v/>
      </c>
      <c r="D159" s="26" t="str">
        <f t="shared" si="6"/>
        <v/>
      </c>
      <c r="E159" s="26" t="str">
        <f t="shared" si="7"/>
        <v/>
      </c>
      <c r="F159" s="26" t="str">
        <f t="shared" si="8"/>
        <v/>
      </c>
    </row>
    <row r="160" spans="1:6" x14ac:dyDescent="0.2">
      <c r="A160" s="18" t="str">
        <f>IF(Productos!A160="","",Productos!A160)</f>
        <v/>
      </c>
      <c r="B160" s="18" t="str">
        <f>IF(Productos!B160="","",Productos!B160)</f>
        <v/>
      </c>
      <c r="C160" s="26" t="str">
        <f>IF(A160="","",Ventas!H160)</f>
        <v/>
      </c>
      <c r="D160" s="26" t="str">
        <f t="shared" si="6"/>
        <v/>
      </c>
      <c r="E160" s="26" t="str">
        <f t="shared" si="7"/>
        <v/>
      </c>
      <c r="F160" s="26" t="str">
        <f t="shared" si="8"/>
        <v/>
      </c>
    </row>
    <row r="161" spans="1:6" x14ac:dyDescent="0.2">
      <c r="A161" s="18" t="str">
        <f>IF(Productos!A161="","",Productos!A161)</f>
        <v/>
      </c>
      <c r="B161" s="18" t="str">
        <f>IF(Productos!B161="","",Productos!B161)</f>
        <v/>
      </c>
      <c r="C161" s="26" t="str">
        <f>IF(A161="","",Ventas!H161)</f>
        <v/>
      </c>
      <c r="D161" s="26" t="str">
        <f t="shared" si="6"/>
        <v/>
      </c>
      <c r="E161" s="26" t="str">
        <f t="shared" si="7"/>
        <v/>
      </c>
      <c r="F161" s="26" t="str">
        <f t="shared" si="8"/>
        <v/>
      </c>
    </row>
    <row r="162" spans="1:6" x14ac:dyDescent="0.2">
      <c r="A162" s="18" t="str">
        <f>IF(Productos!A162="","",Productos!A162)</f>
        <v/>
      </c>
      <c r="B162" s="18" t="str">
        <f>IF(Productos!B162="","",Productos!B162)</f>
        <v/>
      </c>
      <c r="C162" s="26" t="str">
        <f>IF(A162="","",Ventas!H162)</f>
        <v/>
      </c>
      <c r="D162" s="26" t="str">
        <f t="shared" si="6"/>
        <v/>
      </c>
      <c r="E162" s="26" t="str">
        <f t="shared" si="7"/>
        <v/>
      </c>
      <c r="F162" s="26" t="str">
        <f t="shared" si="8"/>
        <v/>
      </c>
    </row>
    <row r="163" spans="1:6" x14ac:dyDescent="0.2">
      <c r="A163" s="18" t="str">
        <f>IF(Productos!A163="","",Productos!A163)</f>
        <v/>
      </c>
      <c r="B163" s="18" t="str">
        <f>IF(Productos!B163="","",Productos!B163)</f>
        <v/>
      </c>
      <c r="C163" s="26" t="str">
        <f>IF(A163="","",Ventas!H163)</f>
        <v/>
      </c>
      <c r="D163" s="26" t="str">
        <f t="shared" si="6"/>
        <v/>
      </c>
      <c r="E163" s="26" t="str">
        <f t="shared" si="7"/>
        <v/>
      </c>
      <c r="F163" s="26" t="str">
        <f t="shared" si="8"/>
        <v/>
      </c>
    </row>
    <row r="164" spans="1:6" x14ac:dyDescent="0.2">
      <c r="A164" s="18" t="str">
        <f>IF(Productos!A164="","",Productos!A164)</f>
        <v/>
      </c>
      <c r="B164" s="18" t="str">
        <f>IF(Productos!B164="","",Productos!B164)</f>
        <v/>
      </c>
      <c r="C164" s="26" t="str">
        <f>IF(A164="","",Ventas!H164)</f>
        <v/>
      </c>
      <c r="D164" s="26" t="str">
        <f t="shared" si="6"/>
        <v/>
      </c>
      <c r="E164" s="26" t="str">
        <f t="shared" si="7"/>
        <v/>
      </c>
      <c r="F164" s="26" t="str">
        <f t="shared" si="8"/>
        <v/>
      </c>
    </row>
    <row r="165" spans="1:6" x14ac:dyDescent="0.2">
      <c r="A165" s="18" t="str">
        <f>IF(Productos!A165="","",Productos!A165)</f>
        <v/>
      </c>
      <c r="B165" s="18" t="str">
        <f>IF(Productos!B165="","",Productos!B165)</f>
        <v/>
      </c>
      <c r="C165" s="26" t="str">
        <f>IF(A165="","",Ventas!H165)</f>
        <v/>
      </c>
      <c r="D165" s="26" t="str">
        <f t="shared" si="6"/>
        <v/>
      </c>
      <c r="E165" s="26" t="str">
        <f t="shared" si="7"/>
        <v/>
      </c>
      <c r="F165" s="26" t="str">
        <f t="shared" si="8"/>
        <v/>
      </c>
    </row>
    <row r="166" spans="1:6" x14ac:dyDescent="0.2">
      <c r="A166" s="18" t="str">
        <f>IF(Productos!A166="","",Productos!A166)</f>
        <v/>
      </c>
      <c r="B166" s="18" t="str">
        <f>IF(Productos!B166="","",Productos!B166)</f>
        <v/>
      </c>
      <c r="C166" s="26" t="str">
        <f>IF(A166="","",Ventas!H166)</f>
        <v/>
      </c>
      <c r="D166" s="26" t="str">
        <f t="shared" si="6"/>
        <v/>
      </c>
      <c r="E166" s="26" t="str">
        <f t="shared" si="7"/>
        <v/>
      </c>
      <c r="F166" s="26" t="str">
        <f t="shared" si="8"/>
        <v/>
      </c>
    </row>
    <row r="167" spans="1:6" x14ac:dyDescent="0.2">
      <c r="A167" s="18" t="str">
        <f>IF(Productos!A167="","",Productos!A167)</f>
        <v/>
      </c>
      <c r="B167" s="18" t="str">
        <f>IF(Productos!B167="","",Productos!B167)</f>
        <v/>
      </c>
      <c r="C167" s="26" t="str">
        <f>IF(A167="","",Ventas!H167)</f>
        <v/>
      </c>
      <c r="D167" s="26" t="str">
        <f t="shared" si="6"/>
        <v/>
      </c>
      <c r="E167" s="26" t="str">
        <f t="shared" si="7"/>
        <v/>
      </c>
      <c r="F167" s="26" t="str">
        <f t="shared" si="8"/>
        <v/>
      </c>
    </row>
    <row r="168" spans="1:6" x14ac:dyDescent="0.2">
      <c r="A168" s="18" t="str">
        <f>IF(Productos!A168="","",Productos!A168)</f>
        <v/>
      </c>
      <c r="B168" s="18" t="str">
        <f>IF(Productos!B168="","",Productos!B168)</f>
        <v/>
      </c>
      <c r="C168" s="26" t="str">
        <f>IF(A168="","",Ventas!H168)</f>
        <v/>
      </c>
      <c r="D168" s="26" t="str">
        <f t="shared" si="6"/>
        <v/>
      </c>
      <c r="E168" s="26" t="str">
        <f t="shared" si="7"/>
        <v/>
      </c>
      <c r="F168" s="26" t="str">
        <f t="shared" si="8"/>
        <v/>
      </c>
    </row>
    <row r="169" spans="1:6" x14ac:dyDescent="0.2">
      <c r="A169" s="18" t="str">
        <f>IF(Productos!A169="","",Productos!A169)</f>
        <v/>
      </c>
      <c r="B169" s="18" t="str">
        <f>IF(Productos!B169="","",Productos!B169)</f>
        <v/>
      </c>
      <c r="C169" s="26" t="str">
        <f>IF(A169="","",Ventas!H169)</f>
        <v/>
      </c>
      <c r="D169" s="26" t="str">
        <f t="shared" si="6"/>
        <v/>
      </c>
      <c r="E169" s="26" t="str">
        <f t="shared" si="7"/>
        <v/>
      </c>
      <c r="F169" s="26" t="str">
        <f t="shared" si="8"/>
        <v/>
      </c>
    </row>
    <row r="170" spans="1:6" x14ac:dyDescent="0.2">
      <c r="A170" s="18" t="str">
        <f>IF(Productos!A170="","",Productos!A170)</f>
        <v/>
      </c>
      <c r="B170" s="18" t="str">
        <f>IF(Productos!B170="","",Productos!B170)</f>
        <v/>
      </c>
      <c r="C170" s="26" t="str">
        <f>IF(A170="","",Ventas!H170)</f>
        <v/>
      </c>
      <c r="D170" s="26" t="str">
        <f t="shared" si="6"/>
        <v/>
      </c>
      <c r="E170" s="26" t="str">
        <f t="shared" si="7"/>
        <v/>
      </c>
      <c r="F170" s="26" t="str">
        <f t="shared" si="8"/>
        <v/>
      </c>
    </row>
    <row r="171" spans="1:6" x14ac:dyDescent="0.2">
      <c r="A171" s="18" t="str">
        <f>IF(Productos!A171="","",Productos!A171)</f>
        <v/>
      </c>
      <c r="B171" s="18" t="str">
        <f>IF(Productos!B171="","",Productos!B171)</f>
        <v/>
      </c>
      <c r="C171" s="26" t="str">
        <f>IF(A171="","",Ventas!H171)</f>
        <v/>
      </c>
      <c r="D171" s="26" t="str">
        <f t="shared" si="6"/>
        <v/>
      </c>
      <c r="E171" s="26" t="str">
        <f t="shared" si="7"/>
        <v/>
      </c>
      <c r="F171" s="26" t="str">
        <f t="shared" si="8"/>
        <v/>
      </c>
    </row>
    <row r="172" spans="1:6" x14ac:dyDescent="0.2">
      <c r="A172" s="18" t="str">
        <f>IF(Productos!A172="","",Productos!A172)</f>
        <v/>
      </c>
      <c r="B172" s="18" t="str">
        <f>IF(Productos!B172="","",Productos!B172)</f>
        <v/>
      </c>
      <c r="C172" s="26" t="str">
        <f>IF(A172="","",Ventas!H172)</f>
        <v/>
      </c>
      <c r="D172" s="26" t="str">
        <f t="shared" si="6"/>
        <v/>
      </c>
      <c r="E172" s="26" t="str">
        <f t="shared" si="7"/>
        <v/>
      </c>
      <c r="F172" s="26" t="str">
        <f t="shared" si="8"/>
        <v/>
      </c>
    </row>
    <row r="173" spans="1:6" x14ac:dyDescent="0.2">
      <c r="A173" s="18" t="str">
        <f>IF(Productos!A173="","",Productos!A173)</f>
        <v/>
      </c>
      <c r="B173" s="18" t="str">
        <f>IF(Productos!B173="","",Productos!B173)</f>
        <v/>
      </c>
      <c r="C173" s="26" t="str">
        <f>IF(A173="","",Ventas!H173)</f>
        <v/>
      </c>
      <c r="D173" s="26" t="str">
        <f t="shared" si="6"/>
        <v/>
      </c>
      <c r="E173" s="26" t="str">
        <f t="shared" si="7"/>
        <v/>
      </c>
      <c r="F173" s="26" t="str">
        <f t="shared" si="8"/>
        <v/>
      </c>
    </row>
    <row r="174" spans="1:6" x14ac:dyDescent="0.2">
      <c r="A174" s="18" t="str">
        <f>IF(Productos!A174="","",Productos!A174)</f>
        <v/>
      </c>
      <c r="B174" s="18" t="str">
        <f>IF(Productos!B174="","",Productos!B174)</f>
        <v/>
      </c>
      <c r="C174" s="26" t="str">
        <f>IF(A174="","",Ventas!H174)</f>
        <v/>
      </c>
      <c r="D174" s="26" t="str">
        <f t="shared" si="6"/>
        <v/>
      </c>
      <c r="E174" s="26" t="str">
        <f t="shared" si="7"/>
        <v/>
      </c>
      <c r="F174" s="26" t="str">
        <f t="shared" si="8"/>
        <v/>
      </c>
    </row>
    <row r="175" spans="1:6" x14ac:dyDescent="0.2">
      <c r="A175" s="18" t="str">
        <f>IF(Productos!A175="","",Productos!A175)</f>
        <v/>
      </c>
      <c r="B175" s="18" t="str">
        <f>IF(Productos!B175="","",Productos!B175)</f>
        <v/>
      </c>
      <c r="C175" s="26" t="str">
        <f>IF(A175="","",Ventas!H175)</f>
        <v/>
      </c>
      <c r="D175" s="26" t="str">
        <f t="shared" si="6"/>
        <v/>
      </c>
      <c r="E175" s="26" t="str">
        <f t="shared" si="7"/>
        <v/>
      </c>
      <c r="F175" s="26" t="str">
        <f t="shared" si="8"/>
        <v/>
      </c>
    </row>
    <row r="176" spans="1:6" x14ac:dyDescent="0.2">
      <c r="A176" s="18" t="str">
        <f>IF(Productos!A176="","",Productos!A176)</f>
        <v/>
      </c>
      <c r="B176" s="18" t="str">
        <f>IF(Productos!B176="","",Productos!B176)</f>
        <v/>
      </c>
      <c r="C176" s="26" t="str">
        <f>IF(A176="","",Ventas!H176)</f>
        <v/>
      </c>
      <c r="D176" s="26" t="str">
        <f t="shared" si="6"/>
        <v/>
      </c>
      <c r="E176" s="26" t="str">
        <f t="shared" si="7"/>
        <v/>
      </c>
      <c r="F176" s="26" t="str">
        <f t="shared" si="8"/>
        <v/>
      </c>
    </row>
    <row r="177" spans="1:6" x14ac:dyDescent="0.2">
      <c r="A177" s="18" t="str">
        <f>IF(Productos!A177="","",Productos!A177)</f>
        <v/>
      </c>
      <c r="B177" s="18" t="str">
        <f>IF(Productos!B177="","",Productos!B177)</f>
        <v/>
      </c>
      <c r="C177" s="26" t="str">
        <f>IF(A177="","",Ventas!H177)</f>
        <v/>
      </c>
      <c r="D177" s="26" t="str">
        <f t="shared" si="6"/>
        <v/>
      </c>
      <c r="E177" s="26" t="str">
        <f t="shared" si="7"/>
        <v/>
      </c>
      <c r="F177" s="26" t="str">
        <f t="shared" si="8"/>
        <v/>
      </c>
    </row>
    <row r="178" spans="1:6" x14ac:dyDescent="0.2">
      <c r="A178" s="18" t="str">
        <f>IF(Productos!A178="","",Productos!A178)</f>
        <v/>
      </c>
      <c r="B178" s="18" t="str">
        <f>IF(Productos!B178="","",Productos!B178)</f>
        <v/>
      </c>
      <c r="C178" s="26" t="str">
        <f>IF(A178="","",Ventas!H178)</f>
        <v/>
      </c>
      <c r="D178" s="26" t="str">
        <f t="shared" si="6"/>
        <v/>
      </c>
      <c r="E178" s="26" t="str">
        <f t="shared" si="7"/>
        <v/>
      </c>
      <c r="F178" s="26" t="str">
        <f t="shared" si="8"/>
        <v/>
      </c>
    </row>
    <row r="179" spans="1:6" x14ac:dyDescent="0.2">
      <c r="A179" s="18" t="str">
        <f>IF(Productos!A179="","",Productos!A179)</f>
        <v/>
      </c>
      <c r="B179" s="18" t="str">
        <f>IF(Productos!B179="","",Productos!B179)</f>
        <v/>
      </c>
      <c r="C179" s="26" t="str">
        <f>IF(A179="","",Ventas!H179)</f>
        <v/>
      </c>
      <c r="D179" s="26" t="str">
        <f t="shared" si="6"/>
        <v/>
      </c>
      <c r="E179" s="26" t="str">
        <f t="shared" si="7"/>
        <v/>
      </c>
      <c r="F179" s="26" t="str">
        <f t="shared" si="8"/>
        <v/>
      </c>
    </row>
    <row r="180" spans="1:6" x14ac:dyDescent="0.2">
      <c r="A180" s="18" t="str">
        <f>IF(Productos!A180="","",Productos!A180)</f>
        <v/>
      </c>
      <c r="B180" s="18" t="str">
        <f>IF(Productos!B180="","",Productos!B180)</f>
        <v/>
      </c>
      <c r="C180" s="26" t="str">
        <f>IF(A180="","",Ventas!H180)</f>
        <v/>
      </c>
      <c r="D180" s="26" t="str">
        <f t="shared" si="6"/>
        <v/>
      </c>
      <c r="E180" s="26" t="str">
        <f t="shared" si="7"/>
        <v/>
      </c>
      <c r="F180" s="26" t="str">
        <f t="shared" si="8"/>
        <v/>
      </c>
    </row>
    <row r="181" spans="1:6" x14ac:dyDescent="0.2">
      <c r="A181" s="18" t="str">
        <f>IF(Productos!A181="","",Productos!A181)</f>
        <v/>
      </c>
      <c r="B181" s="18" t="str">
        <f>IF(Productos!B181="","",Productos!B181)</f>
        <v/>
      </c>
      <c r="C181" s="26" t="str">
        <f>IF(A181="","",Ventas!H181)</f>
        <v/>
      </c>
      <c r="D181" s="26" t="str">
        <f t="shared" si="6"/>
        <v/>
      </c>
      <c r="E181" s="26" t="str">
        <f t="shared" si="7"/>
        <v/>
      </c>
      <c r="F181" s="26" t="str">
        <f t="shared" si="8"/>
        <v/>
      </c>
    </row>
    <row r="182" spans="1:6" x14ac:dyDescent="0.2">
      <c r="A182" s="18" t="str">
        <f>IF(Productos!A182="","",Productos!A182)</f>
        <v/>
      </c>
      <c r="B182" s="18" t="str">
        <f>IF(Productos!B182="","",Productos!B182)</f>
        <v/>
      </c>
      <c r="C182" s="26" t="str">
        <f>IF(A182="","",Ventas!H182)</f>
        <v/>
      </c>
      <c r="D182" s="26" t="str">
        <f t="shared" si="6"/>
        <v/>
      </c>
      <c r="E182" s="26" t="str">
        <f t="shared" si="7"/>
        <v/>
      </c>
      <c r="F182" s="26" t="str">
        <f t="shared" si="8"/>
        <v/>
      </c>
    </row>
    <row r="183" spans="1:6" x14ac:dyDescent="0.2">
      <c r="A183" s="18" t="str">
        <f>IF(Productos!A183="","",Productos!A183)</f>
        <v/>
      </c>
      <c r="B183" s="18" t="str">
        <f>IF(Productos!B183="","",Productos!B183)</f>
        <v/>
      </c>
      <c r="C183" s="26" t="str">
        <f>IF(A183="","",Ventas!H183)</f>
        <v/>
      </c>
      <c r="D183" s="26" t="str">
        <f t="shared" si="6"/>
        <v/>
      </c>
      <c r="E183" s="26" t="str">
        <f t="shared" si="7"/>
        <v/>
      </c>
      <c r="F183" s="26" t="str">
        <f t="shared" si="8"/>
        <v/>
      </c>
    </row>
    <row r="184" spans="1:6" x14ac:dyDescent="0.2">
      <c r="A184" s="18" t="str">
        <f>IF(Productos!A184="","",Productos!A184)</f>
        <v/>
      </c>
      <c r="B184" s="18" t="str">
        <f>IF(Productos!B184="","",Productos!B184)</f>
        <v/>
      </c>
      <c r="C184" s="26" t="str">
        <f>IF(A184="","",Ventas!H184)</f>
        <v/>
      </c>
      <c r="D184" s="26" t="str">
        <f t="shared" si="6"/>
        <v/>
      </c>
      <c r="E184" s="26" t="str">
        <f t="shared" si="7"/>
        <v/>
      </c>
      <c r="F184" s="26" t="str">
        <f t="shared" si="8"/>
        <v/>
      </c>
    </row>
    <row r="185" spans="1:6" x14ac:dyDescent="0.2">
      <c r="A185" s="18" t="str">
        <f>IF(Productos!A185="","",Productos!A185)</f>
        <v/>
      </c>
      <c r="B185" s="18" t="str">
        <f>IF(Productos!B185="","",Productos!B185)</f>
        <v/>
      </c>
      <c r="C185" s="26" t="str">
        <f>IF(A185="","",Ventas!H185)</f>
        <v/>
      </c>
      <c r="D185" s="26" t="str">
        <f t="shared" si="6"/>
        <v/>
      </c>
      <c r="E185" s="26" t="str">
        <f t="shared" si="7"/>
        <v/>
      </c>
      <c r="F185" s="26" t="str">
        <f t="shared" si="8"/>
        <v/>
      </c>
    </row>
    <row r="186" spans="1:6" x14ac:dyDescent="0.2">
      <c r="A186" s="18" t="str">
        <f>IF(Productos!A186="","",Productos!A186)</f>
        <v/>
      </c>
      <c r="B186" s="18" t="str">
        <f>IF(Productos!B186="","",Productos!B186)</f>
        <v/>
      </c>
      <c r="C186" s="26" t="str">
        <f>IF(A186="","",Ventas!H186)</f>
        <v/>
      </c>
      <c r="D186" s="26" t="str">
        <f t="shared" si="6"/>
        <v/>
      </c>
      <c r="E186" s="26" t="str">
        <f t="shared" si="7"/>
        <v/>
      </c>
      <c r="F186" s="26" t="str">
        <f t="shared" si="8"/>
        <v/>
      </c>
    </row>
    <row r="187" spans="1:6" x14ac:dyDescent="0.2">
      <c r="A187" s="18" t="str">
        <f>IF(Productos!A187="","",Productos!A187)</f>
        <v/>
      </c>
      <c r="B187" s="18" t="str">
        <f>IF(Productos!B187="","",Productos!B187)</f>
        <v/>
      </c>
      <c r="C187" s="26" t="str">
        <f>IF(A187="","",Ventas!H187)</f>
        <v/>
      </c>
      <c r="D187" s="26" t="str">
        <f t="shared" si="6"/>
        <v/>
      </c>
      <c r="E187" s="26" t="str">
        <f t="shared" si="7"/>
        <v/>
      </c>
      <c r="F187" s="26" t="str">
        <f t="shared" si="8"/>
        <v/>
      </c>
    </row>
    <row r="188" spans="1:6" x14ac:dyDescent="0.2">
      <c r="A188" s="18" t="str">
        <f>IF(Productos!A188="","",Productos!A188)</f>
        <v/>
      </c>
      <c r="B188" s="18" t="str">
        <f>IF(Productos!B188="","",Productos!B188)</f>
        <v/>
      </c>
      <c r="C188" s="26" t="str">
        <f>IF(A188="","",Ventas!H188)</f>
        <v/>
      </c>
      <c r="D188" s="26" t="str">
        <f t="shared" si="6"/>
        <v/>
      </c>
      <c r="E188" s="26" t="str">
        <f t="shared" si="7"/>
        <v/>
      </c>
      <c r="F188" s="26" t="str">
        <f t="shared" si="8"/>
        <v/>
      </c>
    </row>
    <row r="189" spans="1:6" x14ac:dyDescent="0.2">
      <c r="A189" s="18" t="str">
        <f>IF(Productos!A189="","",Productos!A189)</f>
        <v/>
      </c>
      <c r="B189" s="18" t="str">
        <f>IF(Productos!B189="","",Productos!B189)</f>
        <v/>
      </c>
      <c r="C189" s="26" t="str">
        <f>IF(A189="","",Ventas!H189)</f>
        <v/>
      </c>
      <c r="D189" s="26" t="str">
        <f t="shared" si="6"/>
        <v/>
      </c>
      <c r="E189" s="26" t="str">
        <f t="shared" si="7"/>
        <v/>
      </c>
      <c r="F189" s="26" t="str">
        <f t="shared" si="8"/>
        <v/>
      </c>
    </row>
    <row r="190" spans="1:6" x14ac:dyDescent="0.2">
      <c r="A190" s="18" t="str">
        <f>IF(Productos!A190="","",Productos!A190)</f>
        <v/>
      </c>
      <c r="B190" s="18" t="str">
        <f>IF(Productos!B190="","",Productos!B190)</f>
        <v/>
      </c>
      <c r="C190" s="26" t="str">
        <f>IF(A190="","",Ventas!H190)</f>
        <v/>
      </c>
      <c r="D190" s="26" t="str">
        <f t="shared" si="6"/>
        <v/>
      </c>
      <c r="E190" s="26" t="str">
        <f t="shared" si="7"/>
        <v/>
      </c>
      <c r="F190" s="26" t="str">
        <f t="shared" si="8"/>
        <v/>
      </c>
    </row>
    <row r="191" spans="1:6" x14ac:dyDescent="0.2">
      <c r="A191" s="18" t="str">
        <f>IF(Productos!A191="","",Productos!A191)</f>
        <v/>
      </c>
      <c r="B191" s="18" t="str">
        <f>IF(Productos!B191="","",Productos!B191)</f>
        <v/>
      </c>
      <c r="C191" s="26" t="str">
        <f>IF(A191="","",Ventas!H191)</f>
        <v/>
      </c>
      <c r="D191" s="26" t="str">
        <f t="shared" si="6"/>
        <v/>
      </c>
      <c r="E191" s="26" t="str">
        <f t="shared" si="7"/>
        <v/>
      </c>
      <c r="F191" s="26" t="str">
        <f t="shared" si="8"/>
        <v/>
      </c>
    </row>
    <row r="192" spans="1:6" x14ac:dyDescent="0.2">
      <c r="A192" s="18" t="str">
        <f>IF(Productos!A192="","",Productos!A192)</f>
        <v/>
      </c>
      <c r="B192" s="18" t="str">
        <f>IF(Productos!B192="","",Productos!B192)</f>
        <v/>
      </c>
      <c r="C192" s="26" t="str">
        <f>IF(A192="","",Ventas!H192)</f>
        <v/>
      </c>
      <c r="D192" s="26" t="str">
        <f t="shared" si="6"/>
        <v/>
      </c>
      <c r="E192" s="26" t="str">
        <f t="shared" si="7"/>
        <v/>
      </c>
      <c r="F192" s="26" t="str">
        <f t="shared" si="8"/>
        <v/>
      </c>
    </row>
    <row r="193" spans="1:6" x14ac:dyDescent="0.2">
      <c r="A193" s="18" t="str">
        <f>IF(Productos!A193="","",Productos!A193)</f>
        <v/>
      </c>
      <c r="B193" s="18" t="str">
        <f>IF(Productos!B193="","",Productos!B193)</f>
        <v/>
      </c>
      <c r="C193" s="26" t="str">
        <f>IF(A193="","",Ventas!H193)</f>
        <v/>
      </c>
      <c r="D193" s="26" t="str">
        <f t="shared" si="6"/>
        <v/>
      </c>
      <c r="E193" s="26" t="str">
        <f t="shared" si="7"/>
        <v/>
      </c>
      <c r="F193" s="26" t="str">
        <f t="shared" si="8"/>
        <v/>
      </c>
    </row>
    <row r="194" spans="1:6" x14ac:dyDescent="0.2">
      <c r="A194" s="18" t="str">
        <f>IF(Productos!A194="","",Productos!A194)</f>
        <v/>
      </c>
      <c r="B194" s="18" t="str">
        <f>IF(Productos!B194="","",Productos!B194)</f>
        <v/>
      </c>
      <c r="C194" s="26" t="str">
        <f>IF(A194="","",Ventas!H194)</f>
        <v/>
      </c>
      <c r="D194" s="26" t="str">
        <f t="shared" si="6"/>
        <v/>
      </c>
      <c r="E194" s="26" t="str">
        <f t="shared" si="7"/>
        <v/>
      </c>
      <c r="F194" s="26" t="str">
        <f t="shared" si="8"/>
        <v/>
      </c>
    </row>
    <row r="195" spans="1:6" x14ac:dyDescent="0.2">
      <c r="A195" s="18" t="str">
        <f>IF(Productos!A195="","",Productos!A195)</f>
        <v/>
      </c>
      <c r="B195" s="18" t="str">
        <f>IF(Productos!B195="","",Productos!B195)</f>
        <v/>
      </c>
      <c r="C195" s="26" t="str">
        <f>IF(A195="","",Ventas!H195)</f>
        <v/>
      </c>
      <c r="D195" s="26" t="str">
        <f t="shared" ref="D195:D258" si="9">IF(A195="","",ROUND(C195/3,2))</f>
        <v/>
      </c>
      <c r="E195" s="26" t="str">
        <f t="shared" ref="E195:E258" si="10">IF(A195="","",ROUND(C195/3,2))</f>
        <v/>
      </c>
      <c r="F195" s="26" t="str">
        <f t="shared" ref="F195:F258" si="11">IF(A195="","",C195-D195-E195)</f>
        <v/>
      </c>
    </row>
    <row r="196" spans="1:6" x14ac:dyDescent="0.2">
      <c r="A196" s="18" t="str">
        <f>IF(Productos!A196="","",Productos!A196)</f>
        <v/>
      </c>
      <c r="B196" s="18" t="str">
        <f>IF(Productos!B196="","",Productos!B196)</f>
        <v/>
      </c>
      <c r="C196" s="26" t="str">
        <f>IF(A196="","",Ventas!H196)</f>
        <v/>
      </c>
      <c r="D196" s="26" t="str">
        <f t="shared" si="9"/>
        <v/>
      </c>
      <c r="E196" s="26" t="str">
        <f t="shared" si="10"/>
        <v/>
      </c>
      <c r="F196" s="26" t="str">
        <f t="shared" si="11"/>
        <v/>
      </c>
    </row>
    <row r="197" spans="1:6" x14ac:dyDescent="0.2">
      <c r="A197" s="18" t="str">
        <f>IF(Productos!A197="","",Productos!A197)</f>
        <v/>
      </c>
      <c r="B197" s="18" t="str">
        <f>IF(Productos!B197="","",Productos!B197)</f>
        <v/>
      </c>
      <c r="C197" s="26" t="str">
        <f>IF(A197="","",Ventas!H197)</f>
        <v/>
      </c>
      <c r="D197" s="26" t="str">
        <f t="shared" si="9"/>
        <v/>
      </c>
      <c r="E197" s="26" t="str">
        <f t="shared" si="10"/>
        <v/>
      </c>
      <c r="F197" s="26" t="str">
        <f t="shared" si="11"/>
        <v/>
      </c>
    </row>
    <row r="198" spans="1:6" x14ac:dyDescent="0.2">
      <c r="A198" s="18" t="str">
        <f>IF(Productos!A198="","",Productos!A198)</f>
        <v/>
      </c>
      <c r="B198" s="18" t="str">
        <f>IF(Productos!B198="","",Productos!B198)</f>
        <v/>
      </c>
      <c r="C198" s="26" t="str">
        <f>IF(A198="","",Ventas!H198)</f>
        <v/>
      </c>
      <c r="D198" s="26" t="str">
        <f t="shared" si="9"/>
        <v/>
      </c>
      <c r="E198" s="26" t="str">
        <f t="shared" si="10"/>
        <v/>
      </c>
      <c r="F198" s="26" t="str">
        <f t="shared" si="11"/>
        <v/>
      </c>
    </row>
    <row r="199" spans="1:6" x14ac:dyDescent="0.2">
      <c r="A199" s="18" t="str">
        <f>IF(Productos!A199="","",Productos!A199)</f>
        <v/>
      </c>
      <c r="B199" s="18" t="str">
        <f>IF(Productos!B199="","",Productos!B199)</f>
        <v/>
      </c>
      <c r="C199" s="26" t="str">
        <f>IF(A199="","",Ventas!H199)</f>
        <v/>
      </c>
      <c r="D199" s="26" t="str">
        <f t="shared" si="9"/>
        <v/>
      </c>
      <c r="E199" s="26" t="str">
        <f t="shared" si="10"/>
        <v/>
      </c>
      <c r="F199" s="26" t="str">
        <f t="shared" si="11"/>
        <v/>
      </c>
    </row>
    <row r="200" spans="1:6" x14ac:dyDescent="0.2">
      <c r="A200" s="18" t="str">
        <f>IF(Productos!A200="","",Productos!A200)</f>
        <v/>
      </c>
      <c r="B200" s="18" t="str">
        <f>IF(Productos!B200="","",Productos!B200)</f>
        <v/>
      </c>
      <c r="C200" s="26" t="str">
        <f>IF(A200="","",Ventas!H200)</f>
        <v/>
      </c>
      <c r="D200" s="26" t="str">
        <f t="shared" si="9"/>
        <v/>
      </c>
      <c r="E200" s="26" t="str">
        <f t="shared" si="10"/>
        <v/>
      </c>
      <c r="F200" s="26" t="str">
        <f t="shared" si="11"/>
        <v/>
      </c>
    </row>
    <row r="201" spans="1:6" x14ac:dyDescent="0.2">
      <c r="A201" s="18" t="str">
        <f>IF(Productos!A201="","",Productos!A201)</f>
        <v/>
      </c>
      <c r="B201" s="18" t="str">
        <f>IF(Productos!B201="","",Productos!B201)</f>
        <v/>
      </c>
      <c r="C201" s="26" t="str">
        <f>IF(A201="","",Ventas!H201)</f>
        <v/>
      </c>
      <c r="D201" s="26" t="str">
        <f t="shared" si="9"/>
        <v/>
      </c>
      <c r="E201" s="26" t="str">
        <f t="shared" si="10"/>
        <v/>
      </c>
      <c r="F201" s="26" t="str">
        <f t="shared" si="11"/>
        <v/>
      </c>
    </row>
    <row r="202" spans="1:6" x14ac:dyDescent="0.2">
      <c r="A202" s="18" t="str">
        <f>IF(Productos!A202="","",Productos!A202)</f>
        <v/>
      </c>
      <c r="B202" s="18" t="str">
        <f>IF(Productos!B202="","",Productos!B202)</f>
        <v/>
      </c>
      <c r="C202" s="26" t="str">
        <f>IF(A202="","",Ventas!H202)</f>
        <v/>
      </c>
      <c r="D202" s="26" t="str">
        <f t="shared" si="9"/>
        <v/>
      </c>
      <c r="E202" s="26" t="str">
        <f t="shared" si="10"/>
        <v/>
      </c>
      <c r="F202" s="26" t="str">
        <f t="shared" si="11"/>
        <v/>
      </c>
    </row>
    <row r="203" spans="1:6" x14ac:dyDescent="0.2">
      <c r="A203" s="18" t="str">
        <f>IF(Productos!A203="","",Productos!A203)</f>
        <v/>
      </c>
      <c r="B203" s="18" t="str">
        <f>IF(Productos!B203="","",Productos!B203)</f>
        <v/>
      </c>
      <c r="C203" s="26" t="str">
        <f>IF(A203="","",Ventas!H203)</f>
        <v/>
      </c>
      <c r="D203" s="26" t="str">
        <f t="shared" si="9"/>
        <v/>
      </c>
      <c r="E203" s="26" t="str">
        <f t="shared" si="10"/>
        <v/>
      </c>
      <c r="F203" s="26" t="str">
        <f t="shared" si="11"/>
        <v/>
      </c>
    </row>
    <row r="204" spans="1:6" x14ac:dyDescent="0.2">
      <c r="A204" s="18" t="str">
        <f>IF(Productos!A204="","",Productos!A204)</f>
        <v/>
      </c>
      <c r="B204" s="18" t="str">
        <f>IF(Productos!B204="","",Productos!B204)</f>
        <v/>
      </c>
      <c r="C204" s="26" t="str">
        <f>IF(A204="","",Ventas!H204)</f>
        <v/>
      </c>
      <c r="D204" s="26" t="str">
        <f t="shared" si="9"/>
        <v/>
      </c>
      <c r="E204" s="26" t="str">
        <f t="shared" si="10"/>
        <v/>
      </c>
      <c r="F204" s="26" t="str">
        <f t="shared" si="11"/>
        <v/>
      </c>
    </row>
    <row r="205" spans="1:6" x14ac:dyDescent="0.2">
      <c r="A205" s="18" t="str">
        <f>IF(Productos!A205="","",Productos!A205)</f>
        <v/>
      </c>
      <c r="B205" s="18" t="str">
        <f>IF(Productos!B205="","",Productos!B205)</f>
        <v/>
      </c>
      <c r="C205" s="26" t="str">
        <f>IF(A205="","",Ventas!H205)</f>
        <v/>
      </c>
      <c r="D205" s="26" t="str">
        <f t="shared" si="9"/>
        <v/>
      </c>
      <c r="E205" s="26" t="str">
        <f t="shared" si="10"/>
        <v/>
      </c>
      <c r="F205" s="26" t="str">
        <f t="shared" si="11"/>
        <v/>
      </c>
    </row>
    <row r="206" spans="1:6" x14ac:dyDescent="0.2">
      <c r="A206" s="18" t="str">
        <f>IF(Productos!A206="","",Productos!A206)</f>
        <v/>
      </c>
      <c r="B206" s="18" t="str">
        <f>IF(Productos!B206="","",Productos!B206)</f>
        <v/>
      </c>
      <c r="C206" s="26" t="str">
        <f>IF(A206="","",Ventas!H206)</f>
        <v/>
      </c>
      <c r="D206" s="26" t="str">
        <f t="shared" si="9"/>
        <v/>
      </c>
      <c r="E206" s="26" t="str">
        <f t="shared" si="10"/>
        <v/>
      </c>
      <c r="F206" s="26" t="str">
        <f t="shared" si="11"/>
        <v/>
      </c>
    </row>
    <row r="207" spans="1:6" x14ac:dyDescent="0.2">
      <c r="A207" s="18" t="str">
        <f>IF(Productos!A207="","",Productos!A207)</f>
        <v/>
      </c>
      <c r="B207" s="18" t="str">
        <f>IF(Productos!B207="","",Productos!B207)</f>
        <v/>
      </c>
      <c r="C207" s="26" t="str">
        <f>IF(A207="","",Ventas!H207)</f>
        <v/>
      </c>
      <c r="D207" s="26" t="str">
        <f t="shared" si="9"/>
        <v/>
      </c>
      <c r="E207" s="26" t="str">
        <f t="shared" si="10"/>
        <v/>
      </c>
      <c r="F207" s="26" t="str">
        <f t="shared" si="11"/>
        <v/>
      </c>
    </row>
    <row r="208" spans="1:6" x14ac:dyDescent="0.2">
      <c r="A208" s="18" t="str">
        <f>IF(Productos!A208="","",Productos!A208)</f>
        <v/>
      </c>
      <c r="B208" s="18" t="str">
        <f>IF(Productos!B208="","",Productos!B208)</f>
        <v/>
      </c>
      <c r="C208" s="26" t="str">
        <f>IF(A208="","",Ventas!H208)</f>
        <v/>
      </c>
      <c r="D208" s="26" t="str">
        <f t="shared" si="9"/>
        <v/>
      </c>
      <c r="E208" s="26" t="str">
        <f t="shared" si="10"/>
        <v/>
      </c>
      <c r="F208" s="26" t="str">
        <f t="shared" si="11"/>
        <v/>
      </c>
    </row>
    <row r="209" spans="1:6" x14ac:dyDescent="0.2">
      <c r="A209" s="18" t="str">
        <f>IF(Productos!A209="","",Productos!A209)</f>
        <v/>
      </c>
      <c r="B209" s="18" t="str">
        <f>IF(Productos!B209="","",Productos!B209)</f>
        <v/>
      </c>
      <c r="C209" s="26" t="str">
        <f>IF(A209="","",Ventas!H209)</f>
        <v/>
      </c>
      <c r="D209" s="26" t="str">
        <f t="shared" si="9"/>
        <v/>
      </c>
      <c r="E209" s="26" t="str">
        <f t="shared" si="10"/>
        <v/>
      </c>
      <c r="F209" s="26" t="str">
        <f t="shared" si="11"/>
        <v/>
      </c>
    </row>
    <row r="210" spans="1:6" x14ac:dyDescent="0.2">
      <c r="A210" s="18" t="str">
        <f>IF(Productos!A210="","",Productos!A210)</f>
        <v/>
      </c>
      <c r="B210" s="18" t="str">
        <f>IF(Productos!B210="","",Productos!B210)</f>
        <v/>
      </c>
      <c r="C210" s="26" t="str">
        <f>IF(A210="","",Ventas!H210)</f>
        <v/>
      </c>
      <c r="D210" s="26" t="str">
        <f t="shared" si="9"/>
        <v/>
      </c>
      <c r="E210" s="26" t="str">
        <f t="shared" si="10"/>
        <v/>
      </c>
      <c r="F210" s="26" t="str">
        <f t="shared" si="11"/>
        <v/>
      </c>
    </row>
    <row r="211" spans="1:6" x14ac:dyDescent="0.2">
      <c r="A211" s="18" t="str">
        <f>IF(Productos!A211="","",Productos!A211)</f>
        <v/>
      </c>
      <c r="B211" s="18" t="str">
        <f>IF(Productos!B211="","",Productos!B211)</f>
        <v/>
      </c>
      <c r="C211" s="26" t="str">
        <f>IF(A211="","",Ventas!H211)</f>
        <v/>
      </c>
      <c r="D211" s="26" t="str">
        <f t="shared" si="9"/>
        <v/>
      </c>
      <c r="E211" s="26" t="str">
        <f t="shared" si="10"/>
        <v/>
      </c>
      <c r="F211" s="26" t="str">
        <f t="shared" si="11"/>
        <v/>
      </c>
    </row>
    <row r="212" spans="1:6" x14ac:dyDescent="0.2">
      <c r="A212" s="18" t="str">
        <f>IF(Productos!A212="","",Productos!A212)</f>
        <v/>
      </c>
      <c r="B212" s="18" t="str">
        <f>IF(Productos!B212="","",Productos!B212)</f>
        <v/>
      </c>
      <c r="C212" s="26" t="str">
        <f>IF(A212="","",Ventas!H212)</f>
        <v/>
      </c>
      <c r="D212" s="26" t="str">
        <f t="shared" si="9"/>
        <v/>
      </c>
      <c r="E212" s="26" t="str">
        <f t="shared" si="10"/>
        <v/>
      </c>
      <c r="F212" s="26" t="str">
        <f t="shared" si="11"/>
        <v/>
      </c>
    </row>
    <row r="213" spans="1:6" x14ac:dyDescent="0.2">
      <c r="A213" s="18" t="str">
        <f>IF(Productos!A213="","",Productos!A213)</f>
        <v/>
      </c>
      <c r="B213" s="18" t="str">
        <f>IF(Productos!B213="","",Productos!B213)</f>
        <v/>
      </c>
      <c r="C213" s="26" t="str">
        <f>IF(A213="","",Ventas!H213)</f>
        <v/>
      </c>
      <c r="D213" s="26" t="str">
        <f t="shared" si="9"/>
        <v/>
      </c>
      <c r="E213" s="26" t="str">
        <f t="shared" si="10"/>
        <v/>
      </c>
      <c r="F213" s="26" t="str">
        <f t="shared" si="11"/>
        <v/>
      </c>
    </row>
    <row r="214" spans="1:6" x14ac:dyDescent="0.2">
      <c r="A214" s="18" t="str">
        <f>IF(Productos!A214="","",Productos!A214)</f>
        <v/>
      </c>
      <c r="B214" s="18" t="str">
        <f>IF(Productos!B214="","",Productos!B214)</f>
        <v/>
      </c>
      <c r="C214" s="26" t="str">
        <f>IF(A214="","",Ventas!H214)</f>
        <v/>
      </c>
      <c r="D214" s="26" t="str">
        <f t="shared" si="9"/>
        <v/>
      </c>
      <c r="E214" s="26" t="str">
        <f t="shared" si="10"/>
        <v/>
      </c>
      <c r="F214" s="26" t="str">
        <f t="shared" si="11"/>
        <v/>
      </c>
    </row>
    <row r="215" spans="1:6" x14ac:dyDescent="0.2">
      <c r="A215" s="18" t="str">
        <f>IF(Productos!A215="","",Productos!A215)</f>
        <v/>
      </c>
      <c r="B215" s="18" t="str">
        <f>IF(Productos!B215="","",Productos!B215)</f>
        <v/>
      </c>
      <c r="C215" s="26" t="str">
        <f>IF(A215="","",Ventas!H215)</f>
        <v/>
      </c>
      <c r="D215" s="26" t="str">
        <f t="shared" si="9"/>
        <v/>
      </c>
      <c r="E215" s="26" t="str">
        <f t="shared" si="10"/>
        <v/>
      </c>
      <c r="F215" s="26" t="str">
        <f t="shared" si="11"/>
        <v/>
      </c>
    </row>
    <row r="216" spans="1:6" x14ac:dyDescent="0.2">
      <c r="A216" s="18" t="str">
        <f>IF(Productos!A216="","",Productos!A216)</f>
        <v/>
      </c>
      <c r="B216" s="18" t="str">
        <f>IF(Productos!B216="","",Productos!B216)</f>
        <v/>
      </c>
      <c r="C216" s="26" t="str">
        <f>IF(A216="","",Ventas!H216)</f>
        <v/>
      </c>
      <c r="D216" s="26" t="str">
        <f t="shared" si="9"/>
        <v/>
      </c>
      <c r="E216" s="26" t="str">
        <f t="shared" si="10"/>
        <v/>
      </c>
      <c r="F216" s="26" t="str">
        <f t="shared" si="11"/>
        <v/>
      </c>
    </row>
    <row r="217" spans="1:6" x14ac:dyDescent="0.2">
      <c r="A217" s="18" t="str">
        <f>IF(Productos!A217="","",Productos!A217)</f>
        <v/>
      </c>
      <c r="B217" s="18" t="str">
        <f>IF(Productos!B217="","",Productos!B217)</f>
        <v/>
      </c>
      <c r="C217" s="26" t="str">
        <f>IF(A217="","",Ventas!H217)</f>
        <v/>
      </c>
      <c r="D217" s="26" t="str">
        <f t="shared" si="9"/>
        <v/>
      </c>
      <c r="E217" s="26" t="str">
        <f t="shared" si="10"/>
        <v/>
      </c>
      <c r="F217" s="26" t="str">
        <f t="shared" si="11"/>
        <v/>
      </c>
    </row>
    <row r="218" spans="1:6" x14ac:dyDescent="0.2">
      <c r="A218" s="18" t="str">
        <f>IF(Productos!A218="","",Productos!A218)</f>
        <v/>
      </c>
      <c r="B218" s="18" t="str">
        <f>IF(Productos!B218="","",Productos!B218)</f>
        <v/>
      </c>
      <c r="C218" s="26" t="str">
        <f>IF(A218="","",Ventas!H218)</f>
        <v/>
      </c>
      <c r="D218" s="26" t="str">
        <f t="shared" si="9"/>
        <v/>
      </c>
      <c r="E218" s="26" t="str">
        <f t="shared" si="10"/>
        <v/>
      </c>
      <c r="F218" s="26" t="str">
        <f t="shared" si="11"/>
        <v/>
      </c>
    </row>
    <row r="219" spans="1:6" x14ac:dyDescent="0.2">
      <c r="A219" s="18" t="str">
        <f>IF(Productos!A219="","",Productos!A219)</f>
        <v/>
      </c>
      <c r="B219" s="18" t="str">
        <f>IF(Productos!B219="","",Productos!B219)</f>
        <v/>
      </c>
      <c r="C219" s="26" t="str">
        <f>IF(A219="","",Ventas!H219)</f>
        <v/>
      </c>
      <c r="D219" s="26" t="str">
        <f t="shared" si="9"/>
        <v/>
      </c>
      <c r="E219" s="26" t="str">
        <f t="shared" si="10"/>
        <v/>
      </c>
      <c r="F219" s="26" t="str">
        <f t="shared" si="11"/>
        <v/>
      </c>
    </row>
    <row r="220" spans="1:6" x14ac:dyDescent="0.2">
      <c r="A220" s="18" t="str">
        <f>IF(Productos!A220="","",Productos!A220)</f>
        <v/>
      </c>
      <c r="B220" s="18" t="str">
        <f>IF(Productos!B220="","",Productos!B220)</f>
        <v/>
      </c>
      <c r="C220" s="26" t="str">
        <f>IF(A220="","",Ventas!H220)</f>
        <v/>
      </c>
      <c r="D220" s="26" t="str">
        <f t="shared" si="9"/>
        <v/>
      </c>
      <c r="E220" s="26" t="str">
        <f t="shared" si="10"/>
        <v/>
      </c>
      <c r="F220" s="26" t="str">
        <f t="shared" si="11"/>
        <v/>
      </c>
    </row>
    <row r="221" spans="1:6" x14ac:dyDescent="0.2">
      <c r="A221" s="18" t="str">
        <f>IF(Productos!A221="","",Productos!A221)</f>
        <v/>
      </c>
      <c r="B221" s="18" t="str">
        <f>IF(Productos!B221="","",Productos!B221)</f>
        <v/>
      </c>
      <c r="C221" s="26" t="str">
        <f>IF(A221="","",Ventas!H221)</f>
        <v/>
      </c>
      <c r="D221" s="26" t="str">
        <f t="shared" si="9"/>
        <v/>
      </c>
      <c r="E221" s="26" t="str">
        <f t="shared" si="10"/>
        <v/>
      </c>
      <c r="F221" s="26" t="str">
        <f t="shared" si="11"/>
        <v/>
      </c>
    </row>
    <row r="222" spans="1:6" x14ac:dyDescent="0.2">
      <c r="A222" s="18" t="str">
        <f>IF(Productos!A222="","",Productos!A222)</f>
        <v/>
      </c>
      <c r="B222" s="18" t="str">
        <f>IF(Productos!B222="","",Productos!B222)</f>
        <v/>
      </c>
      <c r="C222" s="26" t="str">
        <f>IF(A222="","",Ventas!H222)</f>
        <v/>
      </c>
      <c r="D222" s="26" t="str">
        <f t="shared" si="9"/>
        <v/>
      </c>
      <c r="E222" s="26" t="str">
        <f t="shared" si="10"/>
        <v/>
      </c>
      <c r="F222" s="26" t="str">
        <f t="shared" si="11"/>
        <v/>
      </c>
    </row>
    <row r="223" spans="1:6" x14ac:dyDescent="0.2">
      <c r="A223" s="18" t="str">
        <f>IF(Productos!A223="","",Productos!A223)</f>
        <v/>
      </c>
      <c r="B223" s="18" t="str">
        <f>IF(Productos!B223="","",Productos!B223)</f>
        <v/>
      </c>
      <c r="C223" s="26" t="str">
        <f>IF(A223="","",Ventas!H223)</f>
        <v/>
      </c>
      <c r="D223" s="26" t="str">
        <f t="shared" si="9"/>
        <v/>
      </c>
      <c r="E223" s="26" t="str">
        <f t="shared" si="10"/>
        <v/>
      </c>
      <c r="F223" s="26" t="str">
        <f t="shared" si="11"/>
        <v/>
      </c>
    </row>
    <row r="224" spans="1:6" x14ac:dyDescent="0.2">
      <c r="A224" s="18" t="str">
        <f>IF(Productos!A224="","",Productos!A224)</f>
        <v/>
      </c>
      <c r="B224" s="18" t="str">
        <f>IF(Productos!B224="","",Productos!B224)</f>
        <v/>
      </c>
      <c r="C224" s="26" t="str">
        <f>IF(A224="","",Ventas!H224)</f>
        <v/>
      </c>
      <c r="D224" s="26" t="str">
        <f t="shared" si="9"/>
        <v/>
      </c>
      <c r="E224" s="26" t="str">
        <f t="shared" si="10"/>
        <v/>
      </c>
      <c r="F224" s="26" t="str">
        <f t="shared" si="11"/>
        <v/>
      </c>
    </row>
    <row r="225" spans="1:6" x14ac:dyDescent="0.2">
      <c r="A225" s="18" t="str">
        <f>IF(Productos!A225="","",Productos!A225)</f>
        <v/>
      </c>
      <c r="B225" s="18" t="str">
        <f>IF(Productos!B225="","",Productos!B225)</f>
        <v/>
      </c>
      <c r="C225" s="26" t="str">
        <f>IF(A225="","",Ventas!H225)</f>
        <v/>
      </c>
      <c r="D225" s="26" t="str">
        <f t="shared" si="9"/>
        <v/>
      </c>
      <c r="E225" s="26" t="str">
        <f t="shared" si="10"/>
        <v/>
      </c>
      <c r="F225" s="26" t="str">
        <f t="shared" si="11"/>
        <v/>
      </c>
    </row>
    <row r="226" spans="1:6" x14ac:dyDescent="0.2">
      <c r="A226" s="18" t="str">
        <f>IF(Productos!A226="","",Productos!A226)</f>
        <v/>
      </c>
      <c r="B226" s="18" t="str">
        <f>IF(Productos!B226="","",Productos!B226)</f>
        <v/>
      </c>
      <c r="C226" s="26" t="str">
        <f>IF(A226="","",Ventas!H226)</f>
        <v/>
      </c>
      <c r="D226" s="26" t="str">
        <f t="shared" si="9"/>
        <v/>
      </c>
      <c r="E226" s="26" t="str">
        <f t="shared" si="10"/>
        <v/>
      </c>
      <c r="F226" s="26" t="str">
        <f t="shared" si="11"/>
        <v/>
      </c>
    </row>
    <row r="227" spans="1:6" x14ac:dyDescent="0.2">
      <c r="A227" s="18" t="str">
        <f>IF(Productos!A227="","",Productos!A227)</f>
        <v/>
      </c>
      <c r="B227" s="18" t="str">
        <f>IF(Productos!B227="","",Productos!B227)</f>
        <v/>
      </c>
      <c r="C227" s="26" t="str">
        <f>IF(A227="","",Ventas!H227)</f>
        <v/>
      </c>
      <c r="D227" s="26" t="str">
        <f t="shared" si="9"/>
        <v/>
      </c>
      <c r="E227" s="26" t="str">
        <f t="shared" si="10"/>
        <v/>
      </c>
      <c r="F227" s="26" t="str">
        <f t="shared" si="11"/>
        <v/>
      </c>
    </row>
    <row r="228" spans="1:6" x14ac:dyDescent="0.2">
      <c r="A228" s="18" t="str">
        <f>IF(Productos!A228="","",Productos!A228)</f>
        <v/>
      </c>
      <c r="B228" s="18" t="str">
        <f>IF(Productos!B228="","",Productos!B228)</f>
        <v/>
      </c>
      <c r="C228" s="26" t="str">
        <f>IF(A228="","",Ventas!H228)</f>
        <v/>
      </c>
      <c r="D228" s="26" t="str">
        <f t="shared" si="9"/>
        <v/>
      </c>
      <c r="E228" s="26" t="str">
        <f t="shared" si="10"/>
        <v/>
      </c>
      <c r="F228" s="26" t="str">
        <f t="shared" si="11"/>
        <v/>
      </c>
    </row>
    <row r="229" spans="1:6" x14ac:dyDescent="0.2">
      <c r="A229" s="18" t="str">
        <f>IF(Productos!A229="","",Productos!A229)</f>
        <v/>
      </c>
      <c r="B229" s="18" t="str">
        <f>IF(Productos!B229="","",Productos!B229)</f>
        <v/>
      </c>
      <c r="C229" s="26" t="str">
        <f>IF(A229="","",Ventas!H229)</f>
        <v/>
      </c>
      <c r="D229" s="26" t="str">
        <f t="shared" si="9"/>
        <v/>
      </c>
      <c r="E229" s="26" t="str">
        <f t="shared" si="10"/>
        <v/>
      </c>
      <c r="F229" s="26" t="str">
        <f t="shared" si="11"/>
        <v/>
      </c>
    </row>
    <row r="230" spans="1:6" x14ac:dyDescent="0.2">
      <c r="A230" s="18" t="str">
        <f>IF(Productos!A230="","",Productos!A230)</f>
        <v/>
      </c>
      <c r="B230" s="18" t="str">
        <f>IF(Productos!B230="","",Productos!B230)</f>
        <v/>
      </c>
      <c r="C230" s="26" t="str">
        <f>IF(A230="","",Ventas!H230)</f>
        <v/>
      </c>
      <c r="D230" s="26" t="str">
        <f t="shared" si="9"/>
        <v/>
      </c>
      <c r="E230" s="26" t="str">
        <f t="shared" si="10"/>
        <v/>
      </c>
      <c r="F230" s="26" t="str">
        <f t="shared" si="11"/>
        <v/>
      </c>
    </row>
    <row r="231" spans="1:6" x14ac:dyDescent="0.2">
      <c r="A231" s="18" t="str">
        <f>IF(Productos!A231="","",Productos!A231)</f>
        <v/>
      </c>
      <c r="B231" s="18" t="str">
        <f>IF(Productos!B231="","",Productos!B231)</f>
        <v/>
      </c>
      <c r="C231" s="26" t="str">
        <f>IF(A231="","",Ventas!H231)</f>
        <v/>
      </c>
      <c r="D231" s="26" t="str">
        <f t="shared" si="9"/>
        <v/>
      </c>
      <c r="E231" s="26" t="str">
        <f t="shared" si="10"/>
        <v/>
      </c>
      <c r="F231" s="26" t="str">
        <f t="shared" si="11"/>
        <v/>
      </c>
    </row>
    <row r="232" spans="1:6" x14ac:dyDescent="0.2">
      <c r="A232" s="18" t="str">
        <f>IF(Productos!A232="","",Productos!A232)</f>
        <v/>
      </c>
      <c r="B232" s="18" t="str">
        <f>IF(Productos!B232="","",Productos!B232)</f>
        <v/>
      </c>
      <c r="C232" s="26" t="str">
        <f>IF(A232="","",Ventas!H232)</f>
        <v/>
      </c>
      <c r="D232" s="26" t="str">
        <f t="shared" si="9"/>
        <v/>
      </c>
      <c r="E232" s="26" t="str">
        <f t="shared" si="10"/>
        <v/>
      </c>
      <c r="F232" s="26" t="str">
        <f t="shared" si="11"/>
        <v/>
      </c>
    </row>
    <row r="233" spans="1:6" x14ac:dyDescent="0.2">
      <c r="A233" s="18" t="str">
        <f>IF(Productos!A233="","",Productos!A233)</f>
        <v/>
      </c>
      <c r="B233" s="18" t="str">
        <f>IF(Productos!B233="","",Productos!B233)</f>
        <v/>
      </c>
      <c r="C233" s="26" t="str">
        <f>IF(A233="","",Ventas!H233)</f>
        <v/>
      </c>
      <c r="D233" s="26" t="str">
        <f t="shared" si="9"/>
        <v/>
      </c>
      <c r="E233" s="26" t="str">
        <f t="shared" si="10"/>
        <v/>
      </c>
      <c r="F233" s="26" t="str">
        <f t="shared" si="11"/>
        <v/>
      </c>
    </row>
    <row r="234" spans="1:6" x14ac:dyDescent="0.2">
      <c r="A234" s="18" t="str">
        <f>IF(Productos!A234="","",Productos!A234)</f>
        <v/>
      </c>
      <c r="B234" s="18" t="str">
        <f>IF(Productos!B234="","",Productos!B234)</f>
        <v/>
      </c>
      <c r="C234" s="26" t="str">
        <f>IF(A234="","",Ventas!H234)</f>
        <v/>
      </c>
      <c r="D234" s="26" t="str">
        <f t="shared" si="9"/>
        <v/>
      </c>
      <c r="E234" s="26" t="str">
        <f t="shared" si="10"/>
        <v/>
      </c>
      <c r="F234" s="26" t="str">
        <f t="shared" si="11"/>
        <v/>
      </c>
    </row>
    <row r="235" spans="1:6" x14ac:dyDescent="0.2">
      <c r="A235" s="18" t="str">
        <f>IF(Productos!A235="","",Productos!A235)</f>
        <v/>
      </c>
      <c r="B235" s="18" t="str">
        <f>IF(Productos!B235="","",Productos!B235)</f>
        <v/>
      </c>
      <c r="C235" s="26" t="str">
        <f>IF(A235="","",Ventas!H235)</f>
        <v/>
      </c>
      <c r="D235" s="26" t="str">
        <f t="shared" si="9"/>
        <v/>
      </c>
      <c r="E235" s="26" t="str">
        <f t="shared" si="10"/>
        <v/>
      </c>
      <c r="F235" s="26" t="str">
        <f t="shared" si="11"/>
        <v/>
      </c>
    </row>
    <row r="236" spans="1:6" x14ac:dyDescent="0.2">
      <c r="A236" s="18" t="str">
        <f>IF(Productos!A236="","",Productos!A236)</f>
        <v/>
      </c>
      <c r="B236" s="18" t="str">
        <f>IF(Productos!B236="","",Productos!B236)</f>
        <v/>
      </c>
      <c r="C236" s="26" t="str">
        <f>IF(A236="","",Ventas!H236)</f>
        <v/>
      </c>
      <c r="D236" s="26" t="str">
        <f t="shared" si="9"/>
        <v/>
      </c>
      <c r="E236" s="26" t="str">
        <f t="shared" si="10"/>
        <v/>
      </c>
      <c r="F236" s="26" t="str">
        <f t="shared" si="11"/>
        <v/>
      </c>
    </row>
    <row r="237" spans="1:6" x14ac:dyDescent="0.2">
      <c r="A237" s="18" t="str">
        <f>IF(Productos!A237="","",Productos!A237)</f>
        <v/>
      </c>
      <c r="B237" s="18" t="str">
        <f>IF(Productos!B237="","",Productos!B237)</f>
        <v/>
      </c>
      <c r="C237" s="26" t="str">
        <f>IF(A237="","",Ventas!H237)</f>
        <v/>
      </c>
      <c r="D237" s="26" t="str">
        <f t="shared" si="9"/>
        <v/>
      </c>
      <c r="E237" s="26" t="str">
        <f t="shared" si="10"/>
        <v/>
      </c>
      <c r="F237" s="26" t="str">
        <f t="shared" si="11"/>
        <v/>
      </c>
    </row>
    <row r="238" spans="1:6" x14ac:dyDescent="0.2">
      <c r="A238" s="18" t="str">
        <f>IF(Productos!A238="","",Productos!A238)</f>
        <v/>
      </c>
      <c r="B238" s="18" t="str">
        <f>IF(Productos!B238="","",Productos!B238)</f>
        <v/>
      </c>
      <c r="C238" s="26" t="str">
        <f>IF(A238="","",Ventas!H238)</f>
        <v/>
      </c>
      <c r="D238" s="26" t="str">
        <f t="shared" si="9"/>
        <v/>
      </c>
      <c r="E238" s="26" t="str">
        <f t="shared" si="10"/>
        <v/>
      </c>
      <c r="F238" s="26" t="str">
        <f t="shared" si="11"/>
        <v/>
      </c>
    </row>
    <row r="239" spans="1:6" x14ac:dyDescent="0.2">
      <c r="A239" s="18" t="str">
        <f>IF(Productos!A239="","",Productos!A239)</f>
        <v/>
      </c>
      <c r="B239" s="18" t="str">
        <f>IF(Productos!B239="","",Productos!B239)</f>
        <v/>
      </c>
      <c r="C239" s="26" t="str">
        <f>IF(A239="","",Ventas!H239)</f>
        <v/>
      </c>
      <c r="D239" s="26" t="str">
        <f t="shared" si="9"/>
        <v/>
      </c>
      <c r="E239" s="26" t="str">
        <f t="shared" si="10"/>
        <v/>
      </c>
      <c r="F239" s="26" t="str">
        <f t="shared" si="11"/>
        <v/>
      </c>
    </row>
    <row r="240" spans="1:6" x14ac:dyDescent="0.2">
      <c r="A240" s="18" t="str">
        <f>IF(Productos!A240="","",Productos!A240)</f>
        <v/>
      </c>
      <c r="B240" s="18" t="str">
        <f>IF(Productos!B240="","",Productos!B240)</f>
        <v/>
      </c>
      <c r="C240" s="26" t="str">
        <f>IF(A240="","",Ventas!H240)</f>
        <v/>
      </c>
      <c r="D240" s="26" t="str">
        <f t="shared" si="9"/>
        <v/>
      </c>
      <c r="E240" s="26" t="str">
        <f t="shared" si="10"/>
        <v/>
      </c>
      <c r="F240" s="26" t="str">
        <f t="shared" si="11"/>
        <v/>
      </c>
    </row>
    <row r="241" spans="1:6" x14ac:dyDescent="0.2">
      <c r="A241" s="18" t="str">
        <f>IF(Productos!A241="","",Productos!A241)</f>
        <v/>
      </c>
      <c r="B241" s="18" t="str">
        <f>IF(Productos!B241="","",Productos!B241)</f>
        <v/>
      </c>
      <c r="C241" s="26" t="str">
        <f>IF(A241="","",Ventas!H241)</f>
        <v/>
      </c>
      <c r="D241" s="26" t="str">
        <f t="shared" si="9"/>
        <v/>
      </c>
      <c r="E241" s="26" t="str">
        <f t="shared" si="10"/>
        <v/>
      </c>
      <c r="F241" s="26" t="str">
        <f t="shared" si="11"/>
        <v/>
      </c>
    </row>
    <row r="242" spans="1:6" x14ac:dyDescent="0.2">
      <c r="A242" s="18" t="str">
        <f>IF(Productos!A242="","",Productos!A242)</f>
        <v/>
      </c>
      <c r="B242" s="18" t="str">
        <f>IF(Productos!B242="","",Productos!B242)</f>
        <v/>
      </c>
      <c r="C242" s="26" t="str">
        <f>IF(A242="","",Ventas!H242)</f>
        <v/>
      </c>
      <c r="D242" s="26" t="str">
        <f t="shared" si="9"/>
        <v/>
      </c>
      <c r="E242" s="26" t="str">
        <f t="shared" si="10"/>
        <v/>
      </c>
      <c r="F242" s="26" t="str">
        <f t="shared" si="11"/>
        <v/>
      </c>
    </row>
    <row r="243" spans="1:6" x14ac:dyDescent="0.2">
      <c r="A243" s="18" t="str">
        <f>IF(Productos!A243="","",Productos!A243)</f>
        <v/>
      </c>
      <c r="B243" s="18" t="str">
        <f>IF(Productos!B243="","",Productos!B243)</f>
        <v/>
      </c>
      <c r="C243" s="26" t="str">
        <f>IF(A243="","",Ventas!H243)</f>
        <v/>
      </c>
      <c r="D243" s="26" t="str">
        <f t="shared" si="9"/>
        <v/>
      </c>
      <c r="E243" s="26" t="str">
        <f t="shared" si="10"/>
        <v/>
      </c>
      <c r="F243" s="26" t="str">
        <f t="shared" si="11"/>
        <v/>
      </c>
    </row>
    <row r="244" spans="1:6" x14ac:dyDescent="0.2">
      <c r="A244" s="18" t="str">
        <f>IF(Productos!A244="","",Productos!A244)</f>
        <v/>
      </c>
      <c r="B244" s="18" t="str">
        <f>IF(Productos!B244="","",Productos!B244)</f>
        <v/>
      </c>
      <c r="C244" s="26" t="str">
        <f>IF(A244="","",Ventas!H244)</f>
        <v/>
      </c>
      <c r="D244" s="26" t="str">
        <f t="shared" si="9"/>
        <v/>
      </c>
      <c r="E244" s="26" t="str">
        <f t="shared" si="10"/>
        <v/>
      </c>
      <c r="F244" s="26" t="str">
        <f t="shared" si="11"/>
        <v/>
      </c>
    </row>
    <row r="245" spans="1:6" x14ac:dyDescent="0.2">
      <c r="A245" s="18" t="str">
        <f>IF(Productos!A245="","",Productos!A245)</f>
        <v/>
      </c>
      <c r="B245" s="18" t="str">
        <f>IF(Productos!B245="","",Productos!B245)</f>
        <v/>
      </c>
      <c r="C245" s="26" t="str">
        <f>IF(A245="","",Ventas!H245)</f>
        <v/>
      </c>
      <c r="D245" s="26" t="str">
        <f t="shared" si="9"/>
        <v/>
      </c>
      <c r="E245" s="26" t="str">
        <f t="shared" si="10"/>
        <v/>
      </c>
      <c r="F245" s="26" t="str">
        <f t="shared" si="11"/>
        <v/>
      </c>
    </row>
    <row r="246" spans="1:6" x14ac:dyDescent="0.2">
      <c r="A246" s="18" t="str">
        <f>IF(Productos!A246="","",Productos!A246)</f>
        <v/>
      </c>
      <c r="B246" s="18" t="str">
        <f>IF(Productos!B246="","",Productos!B246)</f>
        <v/>
      </c>
      <c r="C246" s="26" t="str">
        <f>IF(A246="","",Ventas!H246)</f>
        <v/>
      </c>
      <c r="D246" s="26" t="str">
        <f t="shared" si="9"/>
        <v/>
      </c>
      <c r="E246" s="26" t="str">
        <f t="shared" si="10"/>
        <v/>
      </c>
      <c r="F246" s="26" t="str">
        <f t="shared" si="11"/>
        <v/>
      </c>
    </row>
    <row r="247" spans="1:6" x14ac:dyDescent="0.2">
      <c r="A247" s="18" t="str">
        <f>IF(Productos!A247="","",Productos!A247)</f>
        <v/>
      </c>
      <c r="B247" s="18" t="str">
        <f>IF(Productos!B247="","",Productos!B247)</f>
        <v/>
      </c>
      <c r="C247" s="26" t="str">
        <f>IF(A247="","",Ventas!H247)</f>
        <v/>
      </c>
      <c r="D247" s="26" t="str">
        <f t="shared" si="9"/>
        <v/>
      </c>
      <c r="E247" s="26" t="str">
        <f t="shared" si="10"/>
        <v/>
      </c>
      <c r="F247" s="26" t="str">
        <f t="shared" si="11"/>
        <v/>
      </c>
    </row>
    <row r="248" spans="1:6" x14ac:dyDescent="0.2">
      <c r="A248" s="18" t="str">
        <f>IF(Productos!A248="","",Productos!A248)</f>
        <v/>
      </c>
      <c r="B248" s="18" t="str">
        <f>IF(Productos!B248="","",Productos!B248)</f>
        <v/>
      </c>
      <c r="C248" s="26" t="str">
        <f>IF(A248="","",Ventas!H248)</f>
        <v/>
      </c>
      <c r="D248" s="26" t="str">
        <f t="shared" si="9"/>
        <v/>
      </c>
      <c r="E248" s="26" t="str">
        <f t="shared" si="10"/>
        <v/>
      </c>
      <c r="F248" s="26" t="str">
        <f t="shared" si="11"/>
        <v/>
      </c>
    </row>
    <row r="249" spans="1:6" x14ac:dyDescent="0.2">
      <c r="A249" s="18" t="str">
        <f>IF(Productos!A249="","",Productos!A249)</f>
        <v/>
      </c>
      <c r="B249" s="18" t="str">
        <f>IF(Productos!B249="","",Productos!B249)</f>
        <v/>
      </c>
      <c r="C249" s="26" t="str">
        <f>IF(A249="","",Ventas!H249)</f>
        <v/>
      </c>
      <c r="D249" s="26" t="str">
        <f t="shared" si="9"/>
        <v/>
      </c>
      <c r="E249" s="26" t="str">
        <f t="shared" si="10"/>
        <v/>
      </c>
      <c r="F249" s="26" t="str">
        <f t="shared" si="11"/>
        <v/>
      </c>
    </row>
    <row r="250" spans="1:6" x14ac:dyDescent="0.2">
      <c r="A250" s="18" t="str">
        <f>IF(Productos!A250="","",Productos!A250)</f>
        <v/>
      </c>
      <c r="B250" s="18" t="str">
        <f>IF(Productos!B250="","",Productos!B250)</f>
        <v/>
      </c>
      <c r="C250" s="26" t="str">
        <f>IF(A250="","",Ventas!H250)</f>
        <v/>
      </c>
      <c r="D250" s="26" t="str">
        <f t="shared" si="9"/>
        <v/>
      </c>
      <c r="E250" s="26" t="str">
        <f t="shared" si="10"/>
        <v/>
      </c>
      <c r="F250" s="26" t="str">
        <f t="shared" si="11"/>
        <v/>
      </c>
    </row>
    <row r="251" spans="1:6" x14ac:dyDescent="0.2">
      <c r="A251" s="18" t="str">
        <f>IF(Productos!A251="","",Productos!A251)</f>
        <v/>
      </c>
      <c r="B251" s="18" t="str">
        <f>IF(Productos!B251="","",Productos!B251)</f>
        <v/>
      </c>
      <c r="C251" s="26" t="str">
        <f>IF(A251="","",Ventas!H251)</f>
        <v/>
      </c>
      <c r="D251" s="26" t="str">
        <f t="shared" si="9"/>
        <v/>
      </c>
      <c r="E251" s="26" t="str">
        <f t="shared" si="10"/>
        <v/>
      </c>
      <c r="F251" s="26" t="str">
        <f t="shared" si="11"/>
        <v/>
      </c>
    </row>
    <row r="252" spans="1:6" x14ac:dyDescent="0.2">
      <c r="A252" s="18" t="str">
        <f>IF(Productos!A252="","",Productos!A252)</f>
        <v/>
      </c>
      <c r="B252" s="18" t="str">
        <f>IF(Productos!B252="","",Productos!B252)</f>
        <v/>
      </c>
      <c r="C252" s="26" t="str">
        <f>IF(A252="","",Ventas!H252)</f>
        <v/>
      </c>
      <c r="D252" s="26" t="str">
        <f t="shared" si="9"/>
        <v/>
      </c>
      <c r="E252" s="26" t="str">
        <f t="shared" si="10"/>
        <v/>
      </c>
      <c r="F252" s="26" t="str">
        <f t="shared" si="11"/>
        <v/>
      </c>
    </row>
    <row r="253" spans="1:6" x14ac:dyDescent="0.2">
      <c r="A253" s="18" t="str">
        <f>IF(Productos!A253="","",Productos!A253)</f>
        <v/>
      </c>
      <c r="B253" s="18" t="str">
        <f>IF(Productos!B253="","",Productos!B253)</f>
        <v/>
      </c>
      <c r="C253" s="26" t="str">
        <f>IF(A253="","",Ventas!H253)</f>
        <v/>
      </c>
      <c r="D253" s="26" t="str">
        <f t="shared" si="9"/>
        <v/>
      </c>
      <c r="E253" s="26" t="str">
        <f t="shared" si="10"/>
        <v/>
      </c>
      <c r="F253" s="26" t="str">
        <f t="shared" si="11"/>
        <v/>
      </c>
    </row>
    <row r="254" spans="1:6" x14ac:dyDescent="0.2">
      <c r="A254" s="18" t="str">
        <f>IF(Productos!A254="","",Productos!A254)</f>
        <v/>
      </c>
      <c r="B254" s="18" t="str">
        <f>IF(Productos!B254="","",Productos!B254)</f>
        <v/>
      </c>
      <c r="C254" s="26" t="str">
        <f>IF(A254="","",Ventas!H254)</f>
        <v/>
      </c>
      <c r="D254" s="26" t="str">
        <f t="shared" si="9"/>
        <v/>
      </c>
      <c r="E254" s="26" t="str">
        <f t="shared" si="10"/>
        <v/>
      </c>
      <c r="F254" s="26" t="str">
        <f t="shared" si="11"/>
        <v/>
      </c>
    </row>
    <row r="255" spans="1:6" x14ac:dyDescent="0.2">
      <c r="A255" s="18" t="str">
        <f>IF(Productos!A255="","",Productos!A255)</f>
        <v/>
      </c>
      <c r="B255" s="18" t="str">
        <f>IF(Productos!B255="","",Productos!B255)</f>
        <v/>
      </c>
      <c r="C255" s="26" t="str">
        <f>IF(A255="","",Ventas!H255)</f>
        <v/>
      </c>
      <c r="D255" s="26" t="str">
        <f t="shared" si="9"/>
        <v/>
      </c>
      <c r="E255" s="26" t="str">
        <f t="shared" si="10"/>
        <v/>
      </c>
      <c r="F255" s="26" t="str">
        <f t="shared" si="11"/>
        <v/>
      </c>
    </row>
    <row r="256" spans="1:6" x14ac:dyDescent="0.2">
      <c r="A256" s="18" t="str">
        <f>IF(Productos!A256="","",Productos!A256)</f>
        <v/>
      </c>
      <c r="B256" s="18" t="str">
        <f>IF(Productos!B256="","",Productos!B256)</f>
        <v/>
      </c>
      <c r="C256" s="26" t="str">
        <f>IF(A256="","",Ventas!H256)</f>
        <v/>
      </c>
      <c r="D256" s="26" t="str">
        <f t="shared" si="9"/>
        <v/>
      </c>
      <c r="E256" s="26" t="str">
        <f t="shared" si="10"/>
        <v/>
      </c>
      <c r="F256" s="26" t="str">
        <f t="shared" si="11"/>
        <v/>
      </c>
    </row>
    <row r="257" spans="1:6" x14ac:dyDescent="0.2">
      <c r="A257" s="18" t="str">
        <f>IF(Productos!A257="","",Productos!A257)</f>
        <v/>
      </c>
      <c r="B257" s="18" t="str">
        <f>IF(Productos!B257="","",Productos!B257)</f>
        <v/>
      </c>
      <c r="C257" s="26" t="str">
        <f>IF(A257="","",Ventas!H257)</f>
        <v/>
      </c>
      <c r="D257" s="26" t="str">
        <f t="shared" si="9"/>
        <v/>
      </c>
      <c r="E257" s="26" t="str">
        <f t="shared" si="10"/>
        <v/>
      </c>
      <c r="F257" s="26" t="str">
        <f t="shared" si="11"/>
        <v/>
      </c>
    </row>
    <row r="258" spans="1:6" x14ac:dyDescent="0.2">
      <c r="A258" s="18" t="str">
        <f>IF(Productos!A258="","",Productos!A258)</f>
        <v/>
      </c>
      <c r="B258" s="18" t="str">
        <f>IF(Productos!B258="","",Productos!B258)</f>
        <v/>
      </c>
      <c r="C258" s="26" t="str">
        <f>IF(A258="","",Ventas!H258)</f>
        <v/>
      </c>
      <c r="D258" s="26" t="str">
        <f t="shared" si="9"/>
        <v/>
      </c>
      <c r="E258" s="26" t="str">
        <f t="shared" si="10"/>
        <v/>
      </c>
      <c r="F258" s="26" t="str">
        <f t="shared" si="11"/>
        <v/>
      </c>
    </row>
    <row r="259" spans="1:6" x14ac:dyDescent="0.2">
      <c r="A259" s="18" t="str">
        <f>IF(Productos!A259="","",Productos!A259)</f>
        <v/>
      </c>
      <c r="B259" s="18" t="str">
        <f>IF(Productos!B259="","",Productos!B259)</f>
        <v/>
      </c>
      <c r="C259" s="26" t="str">
        <f>IF(A259="","",Ventas!H259)</f>
        <v/>
      </c>
      <c r="D259" s="26" t="str">
        <f t="shared" ref="D259:D322" si="12">IF(A259="","",ROUND(C259/3,2))</f>
        <v/>
      </c>
      <c r="E259" s="26" t="str">
        <f t="shared" ref="E259:E322" si="13">IF(A259="","",ROUND(C259/3,2))</f>
        <v/>
      </c>
      <c r="F259" s="26" t="str">
        <f t="shared" ref="F259:F322" si="14">IF(A259="","",C259-D259-E259)</f>
        <v/>
      </c>
    </row>
    <row r="260" spans="1:6" x14ac:dyDescent="0.2">
      <c r="A260" s="18" t="str">
        <f>IF(Productos!A260="","",Productos!A260)</f>
        <v/>
      </c>
      <c r="B260" s="18" t="str">
        <f>IF(Productos!B260="","",Productos!B260)</f>
        <v/>
      </c>
      <c r="C260" s="26" t="str">
        <f>IF(A260="","",Ventas!H260)</f>
        <v/>
      </c>
      <c r="D260" s="26" t="str">
        <f t="shared" si="12"/>
        <v/>
      </c>
      <c r="E260" s="26" t="str">
        <f t="shared" si="13"/>
        <v/>
      </c>
      <c r="F260" s="26" t="str">
        <f t="shared" si="14"/>
        <v/>
      </c>
    </row>
    <row r="261" spans="1:6" x14ac:dyDescent="0.2">
      <c r="A261" s="18" t="str">
        <f>IF(Productos!A261="","",Productos!A261)</f>
        <v/>
      </c>
      <c r="B261" s="18" t="str">
        <f>IF(Productos!B261="","",Productos!B261)</f>
        <v/>
      </c>
      <c r="C261" s="26" t="str">
        <f>IF(A261="","",Ventas!H261)</f>
        <v/>
      </c>
      <c r="D261" s="26" t="str">
        <f t="shared" si="12"/>
        <v/>
      </c>
      <c r="E261" s="26" t="str">
        <f t="shared" si="13"/>
        <v/>
      </c>
      <c r="F261" s="26" t="str">
        <f t="shared" si="14"/>
        <v/>
      </c>
    </row>
    <row r="262" spans="1:6" x14ac:dyDescent="0.2">
      <c r="A262" s="18" t="str">
        <f>IF(Productos!A262="","",Productos!A262)</f>
        <v/>
      </c>
      <c r="B262" s="18" t="str">
        <f>IF(Productos!B262="","",Productos!B262)</f>
        <v/>
      </c>
      <c r="C262" s="26" t="str">
        <f>IF(A262="","",Ventas!H262)</f>
        <v/>
      </c>
      <c r="D262" s="26" t="str">
        <f t="shared" si="12"/>
        <v/>
      </c>
      <c r="E262" s="26" t="str">
        <f t="shared" si="13"/>
        <v/>
      </c>
      <c r="F262" s="26" t="str">
        <f t="shared" si="14"/>
        <v/>
      </c>
    </row>
    <row r="263" spans="1:6" x14ac:dyDescent="0.2">
      <c r="A263" s="18" t="str">
        <f>IF(Productos!A263="","",Productos!A263)</f>
        <v/>
      </c>
      <c r="B263" s="18" t="str">
        <f>IF(Productos!B263="","",Productos!B263)</f>
        <v/>
      </c>
      <c r="C263" s="26" t="str">
        <f>IF(A263="","",Ventas!H263)</f>
        <v/>
      </c>
      <c r="D263" s="26" t="str">
        <f t="shared" si="12"/>
        <v/>
      </c>
      <c r="E263" s="26" t="str">
        <f t="shared" si="13"/>
        <v/>
      </c>
      <c r="F263" s="26" t="str">
        <f t="shared" si="14"/>
        <v/>
      </c>
    </row>
    <row r="264" spans="1:6" x14ac:dyDescent="0.2">
      <c r="A264" s="18" t="str">
        <f>IF(Productos!A264="","",Productos!A264)</f>
        <v/>
      </c>
      <c r="B264" s="18" t="str">
        <f>IF(Productos!B264="","",Productos!B264)</f>
        <v/>
      </c>
      <c r="C264" s="26" t="str">
        <f>IF(A264="","",Ventas!H264)</f>
        <v/>
      </c>
      <c r="D264" s="26" t="str">
        <f t="shared" si="12"/>
        <v/>
      </c>
      <c r="E264" s="26" t="str">
        <f t="shared" si="13"/>
        <v/>
      </c>
      <c r="F264" s="26" t="str">
        <f t="shared" si="14"/>
        <v/>
      </c>
    </row>
    <row r="265" spans="1:6" x14ac:dyDescent="0.2">
      <c r="A265" s="18" t="str">
        <f>IF(Productos!A265="","",Productos!A265)</f>
        <v/>
      </c>
      <c r="B265" s="18" t="str">
        <f>IF(Productos!B265="","",Productos!B265)</f>
        <v/>
      </c>
      <c r="C265" s="26" t="str">
        <f>IF(A265="","",Ventas!H265)</f>
        <v/>
      </c>
      <c r="D265" s="26" t="str">
        <f t="shared" si="12"/>
        <v/>
      </c>
      <c r="E265" s="26" t="str">
        <f t="shared" si="13"/>
        <v/>
      </c>
      <c r="F265" s="26" t="str">
        <f t="shared" si="14"/>
        <v/>
      </c>
    </row>
    <row r="266" spans="1:6" x14ac:dyDescent="0.2">
      <c r="A266" s="18" t="str">
        <f>IF(Productos!A266="","",Productos!A266)</f>
        <v/>
      </c>
      <c r="B266" s="18" t="str">
        <f>IF(Productos!B266="","",Productos!B266)</f>
        <v/>
      </c>
      <c r="C266" s="26" t="str">
        <f>IF(A266="","",Ventas!H266)</f>
        <v/>
      </c>
      <c r="D266" s="26" t="str">
        <f t="shared" si="12"/>
        <v/>
      </c>
      <c r="E266" s="26" t="str">
        <f t="shared" si="13"/>
        <v/>
      </c>
      <c r="F266" s="26" t="str">
        <f t="shared" si="14"/>
        <v/>
      </c>
    </row>
    <row r="267" spans="1:6" x14ac:dyDescent="0.2">
      <c r="A267" s="18" t="str">
        <f>IF(Productos!A267="","",Productos!A267)</f>
        <v/>
      </c>
      <c r="B267" s="18" t="str">
        <f>IF(Productos!B267="","",Productos!B267)</f>
        <v/>
      </c>
      <c r="C267" s="26" t="str">
        <f>IF(A267="","",Ventas!H267)</f>
        <v/>
      </c>
      <c r="D267" s="26" t="str">
        <f t="shared" si="12"/>
        <v/>
      </c>
      <c r="E267" s="26" t="str">
        <f t="shared" si="13"/>
        <v/>
      </c>
      <c r="F267" s="26" t="str">
        <f t="shared" si="14"/>
        <v/>
      </c>
    </row>
    <row r="268" spans="1:6" x14ac:dyDescent="0.2">
      <c r="A268" s="18" t="str">
        <f>IF(Productos!A268="","",Productos!A268)</f>
        <v/>
      </c>
      <c r="B268" s="18" t="str">
        <f>IF(Productos!B268="","",Productos!B268)</f>
        <v/>
      </c>
      <c r="C268" s="26" t="str">
        <f>IF(A268="","",Ventas!H268)</f>
        <v/>
      </c>
      <c r="D268" s="26" t="str">
        <f t="shared" si="12"/>
        <v/>
      </c>
      <c r="E268" s="26" t="str">
        <f t="shared" si="13"/>
        <v/>
      </c>
      <c r="F268" s="26" t="str">
        <f t="shared" si="14"/>
        <v/>
      </c>
    </row>
    <row r="269" spans="1:6" x14ac:dyDescent="0.2">
      <c r="A269" s="18" t="str">
        <f>IF(Productos!A269="","",Productos!A269)</f>
        <v/>
      </c>
      <c r="B269" s="18" t="str">
        <f>IF(Productos!B269="","",Productos!B269)</f>
        <v/>
      </c>
      <c r="C269" s="26" t="str">
        <f>IF(A269="","",Ventas!H269)</f>
        <v/>
      </c>
      <c r="D269" s="26" t="str">
        <f t="shared" si="12"/>
        <v/>
      </c>
      <c r="E269" s="26" t="str">
        <f t="shared" si="13"/>
        <v/>
      </c>
      <c r="F269" s="26" t="str">
        <f t="shared" si="14"/>
        <v/>
      </c>
    </row>
    <row r="270" spans="1:6" x14ac:dyDescent="0.2">
      <c r="A270" s="18" t="str">
        <f>IF(Productos!A270="","",Productos!A270)</f>
        <v/>
      </c>
      <c r="B270" s="18" t="str">
        <f>IF(Productos!B270="","",Productos!B270)</f>
        <v/>
      </c>
      <c r="C270" s="26" t="str">
        <f>IF(A270="","",Ventas!H270)</f>
        <v/>
      </c>
      <c r="D270" s="26" t="str">
        <f t="shared" si="12"/>
        <v/>
      </c>
      <c r="E270" s="26" t="str">
        <f t="shared" si="13"/>
        <v/>
      </c>
      <c r="F270" s="26" t="str">
        <f t="shared" si="14"/>
        <v/>
      </c>
    </row>
    <row r="271" spans="1:6" x14ac:dyDescent="0.2">
      <c r="A271" s="18" t="str">
        <f>IF(Productos!A271="","",Productos!A271)</f>
        <v/>
      </c>
      <c r="B271" s="18" t="str">
        <f>IF(Productos!B271="","",Productos!B271)</f>
        <v/>
      </c>
      <c r="C271" s="26" t="str">
        <f>IF(A271="","",Ventas!H271)</f>
        <v/>
      </c>
      <c r="D271" s="26" t="str">
        <f t="shared" si="12"/>
        <v/>
      </c>
      <c r="E271" s="26" t="str">
        <f t="shared" si="13"/>
        <v/>
      </c>
      <c r="F271" s="26" t="str">
        <f t="shared" si="14"/>
        <v/>
      </c>
    </row>
    <row r="272" spans="1:6" x14ac:dyDescent="0.2">
      <c r="A272" s="18" t="str">
        <f>IF(Productos!A272="","",Productos!A272)</f>
        <v/>
      </c>
      <c r="B272" s="18" t="str">
        <f>IF(Productos!B272="","",Productos!B272)</f>
        <v/>
      </c>
      <c r="C272" s="26" t="str">
        <f>IF(A272="","",Ventas!H272)</f>
        <v/>
      </c>
      <c r="D272" s="26" t="str">
        <f t="shared" si="12"/>
        <v/>
      </c>
      <c r="E272" s="26" t="str">
        <f t="shared" si="13"/>
        <v/>
      </c>
      <c r="F272" s="26" t="str">
        <f t="shared" si="14"/>
        <v/>
      </c>
    </row>
    <row r="273" spans="1:6" x14ac:dyDescent="0.2">
      <c r="A273" s="18" t="str">
        <f>IF(Productos!A273="","",Productos!A273)</f>
        <v/>
      </c>
      <c r="B273" s="18" t="str">
        <f>IF(Productos!B273="","",Productos!B273)</f>
        <v/>
      </c>
      <c r="C273" s="26" t="str">
        <f>IF(A273="","",Ventas!H273)</f>
        <v/>
      </c>
      <c r="D273" s="26" t="str">
        <f t="shared" si="12"/>
        <v/>
      </c>
      <c r="E273" s="26" t="str">
        <f t="shared" si="13"/>
        <v/>
      </c>
      <c r="F273" s="26" t="str">
        <f t="shared" si="14"/>
        <v/>
      </c>
    </row>
    <row r="274" spans="1:6" x14ac:dyDescent="0.2">
      <c r="A274" s="18" t="str">
        <f>IF(Productos!A274="","",Productos!A274)</f>
        <v/>
      </c>
      <c r="B274" s="18" t="str">
        <f>IF(Productos!B274="","",Productos!B274)</f>
        <v/>
      </c>
      <c r="C274" s="26" t="str">
        <f>IF(A274="","",Ventas!H274)</f>
        <v/>
      </c>
      <c r="D274" s="26" t="str">
        <f t="shared" si="12"/>
        <v/>
      </c>
      <c r="E274" s="26" t="str">
        <f t="shared" si="13"/>
        <v/>
      </c>
      <c r="F274" s="26" t="str">
        <f t="shared" si="14"/>
        <v/>
      </c>
    </row>
    <row r="275" spans="1:6" x14ac:dyDescent="0.2">
      <c r="A275" s="18" t="str">
        <f>IF(Productos!A275="","",Productos!A275)</f>
        <v/>
      </c>
      <c r="B275" s="18" t="str">
        <f>IF(Productos!B275="","",Productos!B275)</f>
        <v/>
      </c>
      <c r="C275" s="26" t="str">
        <f>IF(A275="","",Ventas!H275)</f>
        <v/>
      </c>
      <c r="D275" s="26" t="str">
        <f t="shared" si="12"/>
        <v/>
      </c>
      <c r="E275" s="26" t="str">
        <f t="shared" si="13"/>
        <v/>
      </c>
      <c r="F275" s="26" t="str">
        <f t="shared" si="14"/>
        <v/>
      </c>
    </row>
    <row r="276" spans="1:6" x14ac:dyDescent="0.2">
      <c r="A276" s="18" t="str">
        <f>IF(Productos!A276="","",Productos!A276)</f>
        <v/>
      </c>
      <c r="B276" s="18" t="str">
        <f>IF(Productos!B276="","",Productos!B276)</f>
        <v/>
      </c>
      <c r="C276" s="26" t="str">
        <f>IF(A276="","",Ventas!H276)</f>
        <v/>
      </c>
      <c r="D276" s="26" t="str">
        <f t="shared" si="12"/>
        <v/>
      </c>
      <c r="E276" s="26" t="str">
        <f t="shared" si="13"/>
        <v/>
      </c>
      <c r="F276" s="26" t="str">
        <f t="shared" si="14"/>
        <v/>
      </c>
    </row>
    <row r="277" spans="1:6" x14ac:dyDescent="0.2">
      <c r="A277" s="18" t="str">
        <f>IF(Productos!A277="","",Productos!A277)</f>
        <v/>
      </c>
      <c r="B277" s="18" t="str">
        <f>IF(Productos!B277="","",Productos!B277)</f>
        <v/>
      </c>
      <c r="C277" s="26" t="str">
        <f>IF(A277="","",Ventas!H277)</f>
        <v/>
      </c>
      <c r="D277" s="26" t="str">
        <f t="shared" si="12"/>
        <v/>
      </c>
      <c r="E277" s="26" t="str">
        <f t="shared" si="13"/>
        <v/>
      </c>
      <c r="F277" s="26" t="str">
        <f t="shared" si="14"/>
        <v/>
      </c>
    </row>
    <row r="278" spans="1:6" x14ac:dyDescent="0.2">
      <c r="A278" s="18" t="str">
        <f>IF(Productos!A278="","",Productos!A278)</f>
        <v/>
      </c>
      <c r="B278" s="18" t="str">
        <f>IF(Productos!B278="","",Productos!B278)</f>
        <v/>
      </c>
      <c r="C278" s="26" t="str">
        <f>IF(A278="","",Ventas!H278)</f>
        <v/>
      </c>
      <c r="D278" s="26" t="str">
        <f t="shared" si="12"/>
        <v/>
      </c>
      <c r="E278" s="26" t="str">
        <f t="shared" si="13"/>
        <v/>
      </c>
      <c r="F278" s="26" t="str">
        <f t="shared" si="14"/>
        <v/>
      </c>
    </row>
    <row r="279" spans="1:6" x14ac:dyDescent="0.2">
      <c r="A279" s="18" t="str">
        <f>IF(Productos!A279="","",Productos!A279)</f>
        <v/>
      </c>
      <c r="B279" s="18" t="str">
        <f>IF(Productos!B279="","",Productos!B279)</f>
        <v/>
      </c>
      <c r="C279" s="26" t="str">
        <f>IF(A279="","",Ventas!H279)</f>
        <v/>
      </c>
      <c r="D279" s="26" t="str">
        <f t="shared" si="12"/>
        <v/>
      </c>
      <c r="E279" s="26" t="str">
        <f t="shared" si="13"/>
        <v/>
      </c>
      <c r="F279" s="26" t="str">
        <f t="shared" si="14"/>
        <v/>
      </c>
    </row>
    <row r="280" spans="1:6" x14ac:dyDescent="0.2">
      <c r="A280" s="18" t="str">
        <f>IF(Productos!A280="","",Productos!A280)</f>
        <v/>
      </c>
      <c r="B280" s="18" t="str">
        <f>IF(Productos!B280="","",Productos!B280)</f>
        <v/>
      </c>
      <c r="C280" s="26" t="str">
        <f>IF(A280="","",Ventas!H280)</f>
        <v/>
      </c>
      <c r="D280" s="26" t="str">
        <f t="shared" si="12"/>
        <v/>
      </c>
      <c r="E280" s="26" t="str">
        <f t="shared" si="13"/>
        <v/>
      </c>
      <c r="F280" s="26" t="str">
        <f t="shared" si="14"/>
        <v/>
      </c>
    </row>
    <row r="281" spans="1:6" x14ac:dyDescent="0.2">
      <c r="A281" s="18" t="str">
        <f>IF(Productos!A281="","",Productos!A281)</f>
        <v/>
      </c>
      <c r="B281" s="18" t="str">
        <f>IF(Productos!B281="","",Productos!B281)</f>
        <v/>
      </c>
      <c r="C281" s="26" t="str">
        <f>IF(A281="","",Ventas!H281)</f>
        <v/>
      </c>
      <c r="D281" s="26" t="str">
        <f t="shared" si="12"/>
        <v/>
      </c>
      <c r="E281" s="26" t="str">
        <f t="shared" si="13"/>
        <v/>
      </c>
      <c r="F281" s="26" t="str">
        <f t="shared" si="14"/>
        <v/>
      </c>
    </row>
    <row r="282" spans="1:6" x14ac:dyDescent="0.2">
      <c r="A282" s="18" t="str">
        <f>IF(Productos!A282="","",Productos!A282)</f>
        <v/>
      </c>
      <c r="B282" s="18" t="str">
        <f>IF(Productos!B282="","",Productos!B282)</f>
        <v/>
      </c>
      <c r="C282" s="26" t="str">
        <f>IF(A282="","",Ventas!H282)</f>
        <v/>
      </c>
      <c r="D282" s="26" t="str">
        <f t="shared" si="12"/>
        <v/>
      </c>
      <c r="E282" s="26" t="str">
        <f t="shared" si="13"/>
        <v/>
      </c>
      <c r="F282" s="26" t="str">
        <f t="shared" si="14"/>
        <v/>
      </c>
    </row>
    <row r="283" spans="1:6" x14ac:dyDescent="0.2">
      <c r="A283" s="18" t="str">
        <f>IF(Productos!A283="","",Productos!A283)</f>
        <v/>
      </c>
      <c r="B283" s="18" t="str">
        <f>IF(Productos!B283="","",Productos!B283)</f>
        <v/>
      </c>
      <c r="C283" s="26" t="str">
        <f>IF(A283="","",Ventas!H283)</f>
        <v/>
      </c>
      <c r="D283" s="26" t="str">
        <f t="shared" si="12"/>
        <v/>
      </c>
      <c r="E283" s="26" t="str">
        <f t="shared" si="13"/>
        <v/>
      </c>
      <c r="F283" s="26" t="str">
        <f t="shared" si="14"/>
        <v/>
      </c>
    </row>
    <row r="284" spans="1:6" x14ac:dyDescent="0.2">
      <c r="A284" s="18" t="str">
        <f>IF(Productos!A284="","",Productos!A284)</f>
        <v/>
      </c>
      <c r="B284" s="18" t="str">
        <f>IF(Productos!B284="","",Productos!B284)</f>
        <v/>
      </c>
      <c r="C284" s="26" t="str">
        <f>IF(A284="","",Ventas!H284)</f>
        <v/>
      </c>
      <c r="D284" s="26" t="str">
        <f t="shared" si="12"/>
        <v/>
      </c>
      <c r="E284" s="26" t="str">
        <f t="shared" si="13"/>
        <v/>
      </c>
      <c r="F284" s="26" t="str">
        <f t="shared" si="14"/>
        <v/>
      </c>
    </row>
    <row r="285" spans="1:6" x14ac:dyDescent="0.2">
      <c r="A285" s="18" t="str">
        <f>IF(Productos!A285="","",Productos!A285)</f>
        <v/>
      </c>
      <c r="B285" s="18" t="str">
        <f>IF(Productos!B285="","",Productos!B285)</f>
        <v/>
      </c>
      <c r="C285" s="26" t="str">
        <f>IF(A285="","",Ventas!H285)</f>
        <v/>
      </c>
      <c r="D285" s="26" t="str">
        <f t="shared" si="12"/>
        <v/>
      </c>
      <c r="E285" s="26" t="str">
        <f t="shared" si="13"/>
        <v/>
      </c>
      <c r="F285" s="26" t="str">
        <f t="shared" si="14"/>
        <v/>
      </c>
    </row>
    <row r="286" spans="1:6" x14ac:dyDescent="0.2">
      <c r="A286" s="18" t="str">
        <f>IF(Productos!A286="","",Productos!A286)</f>
        <v/>
      </c>
      <c r="B286" s="18" t="str">
        <f>IF(Productos!B286="","",Productos!B286)</f>
        <v/>
      </c>
      <c r="C286" s="26" t="str">
        <f>IF(A286="","",Ventas!H286)</f>
        <v/>
      </c>
      <c r="D286" s="26" t="str">
        <f t="shared" si="12"/>
        <v/>
      </c>
      <c r="E286" s="26" t="str">
        <f t="shared" si="13"/>
        <v/>
      </c>
      <c r="F286" s="26" t="str">
        <f t="shared" si="14"/>
        <v/>
      </c>
    </row>
    <row r="287" spans="1:6" x14ac:dyDescent="0.2">
      <c r="A287" s="18" t="str">
        <f>IF(Productos!A287="","",Productos!A287)</f>
        <v/>
      </c>
      <c r="B287" s="18" t="str">
        <f>IF(Productos!B287="","",Productos!B287)</f>
        <v/>
      </c>
      <c r="C287" s="26" t="str">
        <f>IF(A287="","",Ventas!H287)</f>
        <v/>
      </c>
      <c r="D287" s="26" t="str">
        <f t="shared" si="12"/>
        <v/>
      </c>
      <c r="E287" s="26" t="str">
        <f t="shared" si="13"/>
        <v/>
      </c>
      <c r="F287" s="26" t="str">
        <f t="shared" si="14"/>
        <v/>
      </c>
    </row>
    <row r="288" spans="1:6" x14ac:dyDescent="0.2">
      <c r="A288" s="18" t="str">
        <f>IF(Productos!A288="","",Productos!A288)</f>
        <v/>
      </c>
      <c r="B288" s="18" t="str">
        <f>IF(Productos!B288="","",Productos!B288)</f>
        <v/>
      </c>
      <c r="C288" s="26" t="str">
        <f>IF(A288="","",Ventas!H288)</f>
        <v/>
      </c>
      <c r="D288" s="26" t="str">
        <f t="shared" si="12"/>
        <v/>
      </c>
      <c r="E288" s="26" t="str">
        <f t="shared" si="13"/>
        <v/>
      </c>
      <c r="F288" s="26" t="str">
        <f t="shared" si="14"/>
        <v/>
      </c>
    </row>
    <row r="289" spans="1:6" x14ac:dyDescent="0.2">
      <c r="A289" s="18" t="str">
        <f>IF(Productos!A289="","",Productos!A289)</f>
        <v/>
      </c>
      <c r="B289" s="18" t="str">
        <f>IF(Productos!B289="","",Productos!B289)</f>
        <v/>
      </c>
      <c r="C289" s="26" t="str">
        <f>IF(A289="","",Ventas!H289)</f>
        <v/>
      </c>
      <c r="D289" s="26" t="str">
        <f t="shared" si="12"/>
        <v/>
      </c>
      <c r="E289" s="26" t="str">
        <f t="shared" si="13"/>
        <v/>
      </c>
      <c r="F289" s="26" t="str">
        <f t="shared" si="14"/>
        <v/>
      </c>
    </row>
    <row r="290" spans="1:6" x14ac:dyDescent="0.2">
      <c r="A290" s="18" t="str">
        <f>IF(Productos!A290="","",Productos!A290)</f>
        <v/>
      </c>
      <c r="B290" s="18" t="str">
        <f>IF(Productos!B290="","",Productos!B290)</f>
        <v/>
      </c>
      <c r="C290" s="26" t="str">
        <f>IF(A290="","",Ventas!H290)</f>
        <v/>
      </c>
      <c r="D290" s="26" t="str">
        <f t="shared" si="12"/>
        <v/>
      </c>
      <c r="E290" s="26" t="str">
        <f t="shared" si="13"/>
        <v/>
      </c>
      <c r="F290" s="26" t="str">
        <f t="shared" si="14"/>
        <v/>
      </c>
    </row>
    <row r="291" spans="1:6" x14ac:dyDescent="0.2">
      <c r="A291" s="18" t="str">
        <f>IF(Productos!A291="","",Productos!A291)</f>
        <v/>
      </c>
      <c r="B291" s="18" t="str">
        <f>IF(Productos!B291="","",Productos!B291)</f>
        <v/>
      </c>
      <c r="C291" s="26" t="str">
        <f>IF(A291="","",Ventas!H291)</f>
        <v/>
      </c>
      <c r="D291" s="26" t="str">
        <f t="shared" si="12"/>
        <v/>
      </c>
      <c r="E291" s="26" t="str">
        <f t="shared" si="13"/>
        <v/>
      </c>
      <c r="F291" s="26" t="str">
        <f t="shared" si="14"/>
        <v/>
      </c>
    </row>
    <row r="292" spans="1:6" x14ac:dyDescent="0.2">
      <c r="A292" s="18" t="str">
        <f>IF(Productos!A292="","",Productos!A292)</f>
        <v/>
      </c>
      <c r="B292" s="18" t="str">
        <f>IF(Productos!B292="","",Productos!B292)</f>
        <v/>
      </c>
      <c r="C292" s="26" t="str">
        <f>IF(A292="","",Ventas!H292)</f>
        <v/>
      </c>
      <c r="D292" s="26" t="str">
        <f t="shared" si="12"/>
        <v/>
      </c>
      <c r="E292" s="26" t="str">
        <f t="shared" si="13"/>
        <v/>
      </c>
      <c r="F292" s="26" t="str">
        <f t="shared" si="14"/>
        <v/>
      </c>
    </row>
    <row r="293" spans="1:6" x14ac:dyDescent="0.2">
      <c r="A293" s="18" t="str">
        <f>IF(Productos!A293="","",Productos!A293)</f>
        <v/>
      </c>
      <c r="B293" s="18" t="str">
        <f>IF(Productos!B293="","",Productos!B293)</f>
        <v/>
      </c>
      <c r="C293" s="26" t="str">
        <f>IF(A293="","",Ventas!H293)</f>
        <v/>
      </c>
      <c r="D293" s="26" t="str">
        <f t="shared" si="12"/>
        <v/>
      </c>
      <c r="E293" s="26" t="str">
        <f t="shared" si="13"/>
        <v/>
      </c>
      <c r="F293" s="26" t="str">
        <f t="shared" si="14"/>
        <v/>
      </c>
    </row>
    <row r="294" spans="1:6" x14ac:dyDescent="0.2">
      <c r="A294" s="18" t="str">
        <f>IF(Productos!A294="","",Productos!A294)</f>
        <v/>
      </c>
      <c r="B294" s="18" t="str">
        <f>IF(Productos!B294="","",Productos!B294)</f>
        <v/>
      </c>
      <c r="C294" s="26" t="str">
        <f>IF(A294="","",Ventas!H294)</f>
        <v/>
      </c>
      <c r="D294" s="26" t="str">
        <f t="shared" si="12"/>
        <v/>
      </c>
      <c r="E294" s="26" t="str">
        <f t="shared" si="13"/>
        <v/>
      </c>
      <c r="F294" s="26" t="str">
        <f t="shared" si="14"/>
        <v/>
      </c>
    </row>
    <row r="295" spans="1:6" x14ac:dyDescent="0.2">
      <c r="A295" s="18" t="str">
        <f>IF(Productos!A295="","",Productos!A295)</f>
        <v/>
      </c>
      <c r="B295" s="18" t="str">
        <f>IF(Productos!B295="","",Productos!B295)</f>
        <v/>
      </c>
      <c r="C295" s="26" t="str">
        <f>IF(A295="","",Ventas!H295)</f>
        <v/>
      </c>
      <c r="D295" s="26" t="str">
        <f t="shared" si="12"/>
        <v/>
      </c>
      <c r="E295" s="26" t="str">
        <f t="shared" si="13"/>
        <v/>
      </c>
      <c r="F295" s="26" t="str">
        <f t="shared" si="14"/>
        <v/>
      </c>
    </row>
    <row r="296" spans="1:6" x14ac:dyDescent="0.2">
      <c r="A296" s="18" t="str">
        <f>IF(Productos!A296="","",Productos!A296)</f>
        <v/>
      </c>
      <c r="B296" s="18" t="str">
        <f>IF(Productos!B296="","",Productos!B296)</f>
        <v/>
      </c>
      <c r="C296" s="26" t="str">
        <f>IF(A296="","",Ventas!H296)</f>
        <v/>
      </c>
      <c r="D296" s="26" t="str">
        <f t="shared" si="12"/>
        <v/>
      </c>
      <c r="E296" s="26" t="str">
        <f t="shared" si="13"/>
        <v/>
      </c>
      <c r="F296" s="26" t="str">
        <f t="shared" si="14"/>
        <v/>
      </c>
    </row>
    <row r="297" spans="1:6" x14ac:dyDescent="0.2">
      <c r="A297" s="18" t="str">
        <f>IF(Productos!A297="","",Productos!A297)</f>
        <v/>
      </c>
      <c r="B297" s="18" t="str">
        <f>IF(Productos!B297="","",Productos!B297)</f>
        <v/>
      </c>
      <c r="C297" s="26" t="str">
        <f>IF(A297="","",Ventas!H297)</f>
        <v/>
      </c>
      <c r="D297" s="26" t="str">
        <f t="shared" si="12"/>
        <v/>
      </c>
      <c r="E297" s="26" t="str">
        <f t="shared" si="13"/>
        <v/>
      </c>
      <c r="F297" s="26" t="str">
        <f t="shared" si="14"/>
        <v/>
      </c>
    </row>
    <row r="298" spans="1:6" x14ac:dyDescent="0.2">
      <c r="A298" s="18" t="str">
        <f>IF(Productos!A298="","",Productos!A298)</f>
        <v/>
      </c>
      <c r="B298" s="18" t="str">
        <f>IF(Productos!B298="","",Productos!B298)</f>
        <v/>
      </c>
      <c r="C298" s="26" t="str">
        <f>IF(A298="","",Ventas!H298)</f>
        <v/>
      </c>
      <c r="D298" s="26" t="str">
        <f t="shared" si="12"/>
        <v/>
      </c>
      <c r="E298" s="26" t="str">
        <f t="shared" si="13"/>
        <v/>
      </c>
      <c r="F298" s="26" t="str">
        <f t="shared" si="14"/>
        <v/>
      </c>
    </row>
    <row r="299" spans="1:6" x14ac:dyDescent="0.2">
      <c r="A299" s="18" t="str">
        <f>IF(Productos!A299="","",Productos!A299)</f>
        <v/>
      </c>
      <c r="B299" s="18" t="str">
        <f>IF(Productos!B299="","",Productos!B299)</f>
        <v/>
      </c>
      <c r="C299" s="26" t="str">
        <f>IF(A299="","",Ventas!H299)</f>
        <v/>
      </c>
      <c r="D299" s="26" t="str">
        <f t="shared" si="12"/>
        <v/>
      </c>
      <c r="E299" s="26" t="str">
        <f t="shared" si="13"/>
        <v/>
      </c>
      <c r="F299" s="26" t="str">
        <f t="shared" si="14"/>
        <v/>
      </c>
    </row>
    <row r="300" spans="1:6" x14ac:dyDescent="0.2">
      <c r="A300" s="18" t="str">
        <f>IF(Productos!A300="","",Productos!A300)</f>
        <v/>
      </c>
      <c r="B300" s="18" t="str">
        <f>IF(Productos!B300="","",Productos!B300)</f>
        <v/>
      </c>
      <c r="C300" s="26" t="str">
        <f>IF(A300="","",Ventas!H300)</f>
        <v/>
      </c>
      <c r="D300" s="26" t="str">
        <f t="shared" si="12"/>
        <v/>
      </c>
      <c r="E300" s="26" t="str">
        <f t="shared" si="13"/>
        <v/>
      </c>
      <c r="F300" s="26" t="str">
        <f t="shared" si="14"/>
        <v/>
      </c>
    </row>
    <row r="301" spans="1:6" x14ac:dyDescent="0.2">
      <c r="A301" s="18" t="str">
        <f>IF(Productos!A301="","",Productos!A301)</f>
        <v/>
      </c>
      <c r="B301" s="18" t="str">
        <f>IF(Productos!B301="","",Productos!B301)</f>
        <v/>
      </c>
      <c r="C301" s="26" t="str">
        <f>IF(A301="","",Ventas!H301)</f>
        <v/>
      </c>
      <c r="D301" s="26" t="str">
        <f t="shared" si="12"/>
        <v/>
      </c>
      <c r="E301" s="26" t="str">
        <f t="shared" si="13"/>
        <v/>
      </c>
      <c r="F301" s="26" t="str">
        <f t="shared" si="14"/>
        <v/>
      </c>
    </row>
    <row r="302" spans="1:6" x14ac:dyDescent="0.2">
      <c r="A302" s="18" t="str">
        <f>IF(Productos!A302="","",Productos!A302)</f>
        <v/>
      </c>
      <c r="B302" s="18" t="str">
        <f>IF(Productos!B302="","",Productos!B302)</f>
        <v/>
      </c>
      <c r="C302" s="26" t="str">
        <f>IF(A302="","",Ventas!H302)</f>
        <v/>
      </c>
      <c r="D302" s="26" t="str">
        <f t="shared" si="12"/>
        <v/>
      </c>
      <c r="E302" s="26" t="str">
        <f t="shared" si="13"/>
        <v/>
      </c>
      <c r="F302" s="26" t="str">
        <f t="shared" si="14"/>
        <v/>
      </c>
    </row>
    <row r="303" spans="1:6" x14ac:dyDescent="0.2">
      <c r="A303" s="18" t="str">
        <f>IF(Productos!A303="","",Productos!A303)</f>
        <v/>
      </c>
      <c r="B303" s="18" t="str">
        <f>IF(Productos!B303="","",Productos!B303)</f>
        <v/>
      </c>
      <c r="C303" s="26" t="str">
        <f>IF(A303="","",Ventas!H303)</f>
        <v/>
      </c>
      <c r="D303" s="26" t="str">
        <f t="shared" si="12"/>
        <v/>
      </c>
      <c r="E303" s="26" t="str">
        <f t="shared" si="13"/>
        <v/>
      </c>
      <c r="F303" s="26" t="str">
        <f t="shared" si="14"/>
        <v/>
      </c>
    </row>
    <row r="304" spans="1:6" x14ac:dyDescent="0.2">
      <c r="A304" s="18" t="str">
        <f>IF(Productos!A304="","",Productos!A304)</f>
        <v/>
      </c>
      <c r="B304" s="18" t="str">
        <f>IF(Productos!B304="","",Productos!B304)</f>
        <v/>
      </c>
      <c r="C304" s="26" t="str">
        <f>IF(A304="","",Ventas!H304)</f>
        <v/>
      </c>
      <c r="D304" s="26" t="str">
        <f t="shared" si="12"/>
        <v/>
      </c>
      <c r="E304" s="26" t="str">
        <f t="shared" si="13"/>
        <v/>
      </c>
      <c r="F304" s="26" t="str">
        <f t="shared" si="14"/>
        <v/>
      </c>
    </row>
    <row r="305" spans="1:6" x14ac:dyDescent="0.2">
      <c r="A305" s="18" t="str">
        <f>IF(Productos!A305="","",Productos!A305)</f>
        <v/>
      </c>
      <c r="B305" s="18" t="str">
        <f>IF(Productos!B305="","",Productos!B305)</f>
        <v/>
      </c>
      <c r="C305" s="26" t="str">
        <f>IF(A305="","",Ventas!H305)</f>
        <v/>
      </c>
      <c r="D305" s="26" t="str">
        <f t="shared" si="12"/>
        <v/>
      </c>
      <c r="E305" s="26" t="str">
        <f t="shared" si="13"/>
        <v/>
      </c>
      <c r="F305" s="26" t="str">
        <f t="shared" si="14"/>
        <v/>
      </c>
    </row>
    <row r="306" spans="1:6" x14ac:dyDescent="0.2">
      <c r="A306" s="18" t="str">
        <f>IF(Productos!A306="","",Productos!A306)</f>
        <v/>
      </c>
      <c r="B306" s="18" t="str">
        <f>IF(Productos!B306="","",Productos!B306)</f>
        <v/>
      </c>
      <c r="C306" s="26" t="str">
        <f>IF(A306="","",Ventas!H306)</f>
        <v/>
      </c>
      <c r="D306" s="26" t="str">
        <f t="shared" si="12"/>
        <v/>
      </c>
      <c r="E306" s="26" t="str">
        <f t="shared" si="13"/>
        <v/>
      </c>
      <c r="F306" s="26" t="str">
        <f t="shared" si="14"/>
        <v/>
      </c>
    </row>
    <row r="307" spans="1:6" x14ac:dyDescent="0.2">
      <c r="A307" s="18" t="str">
        <f>IF(Productos!A307="","",Productos!A307)</f>
        <v/>
      </c>
      <c r="B307" s="18" t="str">
        <f>IF(Productos!B307="","",Productos!B307)</f>
        <v/>
      </c>
      <c r="C307" s="26" t="str">
        <f>IF(A307="","",Ventas!H307)</f>
        <v/>
      </c>
      <c r="D307" s="26" t="str">
        <f t="shared" si="12"/>
        <v/>
      </c>
      <c r="E307" s="26" t="str">
        <f t="shared" si="13"/>
        <v/>
      </c>
      <c r="F307" s="26" t="str">
        <f t="shared" si="14"/>
        <v/>
      </c>
    </row>
    <row r="308" spans="1:6" x14ac:dyDescent="0.2">
      <c r="A308" s="18" t="str">
        <f>IF(Productos!A308="","",Productos!A308)</f>
        <v/>
      </c>
      <c r="B308" s="18" t="str">
        <f>IF(Productos!B308="","",Productos!B308)</f>
        <v/>
      </c>
      <c r="C308" s="26" t="str">
        <f>IF(A308="","",Ventas!H308)</f>
        <v/>
      </c>
      <c r="D308" s="26" t="str">
        <f t="shared" si="12"/>
        <v/>
      </c>
      <c r="E308" s="26" t="str">
        <f t="shared" si="13"/>
        <v/>
      </c>
      <c r="F308" s="26" t="str">
        <f t="shared" si="14"/>
        <v/>
      </c>
    </row>
    <row r="309" spans="1:6" x14ac:dyDescent="0.2">
      <c r="A309" s="18" t="str">
        <f>IF(Productos!A309="","",Productos!A309)</f>
        <v/>
      </c>
      <c r="B309" s="18" t="str">
        <f>IF(Productos!B309="","",Productos!B309)</f>
        <v/>
      </c>
      <c r="C309" s="26" t="str">
        <f>IF(A309="","",Ventas!H309)</f>
        <v/>
      </c>
      <c r="D309" s="26" t="str">
        <f t="shared" si="12"/>
        <v/>
      </c>
      <c r="E309" s="26" t="str">
        <f t="shared" si="13"/>
        <v/>
      </c>
      <c r="F309" s="26" t="str">
        <f t="shared" si="14"/>
        <v/>
      </c>
    </row>
    <row r="310" spans="1:6" x14ac:dyDescent="0.2">
      <c r="A310" s="18" t="str">
        <f>IF(Productos!A310="","",Productos!A310)</f>
        <v/>
      </c>
      <c r="B310" s="18" t="str">
        <f>IF(Productos!B310="","",Productos!B310)</f>
        <v/>
      </c>
      <c r="C310" s="26" t="str">
        <f>IF(A310="","",Ventas!H310)</f>
        <v/>
      </c>
      <c r="D310" s="26" t="str">
        <f t="shared" si="12"/>
        <v/>
      </c>
      <c r="E310" s="26" t="str">
        <f t="shared" si="13"/>
        <v/>
      </c>
      <c r="F310" s="26" t="str">
        <f t="shared" si="14"/>
        <v/>
      </c>
    </row>
    <row r="311" spans="1:6" x14ac:dyDescent="0.2">
      <c r="A311" s="18" t="str">
        <f>IF(Productos!A311="","",Productos!A311)</f>
        <v/>
      </c>
      <c r="B311" s="18" t="str">
        <f>IF(Productos!B311="","",Productos!B311)</f>
        <v/>
      </c>
      <c r="C311" s="26" t="str">
        <f>IF(A311="","",Ventas!H311)</f>
        <v/>
      </c>
      <c r="D311" s="26" t="str">
        <f t="shared" si="12"/>
        <v/>
      </c>
      <c r="E311" s="26" t="str">
        <f t="shared" si="13"/>
        <v/>
      </c>
      <c r="F311" s="26" t="str">
        <f t="shared" si="14"/>
        <v/>
      </c>
    </row>
    <row r="312" spans="1:6" x14ac:dyDescent="0.2">
      <c r="A312" s="18" t="str">
        <f>IF(Productos!A312="","",Productos!A312)</f>
        <v/>
      </c>
      <c r="B312" s="18" t="str">
        <f>IF(Productos!B312="","",Productos!B312)</f>
        <v/>
      </c>
      <c r="C312" s="26" t="str">
        <f>IF(A312="","",Ventas!H312)</f>
        <v/>
      </c>
      <c r="D312" s="26" t="str">
        <f t="shared" si="12"/>
        <v/>
      </c>
      <c r="E312" s="26" t="str">
        <f t="shared" si="13"/>
        <v/>
      </c>
      <c r="F312" s="26" t="str">
        <f t="shared" si="14"/>
        <v/>
      </c>
    </row>
    <row r="313" spans="1:6" x14ac:dyDescent="0.2">
      <c r="A313" s="18" t="str">
        <f>IF(Productos!A313="","",Productos!A313)</f>
        <v/>
      </c>
      <c r="B313" s="18" t="str">
        <f>IF(Productos!B313="","",Productos!B313)</f>
        <v/>
      </c>
      <c r="C313" s="26" t="str">
        <f>IF(A313="","",Ventas!H313)</f>
        <v/>
      </c>
      <c r="D313" s="26" t="str">
        <f t="shared" si="12"/>
        <v/>
      </c>
      <c r="E313" s="26" t="str">
        <f t="shared" si="13"/>
        <v/>
      </c>
      <c r="F313" s="26" t="str">
        <f t="shared" si="14"/>
        <v/>
      </c>
    </row>
    <row r="314" spans="1:6" x14ac:dyDescent="0.2">
      <c r="A314" s="18" t="str">
        <f>IF(Productos!A314="","",Productos!A314)</f>
        <v/>
      </c>
      <c r="B314" s="18" t="str">
        <f>IF(Productos!B314="","",Productos!B314)</f>
        <v/>
      </c>
      <c r="C314" s="26" t="str">
        <f>IF(A314="","",Ventas!H314)</f>
        <v/>
      </c>
      <c r="D314" s="26" t="str">
        <f t="shared" si="12"/>
        <v/>
      </c>
      <c r="E314" s="26" t="str">
        <f t="shared" si="13"/>
        <v/>
      </c>
      <c r="F314" s="26" t="str">
        <f t="shared" si="14"/>
        <v/>
      </c>
    </row>
    <row r="315" spans="1:6" x14ac:dyDescent="0.2">
      <c r="A315" s="18" t="str">
        <f>IF(Productos!A315="","",Productos!A315)</f>
        <v/>
      </c>
      <c r="B315" s="18" t="str">
        <f>IF(Productos!B315="","",Productos!B315)</f>
        <v/>
      </c>
      <c r="C315" s="26" t="str">
        <f>IF(A315="","",Ventas!H315)</f>
        <v/>
      </c>
      <c r="D315" s="26" t="str">
        <f t="shared" si="12"/>
        <v/>
      </c>
      <c r="E315" s="26" t="str">
        <f t="shared" si="13"/>
        <v/>
      </c>
      <c r="F315" s="26" t="str">
        <f t="shared" si="14"/>
        <v/>
      </c>
    </row>
    <row r="316" spans="1:6" x14ac:dyDescent="0.2">
      <c r="A316" s="18" t="str">
        <f>IF(Productos!A316="","",Productos!A316)</f>
        <v/>
      </c>
      <c r="B316" s="18" t="str">
        <f>IF(Productos!B316="","",Productos!B316)</f>
        <v/>
      </c>
      <c r="C316" s="26" t="str">
        <f>IF(A316="","",Ventas!H316)</f>
        <v/>
      </c>
      <c r="D316" s="26" t="str">
        <f t="shared" si="12"/>
        <v/>
      </c>
      <c r="E316" s="26" t="str">
        <f t="shared" si="13"/>
        <v/>
      </c>
      <c r="F316" s="26" t="str">
        <f t="shared" si="14"/>
        <v/>
      </c>
    </row>
    <row r="317" spans="1:6" x14ac:dyDescent="0.2">
      <c r="A317" s="18" t="str">
        <f>IF(Productos!A317="","",Productos!A317)</f>
        <v/>
      </c>
      <c r="B317" s="18" t="str">
        <f>IF(Productos!B317="","",Productos!B317)</f>
        <v/>
      </c>
      <c r="C317" s="26" t="str">
        <f>IF(A317="","",Ventas!H317)</f>
        <v/>
      </c>
      <c r="D317" s="26" t="str">
        <f t="shared" si="12"/>
        <v/>
      </c>
      <c r="E317" s="26" t="str">
        <f t="shared" si="13"/>
        <v/>
      </c>
      <c r="F317" s="26" t="str">
        <f t="shared" si="14"/>
        <v/>
      </c>
    </row>
    <row r="318" spans="1:6" x14ac:dyDescent="0.2">
      <c r="A318" s="18" t="str">
        <f>IF(Productos!A318="","",Productos!A318)</f>
        <v/>
      </c>
      <c r="B318" s="18" t="str">
        <f>IF(Productos!B318="","",Productos!B318)</f>
        <v/>
      </c>
      <c r="C318" s="26" t="str">
        <f>IF(A318="","",Ventas!H318)</f>
        <v/>
      </c>
      <c r="D318" s="26" t="str">
        <f t="shared" si="12"/>
        <v/>
      </c>
      <c r="E318" s="26" t="str">
        <f t="shared" si="13"/>
        <v/>
      </c>
      <c r="F318" s="26" t="str">
        <f t="shared" si="14"/>
        <v/>
      </c>
    </row>
    <row r="319" spans="1:6" x14ac:dyDescent="0.2">
      <c r="A319" s="18" t="str">
        <f>IF(Productos!A319="","",Productos!A319)</f>
        <v/>
      </c>
      <c r="B319" s="18" t="str">
        <f>IF(Productos!B319="","",Productos!B319)</f>
        <v/>
      </c>
      <c r="C319" s="26" t="str">
        <f>IF(A319="","",Ventas!H319)</f>
        <v/>
      </c>
      <c r="D319" s="26" t="str">
        <f t="shared" si="12"/>
        <v/>
      </c>
      <c r="E319" s="26" t="str">
        <f t="shared" si="13"/>
        <v/>
      </c>
      <c r="F319" s="26" t="str">
        <f t="shared" si="14"/>
        <v/>
      </c>
    </row>
    <row r="320" spans="1:6" x14ac:dyDescent="0.2">
      <c r="A320" s="18" t="str">
        <f>IF(Productos!A320="","",Productos!A320)</f>
        <v/>
      </c>
      <c r="B320" s="18" t="str">
        <f>IF(Productos!B320="","",Productos!B320)</f>
        <v/>
      </c>
      <c r="C320" s="26" t="str">
        <f>IF(A320="","",Ventas!H320)</f>
        <v/>
      </c>
      <c r="D320" s="26" t="str">
        <f t="shared" si="12"/>
        <v/>
      </c>
      <c r="E320" s="26" t="str">
        <f t="shared" si="13"/>
        <v/>
      </c>
      <c r="F320" s="26" t="str">
        <f t="shared" si="14"/>
        <v/>
      </c>
    </row>
    <row r="321" spans="1:6" x14ac:dyDescent="0.2">
      <c r="A321" s="18" t="str">
        <f>IF(Productos!A321="","",Productos!A321)</f>
        <v/>
      </c>
      <c r="B321" s="18" t="str">
        <f>IF(Productos!B321="","",Productos!B321)</f>
        <v/>
      </c>
      <c r="C321" s="26" t="str">
        <f>IF(A321="","",Ventas!H321)</f>
        <v/>
      </c>
      <c r="D321" s="26" t="str">
        <f t="shared" si="12"/>
        <v/>
      </c>
      <c r="E321" s="26" t="str">
        <f t="shared" si="13"/>
        <v/>
      </c>
      <c r="F321" s="26" t="str">
        <f t="shared" si="14"/>
        <v/>
      </c>
    </row>
    <row r="322" spans="1:6" x14ac:dyDescent="0.2">
      <c r="A322" s="18" t="str">
        <f>IF(Productos!A322="","",Productos!A322)</f>
        <v/>
      </c>
      <c r="B322" s="18" t="str">
        <f>IF(Productos!B322="","",Productos!B322)</f>
        <v/>
      </c>
      <c r="C322" s="26" t="str">
        <f>IF(A322="","",Ventas!H322)</f>
        <v/>
      </c>
      <c r="D322" s="26" t="str">
        <f t="shared" si="12"/>
        <v/>
      </c>
      <c r="E322" s="26" t="str">
        <f t="shared" si="13"/>
        <v/>
      </c>
      <c r="F322" s="26" t="str">
        <f t="shared" si="14"/>
        <v/>
      </c>
    </row>
    <row r="323" spans="1:6" x14ac:dyDescent="0.2">
      <c r="A323" s="18" t="str">
        <f>IF(Productos!A323="","",Productos!A323)</f>
        <v/>
      </c>
      <c r="B323" s="18" t="str">
        <f>IF(Productos!B323="","",Productos!B323)</f>
        <v/>
      </c>
      <c r="C323" s="26" t="str">
        <f>IF(A323="","",Ventas!H323)</f>
        <v/>
      </c>
      <c r="D323" s="26" t="str">
        <f t="shared" ref="D323:D386" si="15">IF(A323="","",ROUND(C323/3,2))</f>
        <v/>
      </c>
      <c r="E323" s="26" t="str">
        <f t="shared" ref="E323:E386" si="16">IF(A323="","",ROUND(C323/3,2))</f>
        <v/>
      </c>
      <c r="F323" s="26" t="str">
        <f t="shared" ref="F323:F386" si="17">IF(A323="","",C323-D323-E323)</f>
        <v/>
      </c>
    </row>
    <row r="324" spans="1:6" x14ac:dyDescent="0.2">
      <c r="A324" s="18" t="str">
        <f>IF(Productos!A324="","",Productos!A324)</f>
        <v/>
      </c>
      <c r="B324" s="18" t="str">
        <f>IF(Productos!B324="","",Productos!B324)</f>
        <v/>
      </c>
      <c r="C324" s="26" t="str">
        <f>IF(A324="","",Ventas!H324)</f>
        <v/>
      </c>
      <c r="D324" s="26" t="str">
        <f t="shared" si="15"/>
        <v/>
      </c>
      <c r="E324" s="26" t="str">
        <f t="shared" si="16"/>
        <v/>
      </c>
      <c r="F324" s="26" t="str">
        <f t="shared" si="17"/>
        <v/>
      </c>
    </row>
    <row r="325" spans="1:6" x14ac:dyDescent="0.2">
      <c r="A325" s="18" t="str">
        <f>IF(Productos!A325="","",Productos!A325)</f>
        <v/>
      </c>
      <c r="B325" s="18" t="str">
        <f>IF(Productos!B325="","",Productos!B325)</f>
        <v/>
      </c>
      <c r="C325" s="26" t="str">
        <f>IF(A325="","",Ventas!H325)</f>
        <v/>
      </c>
      <c r="D325" s="26" t="str">
        <f t="shared" si="15"/>
        <v/>
      </c>
      <c r="E325" s="26" t="str">
        <f t="shared" si="16"/>
        <v/>
      </c>
      <c r="F325" s="26" t="str">
        <f t="shared" si="17"/>
        <v/>
      </c>
    </row>
    <row r="326" spans="1:6" x14ac:dyDescent="0.2">
      <c r="A326" s="18" t="str">
        <f>IF(Productos!A326="","",Productos!A326)</f>
        <v/>
      </c>
      <c r="B326" s="18" t="str">
        <f>IF(Productos!B326="","",Productos!B326)</f>
        <v/>
      </c>
      <c r="C326" s="26" t="str">
        <f>IF(A326="","",Ventas!H326)</f>
        <v/>
      </c>
      <c r="D326" s="26" t="str">
        <f t="shared" si="15"/>
        <v/>
      </c>
      <c r="E326" s="26" t="str">
        <f t="shared" si="16"/>
        <v/>
      </c>
      <c r="F326" s="26" t="str">
        <f t="shared" si="17"/>
        <v/>
      </c>
    </row>
    <row r="327" spans="1:6" x14ac:dyDescent="0.2">
      <c r="A327" s="18" t="str">
        <f>IF(Productos!A327="","",Productos!A327)</f>
        <v/>
      </c>
      <c r="B327" s="18" t="str">
        <f>IF(Productos!B327="","",Productos!B327)</f>
        <v/>
      </c>
      <c r="C327" s="26" t="str">
        <f>IF(A327="","",Ventas!H327)</f>
        <v/>
      </c>
      <c r="D327" s="26" t="str">
        <f t="shared" si="15"/>
        <v/>
      </c>
      <c r="E327" s="26" t="str">
        <f t="shared" si="16"/>
        <v/>
      </c>
      <c r="F327" s="26" t="str">
        <f t="shared" si="17"/>
        <v/>
      </c>
    </row>
    <row r="328" spans="1:6" x14ac:dyDescent="0.2">
      <c r="A328" s="18" t="str">
        <f>IF(Productos!A328="","",Productos!A328)</f>
        <v/>
      </c>
      <c r="B328" s="18" t="str">
        <f>IF(Productos!B328="","",Productos!B328)</f>
        <v/>
      </c>
      <c r="C328" s="26" t="str">
        <f>IF(A328="","",Ventas!H328)</f>
        <v/>
      </c>
      <c r="D328" s="26" t="str">
        <f t="shared" si="15"/>
        <v/>
      </c>
      <c r="E328" s="26" t="str">
        <f t="shared" si="16"/>
        <v/>
      </c>
      <c r="F328" s="26" t="str">
        <f t="shared" si="17"/>
        <v/>
      </c>
    </row>
    <row r="329" spans="1:6" x14ac:dyDescent="0.2">
      <c r="A329" s="18" t="str">
        <f>IF(Productos!A329="","",Productos!A329)</f>
        <v/>
      </c>
      <c r="B329" s="18" t="str">
        <f>IF(Productos!B329="","",Productos!B329)</f>
        <v/>
      </c>
      <c r="C329" s="26" t="str">
        <f>IF(A329="","",Ventas!H329)</f>
        <v/>
      </c>
      <c r="D329" s="26" t="str">
        <f t="shared" si="15"/>
        <v/>
      </c>
      <c r="E329" s="26" t="str">
        <f t="shared" si="16"/>
        <v/>
      </c>
      <c r="F329" s="26" t="str">
        <f t="shared" si="17"/>
        <v/>
      </c>
    </row>
    <row r="330" spans="1:6" x14ac:dyDescent="0.2">
      <c r="A330" s="18" t="str">
        <f>IF(Productos!A330="","",Productos!A330)</f>
        <v/>
      </c>
      <c r="B330" s="18" t="str">
        <f>IF(Productos!B330="","",Productos!B330)</f>
        <v/>
      </c>
      <c r="C330" s="26" t="str">
        <f>IF(A330="","",Ventas!H330)</f>
        <v/>
      </c>
      <c r="D330" s="26" t="str">
        <f t="shared" si="15"/>
        <v/>
      </c>
      <c r="E330" s="26" t="str">
        <f t="shared" si="16"/>
        <v/>
      </c>
      <c r="F330" s="26" t="str">
        <f t="shared" si="17"/>
        <v/>
      </c>
    </row>
    <row r="331" spans="1:6" x14ac:dyDescent="0.2">
      <c r="A331" s="18" t="str">
        <f>IF(Productos!A331="","",Productos!A331)</f>
        <v/>
      </c>
      <c r="B331" s="18" t="str">
        <f>IF(Productos!B331="","",Productos!B331)</f>
        <v/>
      </c>
      <c r="C331" s="26" t="str">
        <f>IF(A331="","",Ventas!H331)</f>
        <v/>
      </c>
      <c r="D331" s="26" t="str">
        <f t="shared" si="15"/>
        <v/>
      </c>
      <c r="E331" s="26" t="str">
        <f t="shared" si="16"/>
        <v/>
      </c>
      <c r="F331" s="26" t="str">
        <f t="shared" si="17"/>
        <v/>
      </c>
    </row>
    <row r="332" spans="1:6" x14ac:dyDescent="0.2">
      <c r="A332" s="18" t="str">
        <f>IF(Productos!A332="","",Productos!A332)</f>
        <v/>
      </c>
      <c r="B332" s="18" t="str">
        <f>IF(Productos!B332="","",Productos!B332)</f>
        <v/>
      </c>
      <c r="C332" s="26" t="str">
        <f>IF(A332="","",Ventas!H332)</f>
        <v/>
      </c>
      <c r="D332" s="26" t="str">
        <f t="shared" si="15"/>
        <v/>
      </c>
      <c r="E332" s="26" t="str">
        <f t="shared" si="16"/>
        <v/>
      </c>
      <c r="F332" s="26" t="str">
        <f t="shared" si="17"/>
        <v/>
      </c>
    </row>
    <row r="333" spans="1:6" x14ac:dyDescent="0.2">
      <c r="A333" s="18" t="str">
        <f>IF(Productos!A333="","",Productos!A333)</f>
        <v/>
      </c>
      <c r="B333" s="18" t="str">
        <f>IF(Productos!B333="","",Productos!B333)</f>
        <v/>
      </c>
      <c r="C333" s="26" t="str">
        <f>IF(A333="","",Ventas!H333)</f>
        <v/>
      </c>
      <c r="D333" s="26" t="str">
        <f t="shared" si="15"/>
        <v/>
      </c>
      <c r="E333" s="26" t="str">
        <f t="shared" si="16"/>
        <v/>
      </c>
      <c r="F333" s="26" t="str">
        <f t="shared" si="17"/>
        <v/>
      </c>
    </row>
    <row r="334" spans="1:6" x14ac:dyDescent="0.2">
      <c r="A334" s="18" t="str">
        <f>IF(Productos!A334="","",Productos!A334)</f>
        <v/>
      </c>
      <c r="B334" s="18" t="str">
        <f>IF(Productos!B334="","",Productos!B334)</f>
        <v/>
      </c>
      <c r="C334" s="26" t="str">
        <f>IF(A334="","",Ventas!H334)</f>
        <v/>
      </c>
      <c r="D334" s="26" t="str">
        <f t="shared" si="15"/>
        <v/>
      </c>
      <c r="E334" s="26" t="str">
        <f t="shared" si="16"/>
        <v/>
      </c>
      <c r="F334" s="26" t="str">
        <f t="shared" si="17"/>
        <v/>
      </c>
    </row>
    <row r="335" spans="1:6" x14ac:dyDescent="0.2">
      <c r="A335" s="18" t="str">
        <f>IF(Productos!A335="","",Productos!A335)</f>
        <v/>
      </c>
      <c r="B335" s="18" t="str">
        <f>IF(Productos!B335="","",Productos!B335)</f>
        <v/>
      </c>
      <c r="C335" s="26" t="str">
        <f>IF(A335="","",Ventas!H335)</f>
        <v/>
      </c>
      <c r="D335" s="26" t="str">
        <f t="shared" si="15"/>
        <v/>
      </c>
      <c r="E335" s="26" t="str">
        <f t="shared" si="16"/>
        <v/>
      </c>
      <c r="F335" s="26" t="str">
        <f t="shared" si="17"/>
        <v/>
      </c>
    </row>
    <row r="336" spans="1:6" x14ac:dyDescent="0.2">
      <c r="A336" s="18" t="str">
        <f>IF(Productos!A336="","",Productos!A336)</f>
        <v/>
      </c>
      <c r="B336" s="18" t="str">
        <f>IF(Productos!B336="","",Productos!B336)</f>
        <v/>
      </c>
      <c r="C336" s="26" t="str">
        <f>IF(A336="","",Ventas!H336)</f>
        <v/>
      </c>
      <c r="D336" s="26" t="str">
        <f t="shared" si="15"/>
        <v/>
      </c>
      <c r="E336" s="26" t="str">
        <f t="shared" si="16"/>
        <v/>
      </c>
      <c r="F336" s="26" t="str">
        <f t="shared" si="17"/>
        <v/>
      </c>
    </row>
    <row r="337" spans="1:6" x14ac:dyDescent="0.2">
      <c r="A337" s="18" t="str">
        <f>IF(Productos!A337="","",Productos!A337)</f>
        <v/>
      </c>
      <c r="B337" s="18" t="str">
        <f>IF(Productos!B337="","",Productos!B337)</f>
        <v/>
      </c>
      <c r="C337" s="26" t="str">
        <f>IF(A337="","",Ventas!H337)</f>
        <v/>
      </c>
      <c r="D337" s="26" t="str">
        <f t="shared" si="15"/>
        <v/>
      </c>
      <c r="E337" s="26" t="str">
        <f t="shared" si="16"/>
        <v/>
      </c>
      <c r="F337" s="26" t="str">
        <f t="shared" si="17"/>
        <v/>
      </c>
    </row>
    <row r="338" spans="1:6" x14ac:dyDescent="0.2">
      <c r="A338" s="18" t="str">
        <f>IF(Productos!A338="","",Productos!A338)</f>
        <v/>
      </c>
      <c r="B338" s="18" t="str">
        <f>IF(Productos!B338="","",Productos!B338)</f>
        <v/>
      </c>
      <c r="C338" s="26" t="str">
        <f>IF(A338="","",Ventas!H338)</f>
        <v/>
      </c>
      <c r="D338" s="26" t="str">
        <f t="shared" si="15"/>
        <v/>
      </c>
      <c r="E338" s="26" t="str">
        <f t="shared" si="16"/>
        <v/>
      </c>
      <c r="F338" s="26" t="str">
        <f t="shared" si="17"/>
        <v/>
      </c>
    </row>
    <row r="339" spans="1:6" x14ac:dyDescent="0.2">
      <c r="A339" s="18" t="str">
        <f>IF(Productos!A339="","",Productos!A339)</f>
        <v/>
      </c>
      <c r="B339" s="18" t="str">
        <f>IF(Productos!B339="","",Productos!B339)</f>
        <v/>
      </c>
      <c r="C339" s="26" t="str">
        <f>IF(A339="","",Ventas!H339)</f>
        <v/>
      </c>
      <c r="D339" s="26" t="str">
        <f t="shared" si="15"/>
        <v/>
      </c>
      <c r="E339" s="26" t="str">
        <f t="shared" si="16"/>
        <v/>
      </c>
      <c r="F339" s="26" t="str">
        <f t="shared" si="17"/>
        <v/>
      </c>
    </row>
    <row r="340" spans="1:6" x14ac:dyDescent="0.2">
      <c r="A340" s="18" t="str">
        <f>IF(Productos!A340="","",Productos!A340)</f>
        <v/>
      </c>
      <c r="B340" s="18" t="str">
        <f>IF(Productos!B340="","",Productos!B340)</f>
        <v/>
      </c>
      <c r="C340" s="26" t="str">
        <f>IF(A340="","",Ventas!H340)</f>
        <v/>
      </c>
      <c r="D340" s="26" t="str">
        <f t="shared" si="15"/>
        <v/>
      </c>
      <c r="E340" s="26" t="str">
        <f t="shared" si="16"/>
        <v/>
      </c>
      <c r="F340" s="26" t="str">
        <f t="shared" si="17"/>
        <v/>
      </c>
    </row>
    <row r="341" spans="1:6" x14ac:dyDescent="0.2">
      <c r="A341" s="18" t="str">
        <f>IF(Productos!A341="","",Productos!A341)</f>
        <v/>
      </c>
      <c r="B341" s="18" t="str">
        <f>IF(Productos!B341="","",Productos!B341)</f>
        <v/>
      </c>
      <c r="C341" s="26" t="str">
        <f>IF(A341="","",Ventas!H341)</f>
        <v/>
      </c>
      <c r="D341" s="26" t="str">
        <f t="shared" si="15"/>
        <v/>
      </c>
      <c r="E341" s="26" t="str">
        <f t="shared" si="16"/>
        <v/>
      </c>
      <c r="F341" s="26" t="str">
        <f t="shared" si="17"/>
        <v/>
      </c>
    </row>
    <row r="342" spans="1:6" x14ac:dyDescent="0.2">
      <c r="A342" s="18" t="str">
        <f>IF(Productos!A342="","",Productos!A342)</f>
        <v/>
      </c>
      <c r="B342" s="18" t="str">
        <f>IF(Productos!B342="","",Productos!B342)</f>
        <v/>
      </c>
      <c r="C342" s="26" t="str">
        <f>IF(A342="","",Ventas!H342)</f>
        <v/>
      </c>
      <c r="D342" s="26" t="str">
        <f t="shared" si="15"/>
        <v/>
      </c>
      <c r="E342" s="26" t="str">
        <f t="shared" si="16"/>
        <v/>
      </c>
      <c r="F342" s="26" t="str">
        <f t="shared" si="17"/>
        <v/>
      </c>
    </row>
    <row r="343" spans="1:6" x14ac:dyDescent="0.2">
      <c r="A343" s="18" t="str">
        <f>IF(Productos!A343="","",Productos!A343)</f>
        <v/>
      </c>
      <c r="B343" s="18" t="str">
        <f>IF(Productos!B343="","",Productos!B343)</f>
        <v/>
      </c>
      <c r="C343" s="26" t="str">
        <f>IF(A343="","",Ventas!H343)</f>
        <v/>
      </c>
      <c r="D343" s="26" t="str">
        <f t="shared" si="15"/>
        <v/>
      </c>
      <c r="E343" s="26" t="str">
        <f t="shared" si="16"/>
        <v/>
      </c>
      <c r="F343" s="26" t="str">
        <f t="shared" si="17"/>
        <v/>
      </c>
    </row>
    <row r="344" spans="1:6" x14ac:dyDescent="0.2">
      <c r="A344" s="18" t="str">
        <f>IF(Productos!A344="","",Productos!A344)</f>
        <v/>
      </c>
      <c r="B344" s="18" t="str">
        <f>IF(Productos!B344="","",Productos!B344)</f>
        <v/>
      </c>
      <c r="C344" s="26" t="str">
        <f>IF(A344="","",Ventas!H344)</f>
        <v/>
      </c>
      <c r="D344" s="26" t="str">
        <f t="shared" si="15"/>
        <v/>
      </c>
      <c r="E344" s="26" t="str">
        <f t="shared" si="16"/>
        <v/>
      </c>
      <c r="F344" s="26" t="str">
        <f t="shared" si="17"/>
        <v/>
      </c>
    </row>
    <row r="345" spans="1:6" x14ac:dyDescent="0.2">
      <c r="A345" s="18" t="str">
        <f>IF(Productos!A345="","",Productos!A345)</f>
        <v/>
      </c>
      <c r="B345" s="18" t="str">
        <f>IF(Productos!B345="","",Productos!B345)</f>
        <v/>
      </c>
      <c r="C345" s="26" t="str">
        <f>IF(A345="","",Ventas!H345)</f>
        <v/>
      </c>
      <c r="D345" s="26" t="str">
        <f t="shared" si="15"/>
        <v/>
      </c>
      <c r="E345" s="26" t="str">
        <f t="shared" si="16"/>
        <v/>
      </c>
      <c r="F345" s="26" t="str">
        <f t="shared" si="17"/>
        <v/>
      </c>
    </row>
    <row r="346" spans="1:6" x14ac:dyDescent="0.2">
      <c r="A346" s="18" t="str">
        <f>IF(Productos!A346="","",Productos!A346)</f>
        <v/>
      </c>
      <c r="B346" s="18" t="str">
        <f>IF(Productos!B346="","",Productos!B346)</f>
        <v/>
      </c>
      <c r="C346" s="26" t="str">
        <f>IF(A346="","",Ventas!H346)</f>
        <v/>
      </c>
      <c r="D346" s="26" t="str">
        <f t="shared" si="15"/>
        <v/>
      </c>
      <c r="E346" s="26" t="str">
        <f t="shared" si="16"/>
        <v/>
      </c>
      <c r="F346" s="26" t="str">
        <f t="shared" si="17"/>
        <v/>
      </c>
    </row>
    <row r="347" spans="1:6" x14ac:dyDescent="0.2">
      <c r="A347" s="18" t="str">
        <f>IF(Productos!A347="","",Productos!A347)</f>
        <v/>
      </c>
      <c r="B347" s="18" t="str">
        <f>IF(Productos!B347="","",Productos!B347)</f>
        <v/>
      </c>
      <c r="C347" s="26" t="str">
        <f>IF(A347="","",Ventas!H347)</f>
        <v/>
      </c>
      <c r="D347" s="26" t="str">
        <f t="shared" si="15"/>
        <v/>
      </c>
      <c r="E347" s="26" t="str">
        <f t="shared" si="16"/>
        <v/>
      </c>
      <c r="F347" s="26" t="str">
        <f t="shared" si="17"/>
        <v/>
      </c>
    </row>
    <row r="348" spans="1:6" x14ac:dyDescent="0.2">
      <c r="A348" s="18" t="str">
        <f>IF(Productos!A348="","",Productos!A348)</f>
        <v/>
      </c>
      <c r="B348" s="18" t="str">
        <f>IF(Productos!B348="","",Productos!B348)</f>
        <v/>
      </c>
      <c r="C348" s="26" t="str">
        <f>IF(A348="","",Ventas!H348)</f>
        <v/>
      </c>
      <c r="D348" s="26" t="str">
        <f t="shared" si="15"/>
        <v/>
      </c>
      <c r="E348" s="26" t="str">
        <f t="shared" si="16"/>
        <v/>
      </c>
      <c r="F348" s="26" t="str">
        <f t="shared" si="17"/>
        <v/>
      </c>
    </row>
    <row r="349" spans="1:6" x14ac:dyDescent="0.2">
      <c r="A349" s="18" t="str">
        <f>IF(Productos!A349="","",Productos!A349)</f>
        <v/>
      </c>
      <c r="B349" s="18" t="str">
        <f>IF(Productos!B349="","",Productos!B349)</f>
        <v/>
      </c>
      <c r="C349" s="26" t="str">
        <f>IF(A349="","",Ventas!H349)</f>
        <v/>
      </c>
      <c r="D349" s="26" t="str">
        <f t="shared" si="15"/>
        <v/>
      </c>
      <c r="E349" s="26" t="str">
        <f t="shared" si="16"/>
        <v/>
      </c>
      <c r="F349" s="26" t="str">
        <f t="shared" si="17"/>
        <v/>
      </c>
    </row>
    <row r="350" spans="1:6" x14ac:dyDescent="0.2">
      <c r="A350" s="18" t="str">
        <f>IF(Productos!A350="","",Productos!A350)</f>
        <v/>
      </c>
      <c r="B350" s="18" t="str">
        <f>IF(Productos!B350="","",Productos!B350)</f>
        <v/>
      </c>
      <c r="C350" s="26" t="str">
        <f>IF(A350="","",Ventas!H350)</f>
        <v/>
      </c>
      <c r="D350" s="26" t="str">
        <f t="shared" si="15"/>
        <v/>
      </c>
      <c r="E350" s="26" t="str">
        <f t="shared" si="16"/>
        <v/>
      </c>
      <c r="F350" s="26" t="str">
        <f t="shared" si="17"/>
        <v/>
      </c>
    </row>
    <row r="351" spans="1:6" x14ac:dyDescent="0.2">
      <c r="A351" s="18" t="str">
        <f>IF(Productos!A351="","",Productos!A351)</f>
        <v/>
      </c>
      <c r="B351" s="18" t="str">
        <f>IF(Productos!B351="","",Productos!B351)</f>
        <v/>
      </c>
      <c r="C351" s="26" t="str">
        <f>IF(A351="","",Ventas!H351)</f>
        <v/>
      </c>
      <c r="D351" s="26" t="str">
        <f t="shared" si="15"/>
        <v/>
      </c>
      <c r="E351" s="26" t="str">
        <f t="shared" si="16"/>
        <v/>
      </c>
      <c r="F351" s="26" t="str">
        <f t="shared" si="17"/>
        <v/>
      </c>
    </row>
    <row r="352" spans="1:6" x14ac:dyDescent="0.2">
      <c r="A352" s="18" t="str">
        <f>IF(Productos!A352="","",Productos!A352)</f>
        <v/>
      </c>
      <c r="B352" s="18" t="str">
        <f>IF(Productos!B352="","",Productos!B352)</f>
        <v/>
      </c>
      <c r="C352" s="26" t="str">
        <f>IF(A352="","",Ventas!H352)</f>
        <v/>
      </c>
      <c r="D352" s="26" t="str">
        <f t="shared" si="15"/>
        <v/>
      </c>
      <c r="E352" s="26" t="str">
        <f t="shared" si="16"/>
        <v/>
      </c>
      <c r="F352" s="26" t="str">
        <f t="shared" si="17"/>
        <v/>
      </c>
    </row>
    <row r="353" spans="1:6" x14ac:dyDescent="0.2">
      <c r="A353" s="18" t="str">
        <f>IF(Productos!A353="","",Productos!A353)</f>
        <v/>
      </c>
      <c r="B353" s="18" t="str">
        <f>IF(Productos!B353="","",Productos!B353)</f>
        <v/>
      </c>
      <c r="C353" s="26" t="str">
        <f>IF(A353="","",Ventas!H353)</f>
        <v/>
      </c>
      <c r="D353" s="26" t="str">
        <f t="shared" si="15"/>
        <v/>
      </c>
      <c r="E353" s="26" t="str">
        <f t="shared" si="16"/>
        <v/>
      </c>
      <c r="F353" s="26" t="str">
        <f t="shared" si="17"/>
        <v/>
      </c>
    </row>
    <row r="354" spans="1:6" x14ac:dyDescent="0.2">
      <c r="A354" s="18" t="str">
        <f>IF(Productos!A354="","",Productos!A354)</f>
        <v/>
      </c>
      <c r="B354" s="18" t="str">
        <f>IF(Productos!B354="","",Productos!B354)</f>
        <v/>
      </c>
      <c r="C354" s="26" t="str">
        <f>IF(A354="","",Ventas!H354)</f>
        <v/>
      </c>
      <c r="D354" s="26" t="str">
        <f t="shared" si="15"/>
        <v/>
      </c>
      <c r="E354" s="26" t="str">
        <f t="shared" si="16"/>
        <v/>
      </c>
      <c r="F354" s="26" t="str">
        <f t="shared" si="17"/>
        <v/>
      </c>
    </row>
    <row r="355" spans="1:6" x14ac:dyDescent="0.2">
      <c r="A355" s="18" t="str">
        <f>IF(Productos!A355="","",Productos!A355)</f>
        <v/>
      </c>
      <c r="B355" s="18" t="str">
        <f>IF(Productos!B355="","",Productos!B355)</f>
        <v/>
      </c>
      <c r="C355" s="26" t="str">
        <f>IF(A355="","",Ventas!H355)</f>
        <v/>
      </c>
      <c r="D355" s="26" t="str">
        <f t="shared" si="15"/>
        <v/>
      </c>
      <c r="E355" s="26" t="str">
        <f t="shared" si="16"/>
        <v/>
      </c>
      <c r="F355" s="26" t="str">
        <f t="shared" si="17"/>
        <v/>
      </c>
    </row>
    <row r="356" spans="1:6" x14ac:dyDescent="0.2">
      <c r="A356" s="18" t="str">
        <f>IF(Productos!A356="","",Productos!A356)</f>
        <v/>
      </c>
      <c r="B356" s="18" t="str">
        <f>IF(Productos!B356="","",Productos!B356)</f>
        <v/>
      </c>
      <c r="C356" s="26" t="str">
        <f>IF(A356="","",Ventas!H356)</f>
        <v/>
      </c>
      <c r="D356" s="26" t="str">
        <f t="shared" si="15"/>
        <v/>
      </c>
      <c r="E356" s="26" t="str">
        <f t="shared" si="16"/>
        <v/>
      </c>
      <c r="F356" s="26" t="str">
        <f t="shared" si="17"/>
        <v/>
      </c>
    </row>
    <row r="357" spans="1:6" x14ac:dyDescent="0.2">
      <c r="A357" s="18" t="str">
        <f>IF(Productos!A357="","",Productos!A357)</f>
        <v/>
      </c>
      <c r="B357" s="18" t="str">
        <f>IF(Productos!B357="","",Productos!B357)</f>
        <v/>
      </c>
      <c r="C357" s="26" t="str">
        <f>IF(A357="","",Ventas!H357)</f>
        <v/>
      </c>
      <c r="D357" s="26" t="str">
        <f t="shared" si="15"/>
        <v/>
      </c>
      <c r="E357" s="26" t="str">
        <f t="shared" si="16"/>
        <v/>
      </c>
      <c r="F357" s="26" t="str">
        <f t="shared" si="17"/>
        <v/>
      </c>
    </row>
    <row r="358" spans="1:6" x14ac:dyDescent="0.2">
      <c r="A358" s="18" t="str">
        <f>IF(Productos!A358="","",Productos!A358)</f>
        <v/>
      </c>
      <c r="B358" s="18" t="str">
        <f>IF(Productos!B358="","",Productos!B358)</f>
        <v/>
      </c>
      <c r="C358" s="26" t="str">
        <f>IF(A358="","",Ventas!H358)</f>
        <v/>
      </c>
      <c r="D358" s="26" t="str">
        <f t="shared" si="15"/>
        <v/>
      </c>
      <c r="E358" s="26" t="str">
        <f t="shared" si="16"/>
        <v/>
      </c>
      <c r="F358" s="26" t="str">
        <f t="shared" si="17"/>
        <v/>
      </c>
    </row>
    <row r="359" spans="1:6" x14ac:dyDescent="0.2">
      <c r="A359" s="18" t="str">
        <f>IF(Productos!A359="","",Productos!A359)</f>
        <v/>
      </c>
      <c r="B359" s="18" t="str">
        <f>IF(Productos!B359="","",Productos!B359)</f>
        <v/>
      </c>
      <c r="C359" s="26" t="str">
        <f>IF(A359="","",Ventas!H359)</f>
        <v/>
      </c>
      <c r="D359" s="26" t="str">
        <f t="shared" si="15"/>
        <v/>
      </c>
      <c r="E359" s="26" t="str">
        <f t="shared" si="16"/>
        <v/>
      </c>
      <c r="F359" s="26" t="str">
        <f t="shared" si="17"/>
        <v/>
      </c>
    </row>
    <row r="360" spans="1:6" x14ac:dyDescent="0.2">
      <c r="A360" s="18" t="str">
        <f>IF(Productos!A360="","",Productos!A360)</f>
        <v/>
      </c>
      <c r="B360" s="18" t="str">
        <f>IF(Productos!B360="","",Productos!B360)</f>
        <v/>
      </c>
      <c r="C360" s="26" t="str">
        <f>IF(A360="","",Ventas!H360)</f>
        <v/>
      </c>
      <c r="D360" s="26" t="str">
        <f t="shared" si="15"/>
        <v/>
      </c>
      <c r="E360" s="26" t="str">
        <f t="shared" si="16"/>
        <v/>
      </c>
      <c r="F360" s="26" t="str">
        <f t="shared" si="17"/>
        <v/>
      </c>
    </row>
    <row r="361" spans="1:6" x14ac:dyDescent="0.2">
      <c r="A361" s="18" t="str">
        <f>IF(Productos!A361="","",Productos!A361)</f>
        <v/>
      </c>
      <c r="B361" s="18" t="str">
        <f>IF(Productos!B361="","",Productos!B361)</f>
        <v/>
      </c>
      <c r="C361" s="26" t="str">
        <f>IF(A361="","",Ventas!H361)</f>
        <v/>
      </c>
      <c r="D361" s="26" t="str">
        <f t="shared" si="15"/>
        <v/>
      </c>
      <c r="E361" s="26" t="str">
        <f t="shared" si="16"/>
        <v/>
      </c>
      <c r="F361" s="26" t="str">
        <f t="shared" si="17"/>
        <v/>
      </c>
    </row>
    <row r="362" spans="1:6" x14ac:dyDescent="0.2">
      <c r="A362" s="18" t="str">
        <f>IF(Productos!A362="","",Productos!A362)</f>
        <v/>
      </c>
      <c r="B362" s="18" t="str">
        <f>IF(Productos!B362="","",Productos!B362)</f>
        <v/>
      </c>
      <c r="C362" s="26" t="str">
        <f>IF(A362="","",Ventas!H362)</f>
        <v/>
      </c>
      <c r="D362" s="26" t="str">
        <f t="shared" si="15"/>
        <v/>
      </c>
      <c r="E362" s="26" t="str">
        <f t="shared" si="16"/>
        <v/>
      </c>
      <c r="F362" s="26" t="str">
        <f t="shared" si="17"/>
        <v/>
      </c>
    </row>
    <row r="363" spans="1:6" x14ac:dyDescent="0.2">
      <c r="A363" s="18" t="str">
        <f>IF(Productos!A363="","",Productos!A363)</f>
        <v/>
      </c>
      <c r="B363" s="18" t="str">
        <f>IF(Productos!B363="","",Productos!B363)</f>
        <v/>
      </c>
      <c r="C363" s="26" t="str">
        <f>IF(A363="","",Ventas!H363)</f>
        <v/>
      </c>
      <c r="D363" s="26" t="str">
        <f t="shared" si="15"/>
        <v/>
      </c>
      <c r="E363" s="26" t="str">
        <f t="shared" si="16"/>
        <v/>
      </c>
      <c r="F363" s="26" t="str">
        <f t="shared" si="17"/>
        <v/>
      </c>
    </row>
    <row r="364" spans="1:6" x14ac:dyDescent="0.2">
      <c r="A364" s="18" t="str">
        <f>IF(Productos!A364="","",Productos!A364)</f>
        <v/>
      </c>
      <c r="B364" s="18" t="str">
        <f>IF(Productos!B364="","",Productos!B364)</f>
        <v/>
      </c>
      <c r="C364" s="26" t="str">
        <f>IF(A364="","",Ventas!H364)</f>
        <v/>
      </c>
      <c r="D364" s="26" t="str">
        <f t="shared" si="15"/>
        <v/>
      </c>
      <c r="E364" s="26" t="str">
        <f t="shared" si="16"/>
        <v/>
      </c>
      <c r="F364" s="26" t="str">
        <f t="shared" si="17"/>
        <v/>
      </c>
    </row>
    <row r="365" spans="1:6" x14ac:dyDescent="0.2">
      <c r="A365" s="18" t="str">
        <f>IF(Productos!A365="","",Productos!A365)</f>
        <v/>
      </c>
      <c r="B365" s="18" t="str">
        <f>IF(Productos!B365="","",Productos!B365)</f>
        <v/>
      </c>
      <c r="C365" s="26" t="str">
        <f>IF(A365="","",Ventas!H365)</f>
        <v/>
      </c>
      <c r="D365" s="26" t="str">
        <f t="shared" si="15"/>
        <v/>
      </c>
      <c r="E365" s="26" t="str">
        <f t="shared" si="16"/>
        <v/>
      </c>
      <c r="F365" s="26" t="str">
        <f t="shared" si="17"/>
        <v/>
      </c>
    </row>
    <row r="366" spans="1:6" x14ac:dyDescent="0.2">
      <c r="A366" s="18" t="str">
        <f>IF(Productos!A366="","",Productos!A366)</f>
        <v/>
      </c>
      <c r="B366" s="18" t="str">
        <f>IF(Productos!B366="","",Productos!B366)</f>
        <v/>
      </c>
      <c r="C366" s="26" t="str">
        <f>IF(A366="","",Ventas!H366)</f>
        <v/>
      </c>
      <c r="D366" s="26" t="str">
        <f t="shared" si="15"/>
        <v/>
      </c>
      <c r="E366" s="26" t="str">
        <f t="shared" si="16"/>
        <v/>
      </c>
      <c r="F366" s="26" t="str">
        <f t="shared" si="17"/>
        <v/>
      </c>
    </row>
    <row r="367" spans="1:6" x14ac:dyDescent="0.2">
      <c r="A367" s="18" t="str">
        <f>IF(Productos!A367="","",Productos!A367)</f>
        <v/>
      </c>
      <c r="B367" s="18" t="str">
        <f>IF(Productos!B367="","",Productos!B367)</f>
        <v/>
      </c>
      <c r="C367" s="26" t="str">
        <f>IF(A367="","",Ventas!H367)</f>
        <v/>
      </c>
      <c r="D367" s="26" t="str">
        <f t="shared" si="15"/>
        <v/>
      </c>
      <c r="E367" s="26" t="str">
        <f t="shared" si="16"/>
        <v/>
      </c>
      <c r="F367" s="26" t="str">
        <f t="shared" si="17"/>
        <v/>
      </c>
    </row>
    <row r="368" spans="1:6" x14ac:dyDescent="0.2">
      <c r="A368" s="18" t="str">
        <f>IF(Productos!A368="","",Productos!A368)</f>
        <v/>
      </c>
      <c r="B368" s="18" t="str">
        <f>IF(Productos!B368="","",Productos!B368)</f>
        <v/>
      </c>
      <c r="C368" s="26" t="str">
        <f>IF(A368="","",Ventas!H368)</f>
        <v/>
      </c>
      <c r="D368" s="26" t="str">
        <f t="shared" si="15"/>
        <v/>
      </c>
      <c r="E368" s="26" t="str">
        <f t="shared" si="16"/>
        <v/>
      </c>
      <c r="F368" s="26" t="str">
        <f t="shared" si="17"/>
        <v/>
      </c>
    </row>
    <row r="369" spans="1:6" x14ac:dyDescent="0.2">
      <c r="A369" s="18" t="str">
        <f>IF(Productos!A369="","",Productos!A369)</f>
        <v/>
      </c>
      <c r="B369" s="18" t="str">
        <f>IF(Productos!B369="","",Productos!B369)</f>
        <v/>
      </c>
      <c r="C369" s="26" t="str">
        <f>IF(A369="","",Ventas!H369)</f>
        <v/>
      </c>
      <c r="D369" s="26" t="str">
        <f t="shared" si="15"/>
        <v/>
      </c>
      <c r="E369" s="26" t="str">
        <f t="shared" si="16"/>
        <v/>
      </c>
      <c r="F369" s="26" t="str">
        <f t="shared" si="17"/>
        <v/>
      </c>
    </row>
    <row r="370" spans="1:6" x14ac:dyDescent="0.2">
      <c r="A370" s="18" t="str">
        <f>IF(Productos!A370="","",Productos!A370)</f>
        <v/>
      </c>
      <c r="B370" s="18" t="str">
        <f>IF(Productos!B370="","",Productos!B370)</f>
        <v/>
      </c>
      <c r="C370" s="26" t="str">
        <f>IF(A370="","",Ventas!H370)</f>
        <v/>
      </c>
      <c r="D370" s="26" t="str">
        <f t="shared" si="15"/>
        <v/>
      </c>
      <c r="E370" s="26" t="str">
        <f t="shared" si="16"/>
        <v/>
      </c>
      <c r="F370" s="26" t="str">
        <f t="shared" si="17"/>
        <v/>
      </c>
    </row>
    <row r="371" spans="1:6" x14ac:dyDescent="0.2">
      <c r="A371" s="18" t="str">
        <f>IF(Productos!A371="","",Productos!A371)</f>
        <v/>
      </c>
      <c r="B371" s="18" t="str">
        <f>IF(Productos!B371="","",Productos!B371)</f>
        <v/>
      </c>
      <c r="C371" s="26" t="str">
        <f>IF(A371="","",Ventas!H371)</f>
        <v/>
      </c>
      <c r="D371" s="26" t="str">
        <f t="shared" si="15"/>
        <v/>
      </c>
      <c r="E371" s="26" t="str">
        <f t="shared" si="16"/>
        <v/>
      </c>
      <c r="F371" s="26" t="str">
        <f t="shared" si="17"/>
        <v/>
      </c>
    </row>
    <row r="372" spans="1:6" x14ac:dyDescent="0.2">
      <c r="A372" s="18" t="str">
        <f>IF(Productos!A372="","",Productos!A372)</f>
        <v/>
      </c>
      <c r="B372" s="18" t="str">
        <f>IF(Productos!B372="","",Productos!B372)</f>
        <v/>
      </c>
      <c r="C372" s="26" t="str">
        <f>IF(A372="","",Ventas!H372)</f>
        <v/>
      </c>
      <c r="D372" s="26" t="str">
        <f t="shared" si="15"/>
        <v/>
      </c>
      <c r="E372" s="26" t="str">
        <f t="shared" si="16"/>
        <v/>
      </c>
      <c r="F372" s="26" t="str">
        <f t="shared" si="17"/>
        <v/>
      </c>
    </row>
    <row r="373" spans="1:6" x14ac:dyDescent="0.2">
      <c r="A373" s="18" t="str">
        <f>IF(Productos!A373="","",Productos!A373)</f>
        <v/>
      </c>
      <c r="B373" s="18" t="str">
        <f>IF(Productos!B373="","",Productos!B373)</f>
        <v/>
      </c>
      <c r="C373" s="26" t="str">
        <f>IF(A373="","",Ventas!H373)</f>
        <v/>
      </c>
      <c r="D373" s="26" t="str">
        <f t="shared" si="15"/>
        <v/>
      </c>
      <c r="E373" s="26" t="str">
        <f t="shared" si="16"/>
        <v/>
      </c>
      <c r="F373" s="26" t="str">
        <f t="shared" si="17"/>
        <v/>
      </c>
    </row>
    <row r="374" spans="1:6" x14ac:dyDescent="0.2">
      <c r="A374" s="18" t="str">
        <f>IF(Productos!A374="","",Productos!A374)</f>
        <v/>
      </c>
      <c r="B374" s="18" t="str">
        <f>IF(Productos!B374="","",Productos!B374)</f>
        <v/>
      </c>
      <c r="C374" s="26" t="str">
        <f>IF(A374="","",Ventas!H374)</f>
        <v/>
      </c>
      <c r="D374" s="26" t="str">
        <f t="shared" si="15"/>
        <v/>
      </c>
      <c r="E374" s="26" t="str">
        <f t="shared" si="16"/>
        <v/>
      </c>
      <c r="F374" s="26" t="str">
        <f t="shared" si="17"/>
        <v/>
      </c>
    </row>
    <row r="375" spans="1:6" x14ac:dyDescent="0.2">
      <c r="A375" s="18" t="str">
        <f>IF(Productos!A375="","",Productos!A375)</f>
        <v/>
      </c>
      <c r="B375" s="18" t="str">
        <f>IF(Productos!B375="","",Productos!B375)</f>
        <v/>
      </c>
      <c r="C375" s="26" t="str">
        <f>IF(A375="","",Ventas!H375)</f>
        <v/>
      </c>
      <c r="D375" s="26" t="str">
        <f t="shared" si="15"/>
        <v/>
      </c>
      <c r="E375" s="26" t="str">
        <f t="shared" si="16"/>
        <v/>
      </c>
      <c r="F375" s="26" t="str">
        <f t="shared" si="17"/>
        <v/>
      </c>
    </row>
    <row r="376" spans="1:6" x14ac:dyDescent="0.2">
      <c r="A376" s="18" t="str">
        <f>IF(Productos!A376="","",Productos!A376)</f>
        <v/>
      </c>
      <c r="B376" s="18" t="str">
        <f>IF(Productos!B376="","",Productos!B376)</f>
        <v/>
      </c>
      <c r="C376" s="26" t="str">
        <f>IF(A376="","",Ventas!H376)</f>
        <v/>
      </c>
      <c r="D376" s="26" t="str">
        <f t="shared" si="15"/>
        <v/>
      </c>
      <c r="E376" s="26" t="str">
        <f t="shared" si="16"/>
        <v/>
      </c>
      <c r="F376" s="26" t="str">
        <f t="shared" si="17"/>
        <v/>
      </c>
    </row>
    <row r="377" spans="1:6" x14ac:dyDescent="0.2">
      <c r="A377" s="18" t="str">
        <f>IF(Productos!A377="","",Productos!A377)</f>
        <v/>
      </c>
      <c r="B377" s="18" t="str">
        <f>IF(Productos!B377="","",Productos!B377)</f>
        <v/>
      </c>
      <c r="C377" s="26" t="str">
        <f>IF(A377="","",Ventas!H377)</f>
        <v/>
      </c>
      <c r="D377" s="26" t="str">
        <f t="shared" si="15"/>
        <v/>
      </c>
      <c r="E377" s="26" t="str">
        <f t="shared" si="16"/>
        <v/>
      </c>
      <c r="F377" s="26" t="str">
        <f t="shared" si="17"/>
        <v/>
      </c>
    </row>
    <row r="378" spans="1:6" x14ac:dyDescent="0.2">
      <c r="A378" s="18" t="str">
        <f>IF(Productos!A378="","",Productos!A378)</f>
        <v/>
      </c>
      <c r="B378" s="18" t="str">
        <f>IF(Productos!B378="","",Productos!B378)</f>
        <v/>
      </c>
      <c r="C378" s="26" t="str">
        <f>IF(A378="","",Ventas!H378)</f>
        <v/>
      </c>
      <c r="D378" s="26" t="str">
        <f t="shared" si="15"/>
        <v/>
      </c>
      <c r="E378" s="26" t="str">
        <f t="shared" si="16"/>
        <v/>
      </c>
      <c r="F378" s="26" t="str">
        <f t="shared" si="17"/>
        <v/>
      </c>
    </row>
    <row r="379" spans="1:6" x14ac:dyDescent="0.2">
      <c r="A379" s="18" t="str">
        <f>IF(Productos!A379="","",Productos!A379)</f>
        <v/>
      </c>
      <c r="B379" s="18" t="str">
        <f>IF(Productos!B379="","",Productos!B379)</f>
        <v/>
      </c>
      <c r="C379" s="26" t="str">
        <f>IF(A379="","",Ventas!H379)</f>
        <v/>
      </c>
      <c r="D379" s="26" t="str">
        <f t="shared" si="15"/>
        <v/>
      </c>
      <c r="E379" s="26" t="str">
        <f t="shared" si="16"/>
        <v/>
      </c>
      <c r="F379" s="26" t="str">
        <f t="shared" si="17"/>
        <v/>
      </c>
    </row>
    <row r="380" spans="1:6" x14ac:dyDescent="0.2">
      <c r="A380" s="18" t="str">
        <f>IF(Productos!A380="","",Productos!A380)</f>
        <v/>
      </c>
      <c r="B380" s="18" t="str">
        <f>IF(Productos!B380="","",Productos!B380)</f>
        <v/>
      </c>
      <c r="C380" s="26" t="str">
        <f>IF(A380="","",Ventas!H380)</f>
        <v/>
      </c>
      <c r="D380" s="26" t="str">
        <f t="shared" si="15"/>
        <v/>
      </c>
      <c r="E380" s="26" t="str">
        <f t="shared" si="16"/>
        <v/>
      </c>
      <c r="F380" s="26" t="str">
        <f t="shared" si="17"/>
        <v/>
      </c>
    </row>
    <row r="381" spans="1:6" x14ac:dyDescent="0.2">
      <c r="A381" s="18" t="str">
        <f>IF(Productos!A381="","",Productos!A381)</f>
        <v/>
      </c>
      <c r="B381" s="18" t="str">
        <f>IF(Productos!B381="","",Productos!B381)</f>
        <v/>
      </c>
      <c r="C381" s="26" t="str">
        <f>IF(A381="","",Ventas!H381)</f>
        <v/>
      </c>
      <c r="D381" s="26" t="str">
        <f t="shared" si="15"/>
        <v/>
      </c>
      <c r="E381" s="26" t="str">
        <f t="shared" si="16"/>
        <v/>
      </c>
      <c r="F381" s="26" t="str">
        <f t="shared" si="17"/>
        <v/>
      </c>
    </row>
    <row r="382" spans="1:6" x14ac:dyDescent="0.2">
      <c r="A382" s="18" t="str">
        <f>IF(Productos!A382="","",Productos!A382)</f>
        <v/>
      </c>
      <c r="B382" s="18" t="str">
        <f>IF(Productos!B382="","",Productos!B382)</f>
        <v/>
      </c>
      <c r="C382" s="26" t="str">
        <f>IF(A382="","",Ventas!H382)</f>
        <v/>
      </c>
      <c r="D382" s="26" t="str">
        <f t="shared" si="15"/>
        <v/>
      </c>
      <c r="E382" s="26" t="str">
        <f t="shared" si="16"/>
        <v/>
      </c>
      <c r="F382" s="26" t="str">
        <f t="shared" si="17"/>
        <v/>
      </c>
    </row>
    <row r="383" spans="1:6" x14ac:dyDescent="0.2">
      <c r="A383" s="18" t="str">
        <f>IF(Productos!A383="","",Productos!A383)</f>
        <v/>
      </c>
      <c r="B383" s="18" t="str">
        <f>IF(Productos!B383="","",Productos!B383)</f>
        <v/>
      </c>
      <c r="C383" s="26" t="str">
        <f>IF(A383="","",Ventas!H383)</f>
        <v/>
      </c>
      <c r="D383" s="26" t="str">
        <f t="shared" si="15"/>
        <v/>
      </c>
      <c r="E383" s="26" t="str">
        <f t="shared" si="16"/>
        <v/>
      </c>
      <c r="F383" s="26" t="str">
        <f t="shared" si="17"/>
        <v/>
      </c>
    </row>
    <row r="384" spans="1:6" x14ac:dyDescent="0.2">
      <c r="A384" s="18" t="str">
        <f>IF(Productos!A384="","",Productos!A384)</f>
        <v/>
      </c>
      <c r="B384" s="18" t="str">
        <f>IF(Productos!B384="","",Productos!B384)</f>
        <v/>
      </c>
      <c r="C384" s="26" t="str">
        <f>IF(A384="","",Ventas!H384)</f>
        <v/>
      </c>
      <c r="D384" s="26" t="str">
        <f t="shared" si="15"/>
        <v/>
      </c>
      <c r="E384" s="26" t="str">
        <f t="shared" si="16"/>
        <v/>
      </c>
      <c r="F384" s="26" t="str">
        <f t="shared" si="17"/>
        <v/>
      </c>
    </row>
    <row r="385" spans="1:6" x14ac:dyDescent="0.2">
      <c r="A385" s="18" t="str">
        <f>IF(Productos!A385="","",Productos!A385)</f>
        <v/>
      </c>
      <c r="B385" s="18" t="str">
        <f>IF(Productos!B385="","",Productos!B385)</f>
        <v/>
      </c>
      <c r="C385" s="26" t="str">
        <f>IF(A385="","",Ventas!H385)</f>
        <v/>
      </c>
      <c r="D385" s="26" t="str">
        <f t="shared" si="15"/>
        <v/>
      </c>
      <c r="E385" s="26" t="str">
        <f t="shared" si="16"/>
        <v/>
      </c>
      <c r="F385" s="26" t="str">
        <f t="shared" si="17"/>
        <v/>
      </c>
    </row>
    <row r="386" spans="1:6" x14ac:dyDescent="0.2">
      <c r="A386" s="18" t="str">
        <f>IF(Productos!A386="","",Productos!A386)</f>
        <v/>
      </c>
      <c r="B386" s="18" t="str">
        <f>IF(Productos!B386="","",Productos!B386)</f>
        <v/>
      </c>
      <c r="C386" s="26" t="str">
        <f>IF(A386="","",Ventas!H386)</f>
        <v/>
      </c>
      <c r="D386" s="26" t="str">
        <f t="shared" si="15"/>
        <v/>
      </c>
      <c r="E386" s="26" t="str">
        <f t="shared" si="16"/>
        <v/>
      </c>
      <c r="F386" s="26" t="str">
        <f t="shared" si="17"/>
        <v/>
      </c>
    </row>
    <row r="387" spans="1:6" x14ac:dyDescent="0.2">
      <c r="A387" s="18" t="str">
        <f>IF(Productos!A387="","",Productos!A387)</f>
        <v/>
      </c>
      <c r="B387" s="18" t="str">
        <f>IF(Productos!B387="","",Productos!B387)</f>
        <v/>
      </c>
      <c r="C387" s="26" t="str">
        <f>IF(A387="","",Ventas!H387)</f>
        <v/>
      </c>
      <c r="D387" s="26" t="str">
        <f t="shared" ref="D387:D450" si="18">IF(A387="","",ROUND(C387/3,2))</f>
        <v/>
      </c>
      <c r="E387" s="26" t="str">
        <f t="shared" ref="E387:E450" si="19">IF(A387="","",ROUND(C387/3,2))</f>
        <v/>
      </c>
      <c r="F387" s="26" t="str">
        <f t="shared" ref="F387:F450" si="20">IF(A387="","",C387-D387-E387)</f>
        <v/>
      </c>
    </row>
    <row r="388" spans="1:6" x14ac:dyDescent="0.2">
      <c r="A388" s="18" t="str">
        <f>IF(Productos!A388="","",Productos!A388)</f>
        <v/>
      </c>
      <c r="B388" s="18" t="str">
        <f>IF(Productos!B388="","",Productos!B388)</f>
        <v/>
      </c>
      <c r="C388" s="26" t="str">
        <f>IF(A388="","",Ventas!H388)</f>
        <v/>
      </c>
      <c r="D388" s="26" t="str">
        <f t="shared" si="18"/>
        <v/>
      </c>
      <c r="E388" s="26" t="str">
        <f t="shared" si="19"/>
        <v/>
      </c>
      <c r="F388" s="26" t="str">
        <f t="shared" si="20"/>
        <v/>
      </c>
    </row>
    <row r="389" spans="1:6" x14ac:dyDescent="0.2">
      <c r="A389" s="18" t="str">
        <f>IF(Productos!A389="","",Productos!A389)</f>
        <v/>
      </c>
      <c r="B389" s="18" t="str">
        <f>IF(Productos!B389="","",Productos!B389)</f>
        <v/>
      </c>
      <c r="C389" s="26" t="str">
        <f>IF(A389="","",Ventas!H389)</f>
        <v/>
      </c>
      <c r="D389" s="26" t="str">
        <f t="shared" si="18"/>
        <v/>
      </c>
      <c r="E389" s="26" t="str">
        <f t="shared" si="19"/>
        <v/>
      </c>
      <c r="F389" s="26" t="str">
        <f t="shared" si="20"/>
        <v/>
      </c>
    </row>
    <row r="390" spans="1:6" x14ac:dyDescent="0.2">
      <c r="A390" s="18" t="str">
        <f>IF(Productos!A390="","",Productos!A390)</f>
        <v/>
      </c>
      <c r="B390" s="18" t="str">
        <f>IF(Productos!B390="","",Productos!B390)</f>
        <v/>
      </c>
      <c r="C390" s="26" t="str">
        <f>IF(A390="","",Ventas!H390)</f>
        <v/>
      </c>
      <c r="D390" s="26" t="str">
        <f t="shared" si="18"/>
        <v/>
      </c>
      <c r="E390" s="26" t="str">
        <f t="shared" si="19"/>
        <v/>
      </c>
      <c r="F390" s="26" t="str">
        <f t="shared" si="20"/>
        <v/>
      </c>
    </row>
    <row r="391" spans="1:6" x14ac:dyDescent="0.2">
      <c r="A391" s="18" t="str">
        <f>IF(Productos!A391="","",Productos!A391)</f>
        <v/>
      </c>
      <c r="B391" s="18" t="str">
        <f>IF(Productos!B391="","",Productos!B391)</f>
        <v/>
      </c>
      <c r="C391" s="26" t="str">
        <f>IF(A391="","",Ventas!H391)</f>
        <v/>
      </c>
      <c r="D391" s="26" t="str">
        <f t="shared" si="18"/>
        <v/>
      </c>
      <c r="E391" s="26" t="str">
        <f t="shared" si="19"/>
        <v/>
      </c>
      <c r="F391" s="26" t="str">
        <f t="shared" si="20"/>
        <v/>
      </c>
    </row>
    <row r="392" spans="1:6" x14ac:dyDescent="0.2">
      <c r="A392" s="18" t="str">
        <f>IF(Productos!A392="","",Productos!A392)</f>
        <v/>
      </c>
      <c r="B392" s="18" t="str">
        <f>IF(Productos!B392="","",Productos!B392)</f>
        <v/>
      </c>
      <c r="C392" s="26" t="str">
        <f>IF(A392="","",Ventas!H392)</f>
        <v/>
      </c>
      <c r="D392" s="26" t="str">
        <f t="shared" si="18"/>
        <v/>
      </c>
      <c r="E392" s="26" t="str">
        <f t="shared" si="19"/>
        <v/>
      </c>
      <c r="F392" s="26" t="str">
        <f t="shared" si="20"/>
        <v/>
      </c>
    </row>
    <row r="393" spans="1:6" x14ac:dyDescent="0.2">
      <c r="A393" s="18" t="str">
        <f>IF(Productos!A393="","",Productos!A393)</f>
        <v/>
      </c>
      <c r="B393" s="18" t="str">
        <f>IF(Productos!B393="","",Productos!B393)</f>
        <v/>
      </c>
      <c r="C393" s="26" t="str">
        <f>IF(A393="","",Ventas!H393)</f>
        <v/>
      </c>
      <c r="D393" s="26" t="str">
        <f t="shared" si="18"/>
        <v/>
      </c>
      <c r="E393" s="26" t="str">
        <f t="shared" si="19"/>
        <v/>
      </c>
      <c r="F393" s="26" t="str">
        <f t="shared" si="20"/>
        <v/>
      </c>
    </row>
    <row r="394" spans="1:6" x14ac:dyDescent="0.2">
      <c r="A394" s="18" t="str">
        <f>IF(Productos!A394="","",Productos!A394)</f>
        <v/>
      </c>
      <c r="B394" s="18" t="str">
        <f>IF(Productos!B394="","",Productos!B394)</f>
        <v/>
      </c>
      <c r="C394" s="26" t="str">
        <f>IF(A394="","",Ventas!H394)</f>
        <v/>
      </c>
      <c r="D394" s="26" t="str">
        <f t="shared" si="18"/>
        <v/>
      </c>
      <c r="E394" s="26" t="str">
        <f t="shared" si="19"/>
        <v/>
      </c>
      <c r="F394" s="26" t="str">
        <f t="shared" si="20"/>
        <v/>
      </c>
    </row>
    <row r="395" spans="1:6" x14ac:dyDescent="0.2">
      <c r="A395" s="18" t="str">
        <f>IF(Productos!A395="","",Productos!A395)</f>
        <v/>
      </c>
      <c r="B395" s="18" t="str">
        <f>IF(Productos!B395="","",Productos!B395)</f>
        <v/>
      </c>
      <c r="C395" s="26" t="str">
        <f>IF(A395="","",Ventas!H395)</f>
        <v/>
      </c>
      <c r="D395" s="26" t="str">
        <f t="shared" si="18"/>
        <v/>
      </c>
      <c r="E395" s="26" t="str">
        <f t="shared" si="19"/>
        <v/>
      </c>
      <c r="F395" s="26" t="str">
        <f t="shared" si="20"/>
        <v/>
      </c>
    </row>
    <row r="396" spans="1:6" x14ac:dyDescent="0.2">
      <c r="A396" s="18" t="str">
        <f>IF(Productos!A396="","",Productos!A396)</f>
        <v/>
      </c>
      <c r="B396" s="18" t="str">
        <f>IF(Productos!B396="","",Productos!B396)</f>
        <v/>
      </c>
      <c r="C396" s="26" t="str">
        <f>IF(A396="","",Ventas!H396)</f>
        <v/>
      </c>
      <c r="D396" s="26" t="str">
        <f t="shared" si="18"/>
        <v/>
      </c>
      <c r="E396" s="26" t="str">
        <f t="shared" si="19"/>
        <v/>
      </c>
      <c r="F396" s="26" t="str">
        <f t="shared" si="20"/>
        <v/>
      </c>
    </row>
    <row r="397" spans="1:6" x14ac:dyDescent="0.2">
      <c r="A397" s="18" t="str">
        <f>IF(Productos!A397="","",Productos!A397)</f>
        <v/>
      </c>
      <c r="B397" s="18" t="str">
        <f>IF(Productos!B397="","",Productos!B397)</f>
        <v/>
      </c>
      <c r="C397" s="26" t="str">
        <f>IF(A397="","",Ventas!H397)</f>
        <v/>
      </c>
      <c r="D397" s="26" t="str">
        <f t="shared" si="18"/>
        <v/>
      </c>
      <c r="E397" s="26" t="str">
        <f t="shared" si="19"/>
        <v/>
      </c>
      <c r="F397" s="26" t="str">
        <f t="shared" si="20"/>
        <v/>
      </c>
    </row>
    <row r="398" spans="1:6" x14ac:dyDescent="0.2">
      <c r="A398" s="18" t="str">
        <f>IF(Productos!A398="","",Productos!A398)</f>
        <v/>
      </c>
      <c r="B398" s="18" t="str">
        <f>IF(Productos!B398="","",Productos!B398)</f>
        <v/>
      </c>
      <c r="C398" s="26" t="str">
        <f>IF(A398="","",Ventas!H398)</f>
        <v/>
      </c>
      <c r="D398" s="26" t="str">
        <f t="shared" si="18"/>
        <v/>
      </c>
      <c r="E398" s="26" t="str">
        <f t="shared" si="19"/>
        <v/>
      </c>
      <c r="F398" s="26" t="str">
        <f t="shared" si="20"/>
        <v/>
      </c>
    </row>
    <row r="399" spans="1:6" x14ac:dyDescent="0.2">
      <c r="A399" s="18" t="str">
        <f>IF(Productos!A399="","",Productos!A399)</f>
        <v/>
      </c>
      <c r="B399" s="18" t="str">
        <f>IF(Productos!B399="","",Productos!B399)</f>
        <v/>
      </c>
      <c r="C399" s="26" t="str">
        <f>IF(A399="","",Ventas!H399)</f>
        <v/>
      </c>
      <c r="D399" s="26" t="str">
        <f t="shared" si="18"/>
        <v/>
      </c>
      <c r="E399" s="26" t="str">
        <f t="shared" si="19"/>
        <v/>
      </c>
      <c r="F399" s="26" t="str">
        <f t="shared" si="20"/>
        <v/>
      </c>
    </row>
    <row r="400" spans="1:6" x14ac:dyDescent="0.2">
      <c r="A400" s="18" t="str">
        <f>IF(Productos!A400="","",Productos!A400)</f>
        <v/>
      </c>
      <c r="B400" s="18" t="str">
        <f>IF(Productos!B400="","",Productos!B400)</f>
        <v/>
      </c>
      <c r="C400" s="26" t="str">
        <f>IF(A400="","",Ventas!H400)</f>
        <v/>
      </c>
      <c r="D400" s="26" t="str">
        <f t="shared" si="18"/>
        <v/>
      </c>
      <c r="E400" s="26" t="str">
        <f t="shared" si="19"/>
        <v/>
      </c>
      <c r="F400" s="26" t="str">
        <f t="shared" si="20"/>
        <v/>
      </c>
    </row>
    <row r="401" spans="1:6" x14ac:dyDescent="0.2">
      <c r="A401" s="18" t="str">
        <f>IF(Productos!A401="","",Productos!A401)</f>
        <v/>
      </c>
      <c r="B401" s="18" t="str">
        <f>IF(Productos!B401="","",Productos!B401)</f>
        <v/>
      </c>
      <c r="C401" s="26" t="str">
        <f>IF(A401="","",Ventas!H401)</f>
        <v/>
      </c>
      <c r="D401" s="26" t="str">
        <f t="shared" si="18"/>
        <v/>
      </c>
      <c r="E401" s="26" t="str">
        <f t="shared" si="19"/>
        <v/>
      </c>
      <c r="F401" s="26" t="str">
        <f t="shared" si="20"/>
        <v/>
      </c>
    </row>
    <row r="402" spans="1:6" x14ac:dyDescent="0.2">
      <c r="A402" s="18" t="str">
        <f>IF(Productos!A402="","",Productos!A402)</f>
        <v/>
      </c>
      <c r="B402" s="18" t="str">
        <f>IF(Productos!B402="","",Productos!B402)</f>
        <v/>
      </c>
      <c r="C402" s="26" t="str">
        <f>IF(A402="","",Ventas!H402)</f>
        <v/>
      </c>
      <c r="D402" s="26" t="str">
        <f t="shared" si="18"/>
        <v/>
      </c>
      <c r="E402" s="26" t="str">
        <f t="shared" si="19"/>
        <v/>
      </c>
      <c r="F402" s="26" t="str">
        <f t="shared" si="20"/>
        <v/>
      </c>
    </row>
    <row r="403" spans="1:6" x14ac:dyDescent="0.2">
      <c r="A403" s="18" t="str">
        <f>IF(Productos!A403="","",Productos!A403)</f>
        <v/>
      </c>
      <c r="B403" s="18" t="str">
        <f>IF(Productos!B403="","",Productos!B403)</f>
        <v/>
      </c>
      <c r="C403" s="26" t="str">
        <f>IF(A403="","",Ventas!H403)</f>
        <v/>
      </c>
      <c r="D403" s="26" t="str">
        <f t="shared" si="18"/>
        <v/>
      </c>
      <c r="E403" s="26" t="str">
        <f t="shared" si="19"/>
        <v/>
      </c>
      <c r="F403" s="26" t="str">
        <f t="shared" si="20"/>
        <v/>
      </c>
    </row>
    <row r="404" spans="1:6" x14ac:dyDescent="0.2">
      <c r="A404" s="18" t="str">
        <f>IF(Productos!A404="","",Productos!A404)</f>
        <v/>
      </c>
      <c r="B404" s="18" t="str">
        <f>IF(Productos!B404="","",Productos!B404)</f>
        <v/>
      </c>
      <c r="C404" s="26" t="str">
        <f>IF(A404="","",Ventas!H404)</f>
        <v/>
      </c>
      <c r="D404" s="26" t="str">
        <f t="shared" si="18"/>
        <v/>
      </c>
      <c r="E404" s="26" t="str">
        <f t="shared" si="19"/>
        <v/>
      </c>
      <c r="F404" s="26" t="str">
        <f t="shared" si="20"/>
        <v/>
      </c>
    </row>
    <row r="405" spans="1:6" x14ac:dyDescent="0.2">
      <c r="A405" s="18" t="str">
        <f>IF(Productos!A405="","",Productos!A405)</f>
        <v/>
      </c>
      <c r="B405" s="18" t="str">
        <f>IF(Productos!B405="","",Productos!B405)</f>
        <v/>
      </c>
      <c r="C405" s="26" t="str">
        <f>IF(A405="","",Ventas!H405)</f>
        <v/>
      </c>
      <c r="D405" s="26" t="str">
        <f t="shared" si="18"/>
        <v/>
      </c>
      <c r="E405" s="26" t="str">
        <f t="shared" si="19"/>
        <v/>
      </c>
      <c r="F405" s="26" t="str">
        <f t="shared" si="20"/>
        <v/>
      </c>
    </row>
    <row r="406" spans="1:6" x14ac:dyDescent="0.2">
      <c r="A406" s="18" t="str">
        <f>IF(Productos!A406="","",Productos!A406)</f>
        <v/>
      </c>
      <c r="B406" s="18" t="str">
        <f>IF(Productos!B406="","",Productos!B406)</f>
        <v/>
      </c>
      <c r="C406" s="26" t="str">
        <f>IF(A406="","",Ventas!H406)</f>
        <v/>
      </c>
      <c r="D406" s="26" t="str">
        <f t="shared" si="18"/>
        <v/>
      </c>
      <c r="E406" s="26" t="str">
        <f t="shared" si="19"/>
        <v/>
      </c>
      <c r="F406" s="26" t="str">
        <f t="shared" si="20"/>
        <v/>
      </c>
    </row>
    <row r="407" spans="1:6" x14ac:dyDescent="0.2">
      <c r="A407" s="18" t="str">
        <f>IF(Productos!A407="","",Productos!A407)</f>
        <v/>
      </c>
      <c r="B407" s="18" t="str">
        <f>IF(Productos!B407="","",Productos!B407)</f>
        <v/>
      </c>
      <c r="C407" s="26" t="str">
        <f>IF(A407="","",Ventas!H407)</f>
        <v/>
      </c>
      <c r="D407" s="26" t="str">
        <f t="shared" si="18"/>
        <v/>
      </c>
      <c r="E407" s="26" t="str">
        <f t="shared" si="19"/>
        <v/>
      </c>
      <c r="F407" s="26" t="str">
        <f t="shared" si="20"/>
        <v/>
      </c>
    </row>
    <row r="408" spans="1:6" x14ac:dyDescent="0.2">
      <c r="A408" s="18" t="str">
        <f>IF(Productos!A408="","",Productos!A408)</f>
        <v/>
      </c>
      <c r="B408" s="18" t="str">
        <f>IF(Productos!B408="","",Productos!B408)</f>
        <v/>
      </c>
      <c r="C408" s="26" t="str">
        <f>IF(A408="","",Ventas!H408)</f>
        <v/>
      </c>
      <c r="D408" s="26" t="str">
        <f t="shared" si="18"/>
        <v/>
      </c>
      <c r="E408" s="26" t="str">
        <f t="shared" si="19"/>
        <v/>
      </c>
      <c r="F408" s="26" t="str">
        <f t="shared" si="20"/>
        <v/>
      </c>
    </row>
    <row r="409" spans="1:6" x14ac:dyDescent="0.2">
      <c r="A409" s="18" t="str">
        <f>IF(Productos!A409="","",Productos!A409)</f>
        <v/>
      </c>
      <c r="B409" s="18" t="str">
        <f>IF(Productos!B409="","",Productos!B409)</f>
        <v/>
      </c>
      <c r="C409" s="26" t="str">
        <f>IF(A409="","",Ventas!H409)</f>
        <v/>
      </c>
      <c r="D409" s="26" t="str">
        <f t="shared" si="18"/>
        <v/>
      </c>
      <c r="E409" s="26" t="str">
        <f t="shared" si="19"/>
        <v/>
      </c>
      <c r="F409" s="26" t="str">
        <f t="shared" si="20"/>
        <v/>
      </c>
    </row>
    <row r="410" spans="1:6" x14ac:dyDescent="0.2">
      <c r="A410" s="18" t="str">
        <f>IF(Productos!A410="","",Productos!A410)</f>
        <v/>
      </c>
      <c r="B410" s="18" t="str">
        <f>IF(Productos!B410="","",Productos!B410)</f>
        <v/>
      </c>
      <c r="C410" s="26" t="str">
        <f>IF(A410="","",Ventas!H410)</f>
        <v/>
      </c>
      <c r="D410" s="26" t="str">
        <f t="shared" si="18"/>
        <v/>
      </c>
      <c r="E410" s="26" t="str">
        <f t="shared" si="19"/>
        <v/>
      </c>
      <c r="F410" s="26" t="str">
        <f t="shared" si="20"/>
        <v/>
      </c>
    </row>
    <row r="411" spans="1:6" x14ac:dyDescent="0.2">
      <c r="A411" s="18" t="str">
        <f>IF(Productos!A411="","",Productos!A411)</f>
        <v/>
      </c>
      <c r="B411" s="18" t="str">
        <f>IF(Productos!B411="","",Productos!B411)</f>
        <v/>
      </c>
      <c r="C411" s="26" t="str">
        <f>IF(A411="","",Ventas!H411)</f>
        <v/>
      </c>
      <c r="D411" s="26" t="str">
        <f t="shared" si="18"/>
        <v/>
      </c>
      <c r="E411" s="26" t="str">
        <f t="shared" si="19"/>
        <v/>
      </c>
      <c r="F411" s="26" t="str">
        <f t="shared" si="20"/>
        <v/>
      </c>
    </row>
    <row r="412" spans="1:6" x14ac:dyDescent="0.2">
      <c r="A412" s="18" t="str">
        <f>IF(Productos!A412="","",Productos!A412)</f>
        <v/>
      </c>
      <c r="B412" s="18" t="str">
        <f>IF(Productos!B412="","",Productos!B412)</f>
        <v/>
      </c>
      <c r="C412" s="26" t="str">
        <f>IF(A412="","",Ventas!H412)</f>
        <v/>
      </c>
      <c r="D412" s="26" t="str">
        <f t="shared" si="18"/>
        <v/>
      </c>
      <c r="E412" s="26" t="str">
        <f t="shared" si="19"/>
        <v/>
      </c>
      <c r="F412" s="26" t="str">
        <f t="shared" si="20"/>
        <v/>
      </c>
    </row>
    <row r="413" spans="1:6" x14ac:dyDescent="0.2">
      <c r="A413" s="18" t="str">
        <f>IF(Productos!A413="","",Productos!A413)</f>
        <v/>
      </c>
      <c r="B413" s="18" t="str">
        <f>IF(Productos!B413="","",Productos!B413)</f>
        <v/>
      </c>
      <c r="C413" s="26" t="str">
        <f>IF(A413="","",Ventas!H413)</f>
        <v/>
      </c>
      <c r="D413" s="26" t="str">
        <f t="shared" si="18"/>
        <v/>
      </c>
      <c r="E413" s="26" t="str">
        <f t="shared" si="19"/>
        <v/>
      </c>
      <c r="F413" s="26" t="str">
        <f t="shared" si="20"/>
        <v/>
      </c>
    </row>
    <row r="414" spans="1:6" x14ac:dyDescent="0.2">
      <c r="A414" s="18" t="str">
        <f>IF(Productos!A414="","",Productos!A414)</f>
        <v/>
      </c>
      <c r="B414" s="18" t="str">
        <f>IF(Productos!B414="","",Productos!B414)</f>
        <v/>
      </c>
      <c r="C414" s="26" t="str">
        <f>IF(A414="","",Ventas!H414)</f>
        <v/>
      </c>
      <c r="D414" s="26" t="str">
        <f t="shared" si="18"/>
        <v/>
      </c>
      <c r="E414" s="26" t="str">
        <f t="shared" si="19"/>
        <v/>
      </c>
      <c r="F414" s="26" t="str">
        <f t="shared" si="20"/>
        <v/>
      </c>
    </row>
    <row r="415" spans="1:6" x14ac:dyDescent="0.2">
      <c r="A415" s="18" t="str">
        <f>IF(Productos!A415="","",Productos!A415)</f>
        <v/>
      </c>
      <c r="B415" s="18" t="str">
        <f>IF(Productos!B415="","",Productos!B415)</f>
        <v/>
      </c>
      <c r="C415" s="26" t="str">
        <f>IF(A415="","",Ventas!H415)</f>
        <v/>
      </c>
      <c r="D415" s="26" t="str">
        <f t="shared" si="18"/>
        <v/>
      </c>
      <c r="E415" s="26" t="str">
        <f t="shared" si="19"/>
        <v/>
      </c>
      <c r="F415" s="26" t="str">
        <f t="shared" si="20"/>
        <v/>
      </c>
    </row>
    <row r="416" spans="1:6" x14ac:dyDescent="0.2">
      <c r="A416" s="18" t="str">
        <f>IF(Productos!A416="","",Productos!A416)</f>
        <v/>
      </c>
      <c r="B416" s="18" t="str">
        <f>IF(Productos!B416="","",Productos!B416)</f>
        <v/>
      </c>
      <c r="C416" s="26" t="str">
        <f>IF(A416="","",Ventas!H416)</f>
        <v/>
      </c>
      <c r="D416" s="26" t="str">
        <f t="shared" si="18"/>
        <v/>
      </c>
      <c r="E416" s="26" t="str">
        <f t="shared" si="19"/>
        <v/>
      </c>
      <c r="F416" s="26" t="str">
        <f t="shared" si="20"/>
        <v/>
      </c>
    </row>
    <row r="417" spans="1:6" x14ac:dyDescent="0.2">
      <c r="A417" s="18" t="str">
        <f>IF(Productos!A417="","",Productos!A417)</f>
        <v/>
      </c>
      <c r="B417" s="18" t="str">
        <f>IF(Productos!B417="","",Productos!B417)</f>
        <v/>
      </c>
      <c r="C417" s="26" t="str">
        <f>IF(A417="","",Ventas!H417)</f>
        <v/>
      </c>
      <c r="D417" s="26" t="str">
        <f t="shared" si="18"/>
        <v/>
      </c>
      <c r="E417" s="26" t="str">
        <f t="shared" si="19"/>
        <v/>
      </c>
      <c r="F417" s="26" t="str">
        <f t="shared" si="20"/>
        <v/>
      </c>
    </row>
    <row r="418" spans="1:6" x14ac:dyDescent="0.2">
      <c r="A418" s="18" t="str">
        <f>IF(Productos!A418="","",Productos!A418)</f>
        <v/>
      </c>
      <c r="B418" s="18" t="str">
        <f>IF(Productos!B418="","",Productos!B418)</f>
        <v/>
      </c>
      <c r="C418" s="26" t="str">
        <f>IF(A418="","",Ventas!H418)</f>
        <v/>
      </c>
      <c r="D418" s="26" t="str">
        <f t="shared" si="18"/>
        <v/>
      </c>
      <c r="E418" s="26" t="str">
        <f t="shared" si="19"/>
        <v/>
      </c>
      <c r="F418" s="26" t="str">
        <f t="shared" si="20"/>
        <v/>
      </c>
    </row>
    <row r="419" spans="1:6" x14ac:dyDescent="0.2">
      <c r="A419" s="18" t="str">
        <f>IF(Productos!A419="","",Productos!A419)</f>
        <v/>
      </c>
      <c r="B419" s="18" t="str">
        <f>IF(Productos!B419="","",Productos!B419)</f>
        <v/>
      </c>
      <c r="C419" s="26" t="str">
        <f>IF(A419="","",Ventas!H419)</f>
        <v/>
      </c>
      <c r="D419" s="26" t="str">
        <f t="shared" si="18"/>
        <v/>
      </c>
      <c r="E419" s="26" t="str">
        <f t="shared" si="19"/>
        <v/>
      </c>
      <c r="F419" s="26" t="str">
        <f t="shared" si="20"/>
        <v/>
      </c>
    </row>
    <row r="420" spans="1:6" x14ac:dyDescent="0.2">
      <c r="A420" s="18" t="str">
        <f>IF(Productos!A420="","",Productos!A420)</f>
        <v/>
      </c>
      <c r="B420" s="18" t="str">
        <f>IF(Productos!B420="","",Productos!B420)</f>
        <v/>
      </c>
      <c r="C420" s="26" t="str">
        <f>IF(A420="","",Ventas!H420)</f>
        <v/>
      </c>
      <c r="D420" s="26" t="str">
        <f t="shared" si="18"/>
        <v/>
      </c>
      <c r="E420" s="26" t="str">
        <f t="shared" si="19"/>
        <v/>
      </c>
      <c r="F420" s="26" t="str">
        <f t="shared" si="20"/>
        <v/>
      </c>
    </row>
    <row r="421" spans="1:6" x14ac:dyDescent="0.2">
      <c r="A421" s="18" t="str">
        <f>IF(Productos!A421="","",Productos!A421)</f>
        <v/>
      </c>
      <c r="B421" s="18" t="str">
        <f>IF(Productos!B421="","",Productos!B421)</f>
        <v/>
      </c>
      <c r="C421" s="26" t="str">
        <f>IF(A421="","",Ventas!H421)</f>
        <v/>
      </c>
      <c r="D421" s="26" t="str">
        <f t="shared" si="18"/>
        <v/>
      </c>
      <c r="E421" s="26" t="str">
        <f t="shared" si="19"/>
        <v/>
      </c>
      <c r="F421" s="26" t="str">
        <f t="shared" si="20"/>
        <v/>
      </c>
    </row>
    <row r="422" spans="1:6" x14ac:dyDescent="0.2">
      <c r="A422" s="18" t="str">
        <f>IF(Productos!A422="","",Productos!A422)</f>
        <v/>
      </c>
      <c r="B422" s="18" t="str">
        <f>IF(Productos!B422="","",Productos!B422)</f>
        <v/>
      </c>
      <c r="C422" s="26" t="str">
        <f>IF(A422="","",Ventas!H422)</f>
        <v/>
      </c>
      <c r="D422" s="26" t="str">
        <f t="shared" si="18"/>
        <v/>
      </c>
      <c r="E422" s="26" t="str">
        <f t="shared" si="19"/>
        <v/>
      </c>
      <c r="F422" s="26" t="str">
        <f t="shared" si="20"/>
        <v/>
      </c>
    </row>
    <row r="423" spans="1:6" x14ac:dyDescent="0.2">
      <c r="A423" s="18" t="str">
        <f>IF(Productos!A423="","",Productos!A423)</f>
        <v/>
      </c>
      <c r="B423" s="18" t="str">
        <f>IF(Productos!B423="","",Productos!B423)</f>
        <v/>
      </c>
      <c r="C423" s="26" t="str">
        <f>IF(A423="","",Ventas!H423)</f>
        <v/>
      </c>
      <c r="D423" s="26" t="str">
        <f t="shared" si="18"/>
        <v/>
      </c>
      <c r="E423" s="26" t="str">
        <f t="shared" si="19"/>
        <v/>
      </c>
      <c r="F423" s="26" t="str">
        <f t="shared" si="20"/>
        <v/>
      </c>
    </row>
    <row r="424" spans="1:6" x14ac:dyDescent="0.2">
      <c r="A424" s="18" t="str">
        <f>IF(Productos!A424="","",Productos!A424)</f>
        <v/>
      </c>
      <c r="B424" s="18" t="str">
        <f>IF(Productos!B424="","",Productos!B424)</f>
        <v/>
      </c>
      <c r="C424" s="26" t="str">
        <f>IF(A424="","",Ventas!H424)</f>
        <v/>
      </c>
      <c r="D424" s="26" t="str">
        <f t="shared" si="18"/>
        <v/>
      </c>
      <c r="E424" s="26" t="str">
        <f t="shared" si="19"/>
        <v/>
      </c>
      <c r="F424" s="26" t="str">
        <f t="shared" si="20"/>
        <v/>
      </c>
    </row>
    <row r="425" spans="1:6" x14ac:dyDescent="0.2">
      <c r="A425" s="18" t="str">
        <f>IF(Productos!A425="","",Productos!A425)</f>
        <v/>
      </c>
      <c r="B425" s="18" t="str">
        <f>IF(Productos!B425="","",Productos!B425)</f>
        <v/>
      </c>
      <c r="C425" s="26" t="str">
        <f>IF(A425="","",Ventas!H425)</f>
        <v/>
      </c>
      <c r="D425" s="26" t="str">
        <f t="shared" si="18"/>
        <v/>
      </c>
      <c r="E425" s="26" t="str">
        <f t="shared" si="19"/>
        <v/>
      </c>
      <c r="F425" s="26" t="str">
        <f t="shared" si="20"/>
        <v/>
      </c>
    </row>
    <row r="426" spans="1:6" x14ac:dyDescent="0.2">
      <c r="A426" s="18" t="str">
        <f>IF(Productos!A426="","",Productos!A426)</f>
        <v/>
      </c>
      <c r="B426" s="18" t="str">
        <f>IF(Productos!B426="","",Productos!B426)</f>
        <v/>
      </c>
      <c r="C426" s="26" t="str">
        <f>IF(A426="","",Ventas!H426)</f>
        <v/>
      </c>
      <c r="D426" s="26" t="str">
        <f t="shared" si="18"/>
        <v/>
      </c>
      <c r="E426" s="26" t="str">
        <f t="shared" si="19"/>
        <v/>
      </c>
      <c r="F426" s="26" t="str">
        <f t="shared" si="20"/>
        <v/>
      </c>
    </row>
    <row r="427" spans="1:6" x14ac:dyDescent="0.2">
      <c r="A427" s="18" t="str">
        <f>IF(Productos!A427="","",Productos!A427)</f>
        <v/>
      </c>
      <c r="B427" s="18" t="str">
        <f>IF(Productos!B427="","",Productos!B427)</f>
        <v/>
      </c>
      <c r="C427" s="26" t="str">
        <f>IF(A427="","",Ventas!H427)</f>
        <v/>
      </c>
      <c r="D427" s="26" t="str">
        <f t="shared" si="18"/>
        <v/>
      </c>
      <c r="E427" s="26" t="str">
        <f t="shared" si="19"/>
        <v/>
      </c>
      <c r="F427" s="26" t="str">
        <f t="shared" si="20"/>
        <v/>
      </c>
    </row>
    <row r="428" spans="1:6" x14ac:dyDescent="0.2">
      <c r="A428" s="18" t="str">
        <f>IF(Productos!A428="","",Productos!A428)</f>
        <v/>
      </c>
      <c r="B428" s="18" t="str">
        <f>IF(Productos!B428="","",Productos!B428)</f>
        <v/>
      </c>
      <c r="C428" s="26" t="str">
        <f>IF(A428="","",Ventas!H428)</f>
        <v/>
      </c>
      <c r="D428" s="26" t="str">
        <f t="shared" si="18"/>
        <v/>
      </c>
      <c r="E428" s="26" t="str">
        <f t="shared" si="19"/>
        <v/>
      </c>
      <c r="F428" s="26" t="str">
        <f t="shared" si="20"/>
        <v/>
      </c>
    </row>
    <row r="429" spans="1:6" x14ac:dyDescent="0.2">
      <c r="A429" s="18" t="str">
        <f>IF(Productos!A429="","",Productos!A429)</f>
        <v/>
      </c>
      <c r="B429" s="18" t="str">
        <f>IF(Productos!B429="","",Productos!B429)</f>
        <v/>
      </c>
      <c r="C429" s="26" t="str">
        <f>IF(A429="","",Ventas!H429)</f>
        <v/>
      </c>
      <c r="D429" s="26" t="str">
        <f t="shared" si="18"/>
        <v/>
      </c>
      <c r="E429" s="26" t="str">
        <f t="shared" si="19"/>
        <v/>
      </c>
      <c r="F429" s="26" t="str">
        <f t="shared" si="20"/>
        <v/>
      </c>
    </row>
    <row r="430" spans="1:6" x14ac:dyDescent="0.2">
      <c r="A430" s="18" t="str">
        <f>IF(Productos!A430="","",Productos!A430)</f>
        <v/>
      </c>
      <c r="B430" s="18" t="str">
        <f>IF(Productos!B430="","",Productos!B430)</f>
        <v/>
      </c>
      <c r="C430" s="26" t="str">
        <f>IF(A430="","",Ventas!H430)</f>
        <v/>
      </c>
      <c r="D430" s="26" t="str">
        <f t="shared" si="18"/>
        <v/>
      </c>
      <c r="E430" s="26" t="str">
        <f t="shared" si="19"/>
        <v/>
      </c>
      <c r="F430" s="26" t="str">
        <f t="shared" si="20"/>
        <v/>
      </c>
    </row>
    <row r="431" spans="1:6" x14ac:dyDescent="0.2">
      <c r="A431" s="18" t="str">
        <f>IF(Productos!A431="","",Productos!A431)</f>
        <v/>
      </c>
      <c r="B431" s="18" t="str">
        <f>IF(Productos!B431="","",Productos!B431)</f>
        <v/>
      </c>
      <c r="C431" s="26" t="str">
        <f>IF(A431="","",Ventas!H431)</f>
        <v/>
      </c>
      <c r="D431" s="26" t="str">
        <f t="shared" si="18"/>
        <v/>
      </c>
      <c r="E431" s="26" t="str">
        <f t="shared" si="19"/>
        <v/>
      </c>
      <c r="F431" s="26" t="str">
        <f t="shared" si="20"/>
        <v/>
      </c>
    </row>
    <row r="432" spans="1:6" x14ac:dyDescent="0.2">
      <c r="A432" s="18" t="str">
        <f>IF(Productos!A432="","",Productos!A432)</f>
        <v/>
      </c>
      <c r="B432" s="18" t="str">
        <f>IF(Productos!B432="","",Productos!B432)</f>
        <v/>
      </c>
      <c r="C432" s="26" t="str">
        <f>IF(A432="","",Ventas!H432)</f>
        <v/>
      </c>
      <c r="D432" s="26" t="str">
        <f t="shared" si="18"/>
        <v/>
      </c>
      <c r="E432" s="26" t="str">
        <f t="shared" si="19"/>
        <v/>
      </c>
      <c r="F432" s="26" t="str">
        <f t="shared" si="20"/>
        <v/>
      </c>
    </row>
    <row r="433" spans="1:6" x14ac:dyDescent="0.2">
      <c r="A433" s="18" t="str">
        <f>IF(Productos!A433="","",Productos!A433)</f>
        <v/>
      </c>
      <c r="B433" s="18" t="str">
        <f>IF(Productos!B433="","",Productos!B433)</f>
        <v/>
      </c>
      <c r="C433" s="26" t="str">
        <f>IF(A433="","",Ventas!H433)</f>
        <v/>
      </c>
      <c r="D433" s="26" t="str">
        <f t="shared" si="18"/>
        <v/>
      </c>
      <c r="E433" s="26" t="str">
        <f t="shared" si="19"/>
        <v/>
      </c>
      <c r="F433" s="26" t="str">
        <f t="shared" si="20"/>
        <v/>
      </c>
    </row>
    <row r="434" spans="1:6" x14ac:dyDescent="0.2">
      <c r="A434" s="18" t="str">
        <f>IF(Productos!A434="","",Productos!A434)</f>
        <v/>
      </c>
      <c r="B434" s="18" t="str">
        <f>IF(Productos!B434="","",Productos!B434)</f>
        <v/>
      </c>
      <c r="C434" s="26" t="str">
        <f>IF(A434="","",Ventas!H434)</f>
        <v/>
      </c>
      <c r="D434" s="26" t="str">
        <f t="shared" si="18"/>
        <v/>
      </c>
      <c r="E434" s="26" t="str">
        <f t="shared" si="19"/>
        <v/>
      </c>
      <c r="F434" s="26" t="str">
        <f t="shared" si="20"/>
        <v/>
      </c>
    </row>
    <row r="435" spans="1:6" x14ac:dyDescent="0.2">
      <c r="A435" s="18" t="str">
        <f>IF(Productos!A435="","",Productos!A435)</f>
        <v/>
      </c>
      <c r="B435" s="18" t="str">
        <f>IF(Productos!B435="","",Productos!B435)</f>
        <v/>
      </c>
      <c r="C435" s="26" t="str">
        <f>IF(A435="","",Ventas!H435)</f>
        <v/>
      </c>
      <c r="D435" s="26" t="str">
        <f t="shared" si="18"/>
        <v/>
      </c>
      <c r="E435" s="26" t="str">
        <f t="shared" si="19"/>
        <v/>
      </c>
      <c r="F435" s="26" t="str">
        <f t="shared" si="20"/>
        <v/>
      </c>
    </row>
    <row r="436" spans="1:6" x14ac:dyDescent="0.2">
      <c r="A436" s="18" t="str">
        <f>IF(Productos!A436="","",Productos!A436)</f>
        <v/>
      </c>
      <c r="B436" s="18" t="str">
        <f>IF(Productos!B436="","",Productos!B436)</f>
        <v/>
      </c>
      <c r="C436" s="26" t="str">
        <f>IF(A436="","",Ventas!H436)</f>
        <v/>
      </c>
      <c r="D436" s="26" t="str">
        <f t="shared" si="18"/>
        <v/>
      </c>
      <c r="E436" s="26" t="str">
        <f t="shared" si="19"/>
        <v/>
      </c>
      <c r="F436" s="26" t="str">
        <f t="shared" si="20"/>
        <v/>
      </c>
    </row>
    <row r="437" spans="1:6" x14ac:dyDescent="0.2">
      <c r="A437" s="18" t="str">
        <f>IF(Productos!A437="","",Productos!A437)</f>
        <v/>
      </c>
      <c r="B437" s="18" t="str">
        <f>IF(Productos!B437="","",Productos!B437)</f>
        <v/>
      </c>
      <c r="C437" s="26" t="str">
        <f>IF(A437="","",Ventas!H437)</f>
        <v/>
      </c>
      <c r="D437" s="26" t="str">
        <f t="shared" si="18"/>
        <v/>
      </c>
      <c r="E437" s="26" t="str">
        <f t="shared" si="19"/>
        <v/>
      </c>
      <c r="F437" s="26" t="str">
        <f t="shared" si="20"/>
        <v/>
      </c>
    </row>
    <row r="438" spans="1:6" x14ac:dyDescent="0.2">
      <c r="A438" s="18" t="str">
        <f>IF(Productos!A438="","",Productos!A438)</f>
        <v/>
      </c>
      <c r="B438" s="18" t="str">
        <f>IF(Productos!B438="","",Productos!B438)</f>
        <v/>
      </c>
      <c r="C438" s="26" t="str">
        <f>IF(A438="","",Ventas!H438)</f>
        <v/>
      </c>
      <c r="D438" s="26" t="str">
        <f t="shared" si="18"/>
        <v/>
      </c>
      <c r="E438" s="26" t="str">
        <f t="shared" si="19"/>
        <v/>
      </c>
      <c r="F438" s="26" t="str">
        <f t="shared" si="20"/>
        <v/>
      </c>
    </row>
    <row r="439" spans="1:6" x14ac:dyDescent="0.2">
      <c r="A439" s="18" t="str">
        <f>IF(Productos!A439="","",Productos!A439)</f>
        <v/>
      </c>
      <c r="B439" s="18" t="str">
        <f>IF(Productos!B439="","",Productos!B439)</f>
        <v/>
      </c>
      <c r="C439" s="26" t="str">
        <f>IF(A439="","",Ventas!H439)</f>
        <v/>
      </c>
      <c r="D439" s="26" t="str">
        <f t="shared" si="18"/>
        <v/>
      </c>
      <c r="E439" s="26" t="str">
        <f t="shared" si="19"/>
        <v/>
      </c>
      <c r="F439" s="26" t="str">
        <f t="shared" si="20"/>
        <v/>
      </c>
    </row>
    <row r="440" spans="1:6" x14ac:dyDescent="0.2">
      <c r="A440" s="18" t="str">
        <f>IF(Productos!A440="","",Productos!A440)</f>
        <v/>
      </c>
      <c r="B440" s="18" t="str">
        <f>IF(Productos!B440="","",Productos!B440)</f>
        <v/>
      </c>
      <c r="C440" s="26" t="str">
        <f>IF(A440="","",Ventas!H440)</f>
        <v/>
      </c>
      <c r="D440" s="26" t="str">
        <f t="shared" si="18"/>
        <v/>
      </c>
      <c r="E440" s="26" t="str">
        <f t="shared" si="19"/>
        <v/>
      </c>
      <c r="F440" s="26" t="str">
        <f t="shared" si="20"/>
        <v/>
      </c>
    </row>
    <row r="441" spans="1:6" x14ac:dyDescent="0.2">
      <c r="A441" s="18" t="str">
        <f>IF(Productos!A441="","",Productos!A441)</f>
        <v/>
      </c>
      <c r="B441" s="18" t="str">
        <f>IF(Productos!B441="","",Productos!B441)</f>
        <v/>
      </c>
      <c r="C441" s="26" t="str">
        <f>IF(A441="","",Ventas!H441)</f>
        <v/>
      </c>
      <c r="D441" s="26" t="str">
        <f t="shared" si="18"/>
        <v/>
      </c>
      <c r="E441" s="26" t="str">
        <f t="shared" si="19"/>
        <v/>
      </c>
      <c r="F441" s="26" t="str">
        <f t="shared" si="20"/>
        <v/>
      </c>
    </row>
    <row r="442" spans="1:6" x14ac:dyDescent="0.2">
      <c r="A442" s="18" t="str">
        <f>IF(Productos!A442="","",Productos!A442)</f>
        <v/>
      </c>
      <c r="B442" s="18" t="str">
        <f>IF(Productos!B442="","",Productos!B442)</f>
        <v/>
      </c>
      <c r="C442" s="26" t="str">
        <f>IF(A442="","",Ventas!H442)</f>
        <v/>
      </c>
      <c r="D442" s="26" t="str">
        <f t="shared" si="18"/>
        <v/>
      </c>
      <c r="E442" s="26" t="str">
        <f t="shared" si="19"/>
        <v/>
      </c>
      <c r="F442" s="26" t="str">
        <f t="shared" si="20"/>
        <v/>
      </c>
    </row>
    <row r="443" spans="1:6" x14ac:dyDescent="0.2">
      <c r="A443" s="18" t="str">
        <f>IF(Productos!A443="","",Productos!A443)</f>
        <v/>
      </c>
      <c r="B443" s="18" t="str">
        <f>IF(Productos!B443="","",Productos!B443)</f>
        <v/>
      </c>
      <c r="C443" s="26" t="str">
        <f>IF(A443="","",Ventas!H443)</f>
        <v/>
      </c>
      <c r="D443" s="26" t="str">
        <f t="shared" si="18"/>
        <v/>
      </c>
      <c r="E443" s="26" t="str">
        <f t="shared" si="19"/>
        <v/>
      </c>
      <c r="F443" s="26" t="str">
        <f t="shared" si="20"/>
        <v/>
      </c>
    </row>
    <row r="444" spans="1:6" x14ac:dyDescent="0.2">
      <c r="A444" s="18" t="str">
        <f>IF(Productos!A444="","",Productos!A444)</f>
        <v/>
      </c>
      <c r="B444" s="18" t="str">
        <f>IF(Productos!B444="","",Productos!B444)</f>
        <v/>
      </c>
      <c r="C444" s="26" t="str">
        <f>IF(A444="","",Ventas!H444)</f>
        <v/>
      </c>
      <c r="D444" s="26" t="str">
        <f t="shared" si="18"/>
        <v/>
      </c>
      <c r="E444" s="26" t="str">
        <f t="shared" si="19"/>
        <v/>
      </c>
      <c r="F444" s="26" t="str">
        <f t="shared" si="20"/>
        <v/>
      </c>
    </row>
    <row r="445" spans="1:6" x14ac:dyDescent="0.2">
      <c r="A445" s="18" t="str">
        <f>IF(Productos!A445="","",Productos!A445)</f>
        <v/>
      </c>
      <c r="B445" s="18" t="str">
        <f>IF(Productos!B445="","",Productos!B445)</f>
        <v/>
      </c>
      <c r="C445" s="26" t="str">
        <f>IF(A445="","",Ventas!H445)</f>
        <v/>
      </c>
      <c r="D445" s="26" t="str">
        <f t="shared" si="18"/>
        <v/>
      </c>
      <c r="E445" s="26" t="str">
        <f t="shared" si="19"/>
        <v/>
      </c>
      <c r="F445" s="26" t="str">
        <f t="shared" si="20"/>
        <v/>
      </c>
    </row>
    <row r="446" spans="1:6" x14ac:dyDescent="0.2">
      <c r="A446" s="18" t="str">
        <f>IF(Productos!A446="","",Productos!A446)</f>
        <v/>
      </c>
      <c r="B446" s="18" t="str">
        <f>IF(Productos!B446="","",Productos!B446)</f>
        <v/>
      </c>
      <c r="C446" s="26" t="str">
        <f>IF(A446="","",Ventas!H446)</f>
        <v/>
      </c>
      <c r="D446" s="26" t="str">
        <f t="shared" si="18"/>
        <v/>
      </c>
      <c r="E446" s="26" t="str">
        <f t="shared" si="19"/>
        <v/>
      </c>
      <c r="F446" s="26" t="str">
        <f t="shared" si="20"/>
        <v/>
      </c>
    </row>
    <row r="447" spans="1:6" x14ac:dyDescent="0.2">
      <c r="A447" s="18" t="str">
        <f>IF(Productos!A447="","",Productos!A447)</f>
        <v/>
      </c>
      <c r="B447" s="18" t="str">
        <f>IF(Productos!B447="","",Productos!B447)</f>
        <v/>
      </c>
      <c r="C447" s="26" t="str">
        <f>IF(A447="","",Ventas!H447)</f>
        <v/>
      </c>
      <c r="D447" s="26" t="str">
        <f t="shared" si="18"/>
        <v/>
      </c>
      <c r="E447" s="26" t="str">
        <f t="shared" si="19"/>
        <v/>
      </c>
      <c r="F447" s="26" t="str">
        <f t="shared" si="20"/>
        <v/>
      </c>
    </row>
    <row r="448" spans="1:6" x14ac:dyDescent="0.2">
      <c r="A448" s="18" t="str">
        <f>IF(Productos!A448="","",Productos!A448)</f>
        <v/>
      </c>
      <c r="B448" s="18" t="str">
        <f>IF(Productos!B448="","",Productos!B448)</f>
        <v/>
      </c>
      <c r="C448" s="26" t="str">
        <f>IF(A448="","",Ventas!H448)</f>
        <v/>
      </c>
      <c r="D448" s="26" t="str">
        <f t="shared" si="18"/>
        <v/>
      </c>
      <c r="E448" s="26" t="str">
        <f t="shared" si="19"/>
        <v/>
      </c>
      <c r="F448" s="26" t="str">
        <f t="shared" si="20"/>
        <v/>
      </c>
    </row>
    <row r="449" spans="1:6" x14ac:dyDescent="0.2">
      <c r="A449" s="18" t="str">
        <f>IF(Productos!A449="","",Productos!A449)</f>
        <v/>
      </c>
      <c r="B449" s="18" t="str">
        <f>IF(Productos!B449="","",Productos!B449)</f>
        <v/>
      </c>
      <c r="C449" s="26" t="str">
        <f>IF(A449="","",Ventas!H449)</f>
        <v/>
      </c>
      <c r="D449" s="26" t="str">
        <f t="shared" si="18"/>
        <v/>
      </c>
      <c r="E449" s="26" t="str">
        <f t="shared" si="19"/>
        <v/>
      </c>
      <c r="F449" s="26" t="str">
        <f t="shared" si="20"/>
        <v/>
      </c>
    </row>
    <row r="450" spans="1:6" x14ac:dyDescent="0.2">
      <c r="A450" s="18" t="str">
        <f>IF(Productos!A450="","",Productos!A450)</f>
        <v/>
      </c>
      <c r="B450" s="18" t="str">
        <f>IF(Productos!B450="","",Productos!B450)</f>
        <v/>
      </c>
      <c r="C450" s="26" t="str">
        <f>IF(A450="","",Ventas!H450)</f>
        <v/>
      </c>
      <c r="D450" s="26" t="str">
        <f t="shared" si="18"/>
        <v/>
      </c>
      <c r="E450" s="26" t="str">
        <f t="shared" si="19"/>
        <v/>
      </c>
      <c r="F450" s="26" t="str">
        <f t="shared" si="20"/>
        <v/>
      </c>
    </row>
    <row r="451" spans="1:6" x14ac:dyDescent="0.2">
      <c r="A451" s="18" t="str">
        <f>IF(Productos!A451="","",Productos!A451)</f>
        <v/>
      </c>
      <c r="B451" s="18" t="str">
        <f>IF(Productos!B451="","",Productos!B451)</f>
        <v/>
      </c>
      <c r="C451" s="26" t="str">
        <f>IF(A451="","",Ventas!H451)</f>
        <v/>
      </c>
      <c r="D451" s="26" t="str">
        <f t="shared" ref="D451:D514" si="21">IF(A451="","",ROUND(C451/3,2))</f>
        <v/>
      </c>
      <c r="E451" s="26" t="str">
        <f t="shared" ref="E451:E514" si="22">IF(A451="","",ROUND(C451/3,2))</f>
        <v/>
      </c>
      <c r="F451" s="26" t="str">
        <f t="shared" ref="F451:F514" si="23">IF(A451="","",C451-D451-E451)</f>
        <v/>
      </c>
    </row>
    <row r="452" spans="1:6" x14ac:dyDescent="0.2">
      <c r="A452" s="18" t="str">
        <f>IF(Productos!A452="","",Productos!A452)</f>
        <v/>
      </c>
      <c r="B452" s="18" t="str">
        <f>IF(Productos!B452="","",Productos!B452)</f>
        <v/>
      </c>
      <c r="C452" s="26" t="str">
        <f>IF(A452="","",Ventas!H452)</f>
        <v/>
      </c>
      <c r="D452" s="26" t="str">
        <f t="shared" si="21"/>
        <v/>
      </c>
      <c r="E452" s="26" t="str">
        <f t="shared" si="22"/>
        <v/>
      </c>
      <c r="F452" s="26" t="str">
        <f t="shared" si="23"/>
        <v/>
      </c>
    </row>
    <row r="453" spans="1:6" x14ac:dyDescent="0.2">
      <c r="A453" s="18" t="str">
        <f>IF(Productos!A453="","",Productos!A453)</f>
        <v/>
      </c>
      <c r="B453" s="18" t="str">
        <f>IF(Productos!B453="","",Productos!B453)</f>
        <v/>
      </c>
      <c r="C453" s="26" t="str">
        <f>IF(A453="","",Ventas!H453)</f>
        <v/>
      </c>
      <c r="D453" s="26" t="str">
        <f t="shared" si="21"/>
        <v/>
      </c>
      <c r="E453" s="26" t="str">
        <f t="shared" si="22"/>
        <v/>
      </c>
      <c r="F453" s="26" t="str">
        <f t="shared" si="23"/>
        <v/>
      </c>
    </row>
    <row r="454" spans="1:6" x14ac:dyDescent="0.2">
      <c r="A454" s="18" t="str">
        <f>IF(Productos!A454="","",Productos!A454)</f>
        <v/>
      </c>
      <c r="B454" s="18" t="str">
        <f>IF(Productos!B454="","",Productos!B454)</f>
        <v/>
      </c>
      <c r="C454" s="26" t="str">
        <f>IF(A454="","",Ventas!H454)</f>
        <v/>
      </c>
      <c r="D454" s="26" t="str">
        <f t="shared" si="21"/>
        <v/>
      </c>
      <c r="E454" s="26" t="str">
        <f t="shared" si="22"/>
        <v/>
      </c>
      <c r="F454" s="26" t="str">
        <f t="shared" si="23"/>
        <v/>
      </c>
    </row>
    <row r="455" spans="1:6" x14ac:dyDescent="0.2">
      <c r="A455" s="18" t="str">
        <f>IF(Productos!A455="","",Productos!A455)</f>
        <v/>
      </c>
      <c r="B455" s="18" t="str">
        <f>IF(Productos!B455="","",Productos!B455)</f>
        <v/>
      </c>
      <c r="C455" s="26" t="str">
        <f>IF(A455="","",Ventas!H455)</f>
        <v/>
      </c>
      <c r="D455" s="26" t="str">
        <f t="shared" si="21"/>
        <v/>
      </c>
      <c r="E455" s="26" t="str">
        <f t="shared" si="22"/>
        <v/>
      </c>
      <c r="F455" s="26" t="str">
        <f t="shared" si="23"/>
        <v/>
      </c>
    </row>
    <row r="456" spans="1:6" x14ac:dyDescent="0.2">
      <c r="A456" s="18" t="str">
        <f>IF(Productos!A456="","",Productos!A456)</f>
        <v/>
      </c>
      <c r="B456" s="18" t="str">
        <f>IF(Productos!B456="","",Productos!B456)</f>
        <v/>
      </c>
      <c r="C456" s="26" t="str">
        <f>IF(A456="","",Ventas!H456)</f>
        <v/>
      </c>
      <c r="D456" s="26" t="str">
        <f t="shared" si="21"/>
        <v/>
      </c>
      <c r="E456" s="26" t="str">
        <f t="shared" si="22"/>
        <v/>
      </c>
      <c r="F456" s="26" t="str">
        <f t="shared" si="23"/>
        <v/>
      </c>
    </row>
    <row r="457" spans="1:6" x14ac:dyDescent="0.2">
      <c r="A457" s="18" t="str">
        <f>IF(Productos!A457="","",Productos!A457)</f>
        <v/>
      </c>
      <c r="B457" s="18" t="str">
        <f>IF(Productos!B457="","",Productos!B457)</f>
        <v/>
      </c>
      <c r="C457" s="26" t="str">
        <f>IF(A457="","",Ventas!H457)</f>
        <v/>
      </c>
      <c r="D457" s="26" t="str">
        <f t="shared" si="21"/>
        <v/>
      </c>
      <c r="E457" s="26" t="str">
        <f t="shared" si="22"/>
        <v/>
      </c>
      <c r="F457" s="26" t="str">
        <f t="shared" si="23"/>
        <v/>
      </c>
    </row>
    <row r="458" spans="1:6" x14ac:dyDescent="0.2">
      <c r="A458" s="18" t="str">
        <f>IF(Productos!A458="","",Productos!A458)</f>
        <v/>
      </c>
      <c r="B458" s="18" t="str">
        <f>IF(Productos!B458="","",Productos!B458)</f>
        <v/>
      </c>
      <c r="C458" s="26" t="str">
        <f>IF(A458="","",Ventas!H458)</f>
        <v/>
      </c>
      <c r="D458" s="26" t="str">
        <f t="shared" si="21"/>
        <v/>
      </c>
      <c r="E458" s="26" t="str">
        <f t="shared" si="22"/>
        <v/>
      </c>
      <c r="F458" s="26" t="str">
        <f t="shared" si="23"/>
        <v/>
      </c>
    </row>
    <row r="459" spans="1:6" x14ac:dyDescent="0.2">
      <c r="A459" s="18" t="str">
        <f>IF(Productos!A459="","",Productos!A459)</f>
        <v/>
      </c>
      <c r="B459" s="18" t="str">
        <f>IF(Productos!B459="","",Productos!B459)</f>
        <v/>
      </c>
      <c r="C459" s="26" t="str">
        <f>IF(A459="","",Ventas!H459)</f>
        <v/>
      </c>
      <c r="D459" s="26" t="str">
        <f t="shared" si="21"/>
        <v/>
      </c>
      <c r="E459" s="26" t="str">
        <f t="shared" si="22"/>
        <v/>
      </c>
      <c r="F459" s="26" t="str">
        <f t="shared" si="23"/>
        <v/>
      </c>
    </row>
    <row r="460" spans="1:6" x14ac:dyDescent="0.2">
      <c r="A460" s="18" t="str">
        <f>IF(Productos!A460="","",Productos!A460)</f>
        <v/>
      </c>
      <c r="B460" s="18" t="str">
        <f>IF(Productos!B460="","",Productos!B460)</f>
        <v/>
      </c>
      <c r="C460" s="26" t="str">
        <f>IF(A460="","",Ventas!H460)</f>
        <v/>
      </c>
      <c r="D460" s="26" t="str">
        <f t="shared" si="21"/>
        <v/>
      </c>
      <c r="E460" s="26" t="str">
        <f t="shared" si="22"/>
        <v/>
      </c>
      <c r="F460" s="26" t="str">
        <f t="shared" si="23"/>
        <v/>
      </c>
    </row>
    <row r="461" spans="1:6" x14ac:dyDescent="0.2">
      <c r="A461" s="18" t="str">
        <f>IF(Productos!A461="","",Productos!A461)</f>
        <v/>
      </c>
      <c r="B461" s="18" t="str">
        <f>IF(Productos!B461="","",Productos!B461)</f>
        <v/>
      </c>
      <c r="C461" s="26" t="str">
        <f>IF(A461="","",Ventas!H461)</f>
        <v/>
      </c>
      <c r="D461" s="26" t="str">
        <f t="shared" si="21"/>
        <v/>
      </c>
      <c r="E461" s="26" t="str">
        <f t="shared" si="22"/>
        <v/>
      </c>
      <c r="F461" s="26" t="str">
        <f t="shared" si="23"/>
        <v/>
      </c>
    </row>
    <row r="462" spans="1:6" x14ac:dyDescent="0.2">
      <c r="A462" s="18" t="str">
        <f>IF(Productos!A462="","",Productos!A462)</f>
        <v/>
      </c>
      <c r="B462" s="18" t="str">
        <f>IF(Productos!B462="","",Productos!B462)</f>
        <v/>
      </c>
      <c r="C462" s="26" t="str">
        <f>IF(A462="","",Ventas!H462)</f>
        <v/>
      </c>
      <c r="D462" s="26" t="str">
        <f t="shared" si="21"/>
        <v/>
      </c>
      <c r="E462" s="26" t="str">
        <f t="shared" si="22"/>
        <v/>
      </c>
      <c r="F462" s="26" t="str">
        <f t="shared" si="23"/>
        <v/>
      </c>
    </row>
    <row r="463" spans="1:6" x14ac:dyDescent="0.2">
      <c r="A463" s="18" t="str">
        <f>IF(Productos!A463="","",Productos!A463)</f>
        <v/>
      </c>
      <c r="B463" s="18" t="str">
        <f>IF(Productos!B463="","",Productos!B463)</f>
        <v/>
      </c>
      <c r="C463" s="26" t="str">
        <f>IF(A463="","",Ventas!H463)</f>
        <v/>
      </c>
      <c r="D463" s="26" t="str">
        <f t="shared" si="21"/>
        <v/>
      </c>
      <c r="E463" s="26" t="str">
        <f t="shared" si="22"/>
        <v/>
      </c>
      <c r="F463" s="26" t="str">
        <f t="shared" si="23"/>
        <v/>
      </c>
    </row>
    <row r="464" spans="1:6" x14ac:dyDescent="0.2">
      <c r="A464" s="18" t="str">
        <f>IF(Productos!A464="","",Productos!A464)</f>
        <v/>
      </c>
      <c r="B464" s="18" t="str">
        <f>IF(Productos!B464="","",Productos!B464)</f>
        <v/>
      </c>
      <c r="C464" s="26" t="str">
        <f>IF(A464="","",Ventas!H464)</f>
        <v/>
      </c>
      <c r="D464" s="26" t="str">
        <f t="shared" si="21"/>
        <v/>
      </c>
      <c r="E464" s="26" t="str">
        <f t="shared" si="22"/>
        <v/>
      </c>
      <c r="F464" s="26" t="str">
        <f t="shared" si="23"/>
        <v/>
      </c>
    </row>
    <row r="465" spans="1:6" x14ac:dyDescent="0.2">
      <c r="A465" s="18" t="str">
        <f>IF(Productos!A465="","",Productos!A465)</f>
        <v/>
      </c>
      <c r="B465" s="18" t="str">
        <f>IF(Productos!B465="","",Productos!B465)</f>
        <v/>
      </c>
      <c r="C465" s="26" t="str">
        <f>IF(A465="","",Ventas!H465)</f>
        <v/>
      </c>
      <c r="D465" s="26" t="str">
        <f t="shared" si="21"/>
        <v/>
      </c>
      <c r="E465" s="26" t="str">
        <f t="shared" si="22"/>
        <v/>
      </c>
      <c r="F465" s="26" t="str">
        <f t="shared" si="23"/>
        <v/>
      </c>
    </row>
    <row r="466" spans="1:6" x14ac:dyDescent="0.2">
      <c r="A466" s="18" t="str">
        <f>IF(Productos!A466="","",Productos!A466)</f>
        <v/>
      </c>
      <c r="B466" s="18" t="str">
        <f>IF(Productos!B466="","",Productos!B466)</f>
        <v/>
      </c>
      <c r="C466" s="26" t="str">
        <f>IF(A466="","",Ventas!H466)</f>
        <v/>
      </c>
      <c r="D466" s="26" t="str">
        <f t="shared" si="21"/>
        <v/>
      </c>
      <c r="E466" s="26" t="str">
        <f t="shared" si="22"/>
        <v/>
      </c>
      <c r="F466" s="26" t="str">
        <f t="shared" si="23"/>
        <v/>
      </c>
    </row>
    <row r="467" spans="1:6" x14ac:dyDescent="0.2">
      <c r="A467" s="18" t="str">
        <f>IF(Productos!A467="","",Productos!A467)</f>
        <v/>
      </c>
      <c r="B467" s="18" t="str">
        <f>IF(Productos!B467="","",Productos!B467)</f>
        <v/>
      </c>
      <c r="C467" s="26" t="str">
        <f>IF(A467="","",Ventas!H467)</f>
        <v/>
      </c>
      <c r="D467" s="26" t="str">
        <f t="shared" si="21"/>
        <v/>
      </c>
      <c r="E467" s="26" t="str">
        <f t="shared" si="22"/>
        <v/>
      </c>
      <c r="F467" s="26" t="str">
        <f t="shared" si="23"/>
        <v/>
      </c>
    </row>
    <row r="468" spans="1:6" x14ac:dyDescent="0.2">
      <c r="A468" s="18" t="str">
        <f>IF(Productos!A468="","",Productos!A468)</f>
        <v/>
      </c>
      <c r="B468" s="18" t="str">
        <f>IF(Productos!B468="","",Productos!B468)</f>
        <v/>
      </c>
      <c r="C468" s="26" t="str">
        <f>IF(A468="","",Ventas!H468)</f>
        <v/>
      </c>
      <c r="D468" s="26" t="str">
        <f t="shared" si="21"/>
        <v/>
      </c>
      <c r="E468" s="26" t="str">
        <f t="shared" si="22"/>
        <v/>
      </c>
      <c r="F468" s="26" t="str">
        <f t="shared" si="23"/>
        <v/>
      </c>
    </row>
    <row r="469" spans="1:6" x14ac:dyDescent="0.2">
      <c r="A469" s="18" t="str">
        <f>IF(Productos!A469="","",Productos!A469)</f>
        <v/>
      </c>
      <c r="B469" s="18" t="str">
        <f>IF(Productos!B469="","",Productos!B469)</f>
        <v/>
      </c>
      <c r="C469" s="26" t="str">
        <f>IF(A469="","",Ventas!H469)</f>
        <v/>
      </c>
      <c r="D469" s="26" t="str">
        <f t="shared" si="21"/>
        <v/>
      </c>
      <c r="E469" s="26" t="str">
        <f t="shared" si="22"/>
        <v/>
      </c>
      <c r="F469" s="26" t="str">
        <f t="shared" si="23"/>
        <v/>
      </c>
    </row>
    <row r="470" spans="1:6" x14ac:dyDescent="0.2">
      <c r="A470" s="18" t="str">
        <f>IF(Productos!A470="","",Productos!A470)</f>
        <v/>
      </c>
      <c r="B470" s="18" t="str">
        <f>IF(Productos!B470="","",Productos!B470)</f>
        <v/>
      </c>
      <c r="C470" s="26" t="str">
        <f>IF(A470="","",Ventas!H470)</f>
        <v/>
      </c>
      <c r="D470" s="26" t="str">
        <f t="shared" si="21"/>
        <v/>
      </c>
      <c r="E470" s="26" t="str">
        <f t="shared" si="22"/>
        <v/>
      </c>
      <c r="F470" s="26" t="str">
        <f t="shared" si="23"/>
        <v/>
      </c>
    </row>
    <row r="471" spans="1:6" x14ac:dyDescent="0.2">
      <c r="A471" s="18" t="str">
        <f>IF(Productos!A471="","",Productos!A471)</f>
        <v/>
      </c>
      <c r="B471" s="18" t="str">
        <f>IF(Productos!B471="","",Productos!B471)</f>
        <v/>
      </c>
      <c r="C471" s="26" t="str">
        <f>IF(A471="","",Ventas!H471)</f>
        <v/>
      </c>
      <c r="D471" s="26" t="str">
        <f t="shared" si="21"/>
        <v/>
      </c>
      <c r="E471" s="26" t="str">
        <f t="shared" si="22"/>
        <v/>
      </c>
      <c r="F471" s="26" t="str">
        <f t="shared" si="23"/>
        <v/>
      </c>
    </row>
    <row r="472" spans="1:6" x14ac:dyDescent="0.2">
      <c r="A472" s="18" t="str">
        <f>IF(Productos!A472="","",Productos!A472)</f>
        <v/>
      </c>
      <c r="B472" s="18" t="str">
        <f>IF(Productos!B472="","",Productos!B472)</f>
        <v/>
      </c>
      <c r="C472" s="26" t="str">
        <f>IF(A472="","",Ventas!H472)</f>
        <v/>
      </c>
      <c r="D472" s="26" t="str">
        <f t="shared" si="21"/>
        <v/>
      </c>
      <c r="E472" s="26" t="str">
        <f t="shared" si="22"/>
        <v/>
      </c>
      <c r="F472" s="26" t="str">
        <f t="shared" si="23"/>
        <v/>
      </c>
    </row>
    <row r="473" spans="1:6" x14ac:dyDescent="0.2">
      <c r="A473" s="18" t="str">
        <f>IF(Productos!A473="","",Productos!A473)</f>
        <v/>
      </c>
      <c r="B473" s="18" t="str">
        <f>IF(Productos!B473="","",Productos!B473)</f>
        <v/>
      </c>
      <c r="C473" s="26" t="str">
        <f>IF(A473="","",Ventas!H473)</f>
        <v/>
      </c>
      <c r="D473" s="26" t="str">
        <f t="shared" si="21"/>
        <v/>
      </c>
      <c r="E473" s="26" t="str">
        <f t="shared" si="22"/>
        <v/>
      </c>
      <c r="F473" s="26" t="str">
        <f t="shared" si="23"/>
        <v/>
      </c>
    </row>
    <row r="474" spans="1:6" x14ac:dyDescent="0.2">
      <c r="A474" s="18" t="str">
        <f>IF(Productos!A474="","",Productos!A474)</f>
        <v/>
      </c>
      <c r="B474" s="18" t="str">
        <f>IF(Productos!B474="","",Productos!B474)</f>
        <v/>
      </c>
      <c r="C474" s="26" t="str">
        <f>IF(A474="","",Ventas!H474)</f>
        <v/>
      </c>
      <c r="D474" s="26" t="str">
        <f t="shared" si="21"/>
        <v/>
      </c>
      <c r="E474" s="26" t="str">
        <f t="shared" si="22"/>
        <v/>
      </c>
      <c r="F474" s="26" t="str">
        <f t="shared" si="23"/>
        <v/>
      </c>
    </row>
    <row r="475" spans="1:6" x14ac:dyDescent="0.2">
      <c r="A475" s="18" t="str">
        <f>IF(Productos!A475="","",Productos!A475)</f>
        <v/>
      </c>
      <c r="B475" s="18" t="str">
        <f>IF(Productos!B475="","",Productos!B475)</f>
        <v/>
      </c>
      <c r="C475" s="26" t="str">
        <f>IF(A475="","",Ventas!H475)</f>
        <v/>
      </c>
      <c r="D475" s="26" t="str">
        <f t="shared" si="21"/>
        <v/>
      </c>
      <c r="E475" s="26" t="str">
        <f t="shared" si="22"/>
        <v/>
      </c>
      <c r="F475" s="26" t="str">
        <f t="shared" si="23"/>
        <v/>
      </c>
    </row>
    <row r="476" spans="1:6" x14ac:dyDescent="0.2">
      <c r="A476" s="18" t="str">
        <f>IF(Productos!A476="","",Productos!A476)</f>
        <v/>
      </c>
      <c r="B476" s="18" t="str">
        <f>IF(Productos!B476="","",Productos!B476)</f>
        <v/>
      </c>
      <c r="C476" s="26" t="str">
        <f>IF(A476="","",Ventas!H476)</f>
        <v/>
      </c>
      <c r="D476" s="26" t="str">
        <f t="shared" si="21"/>
        <v/>
      </c>
      <c r="E476" s="26" t="str">
        <f t="shared" si="22"/>
        <v/>
      </c>
      <c r="F476" s="26" t="str">
        <f t="shared" si="23"/>
        <v/>
      </c>
    </row>
    <row r="477" spans="1:6" x14ac:dyDescent="0.2">
      <c r="A477" s="18" t="str">
        <f>IF(Productos!A477="","",Productos!A477)</f>
        <v/>
      </c>
      <c r="B477" s="18" t="str">
        <f>IF(Productos!B477="","",Productos!B477)</f>
        <v/>
      </c>
      <c r="C477" s="26" t="str">
        <f>IF(A477="","",Ventas!H477)</f>
        <v/>
      </c>
      <c r="D477" s="26" t="str">
        <f t="shared" si="21"/>
        <v/>
      </c>
      <c r="E477" s="26" t="str">
        <f t="shared" si="22"/>
        <v/>
      </c>
      <c r="F477" s="26" t="str">
        <f t="shared" si="23"/>
        <v/>
      </c>
    </row>
    <row r="478" spans="1:6" x14ac:dyDescent="0.2">
      <c r="A478" s="18" t="str">
        <f>IF(Productos!A478="","",Productos!A478)</f>
        <v/>
      </c>
      <c r="B478" s="18" t="str">
        <f>IF(Productos!B478="","",Productos!B478)</f>
        <v/>
      </c>
      <c r="C478" s="26" t="str">
        <f>IF(A478="","",Ventas!H478)</f>
        <v/>
      </c>
      <c r="D478" s="26" t="str">
        <f t="shared" si="21"/>
        <v/>
      </c>
      <c r="E478" s="26" t="str">
        <f t="shared" si="22"/>
        <v/>
      </c>
      <c r="F478" s="26" t="str">
        <f t="shared" si="23"/>
        <v/>
      </c>
    </row>
    <row r="479" spans="1:6" x14ac:dyDescent="0.2">
      <c r="A479" s="18" t="str">
        <f>IF(Productos!A479="","",Productos!A479)</f>
        <v/>
      </c>
      <c r="B479" s="18" t="str">
        <f>IF(Productos!B479="","",Productos!B479)</f>
        <v/>
      </c>
      <c r="C479" s="26" t="str">
        <f>IF(A479="","",Ventas!H479)</f>
        <v/>
      </c>
      <c r="D479" s="26" t="str">
        <f t="shared" si="21"/>
        <v/>
      </c>
      <c r="E479" s="26" t="str">
        <f t="shared" si="22"/>
        <v/>
      </c>
      <c r="F479" s="26" t="str">
        <f t="shared" si="23"/>
        <v/>
      </c>
    </row>
    <row r="480" spans="1:6" x14ac:dyDescent="0.2">
      <c r="A480" s="18" t="str">
        <f>IF(Productos!A480="","",Productos!A480)</f>
        <v/>
      </c>
      <c r="B480" s="18" t="str">
        <f>IF(Productos!B480="","",Productos!B480)</f>
        <v/>
      </c>
      <c r="C480" s="26" t="str">
        <f>IF(A480="","",Ventas!H480)</f>
        <v/>
      </c>
      <c r="D480" s="26" t="str">
        <f t="shared" si="21"/>
        <v/>
      </c>
      <c r="E480" s="26" t="str">
        <f t="shared" si="22"/>
        <v/>
      </c>
      <c r="F480" s="26" t="str">
        <f t="shared" si="23"/>
        <v/>
      </c>
    </row>
    <row r="481" spans="1:6" x14ac:dyDescent="0.2">
      <c r="A481" s="18" t="str">
        <f>IF(Productos!A481="","",Productos!A481)</f>
        <v/>
      </c>
      <c r="B481" s="18" t="str">
        <f>IF(Productos!B481="","",Productos!B481)</f>
        <v/>
      </c>
      <c r="C481" s="26" t="str">
        <f>IF(A481="","",Ventas!H481)</f>
        <v/>
      </c>
      <c r="D481" s="26" t="str">
        <f t="shared" si="21"/>
        <v/>
      </c>
      <c r="E481" s="26" t="str">
        <f t="shared" si="22"/>
        <v/>
      </c>
      <c r="F481" s="26" t="str">
        <f t="shared" si="23"/>
        <v/>
      </c>
    </row>
    <row r="482" spans="1:6" x14ac:dyDescent="0.2">
      <c r="A482" s="18" t="str">
        <f>IF(Productos!A482="","",Productos!A482)</f>
        <v/>
      </c>
      <c r="B482" s="18" t="str">
        <f>IF(Productos!B482="","",Productos!B482)</f>
        <v/>
      </c>
      <c r="C482" s="26" t="str">
        <f>IF(A482="","",Ventas!H482)</f>
        <v/>
      </c>
      <c r="D482" s="26" t="str">
        <f t="shared" si="21"/>
        <v/>
      </c>
      <c r="E482" s="26" t="str">
        <f t="shared" si="22"/>
        <v/>
      </c>
      <c r="F482" s="26" t="str">
        <f t="shared" si="23"/>
        <v/>
      </c>
    </row>
    <row r="483" spans="1:6" x14ac:dyDescent="0.2">
      <c r="A483" s="18" t="str">
        <f>IF(Productos!A483="","",Productos!A483)</f>
        <v/>
      </c>
      <c r="B483" s="18" t="str">
        <f>IF(Productos!B483="","",Productos!B483)</f>
        <v/>
      </c>
      <c r="C483" s="26" t="str">
        <f>IF(A483="","",Ventas!H483)</f>
        <v/>
      </c>
      <c r="D483" s="26" t="str">
        <f t="shared" si="21"/>
        <v/>
      </c>
      <c r="E483" s="26" t="str">
        <f t="shared" si="22"/>
        <v/>
      </c>
      <c r="F483" s="26" t="str">
        <f t="shared" si="23"/>
        <v/>
      </c>
    </row>
    <row r="484" spans="1:6" x14ac:dyDescent="0.2">
      <c r="A484" s="18" t="str">
        <f>IF(Productos!A484="","",Productos!A484)</f>
        <v/>
      </c>
      <c r="B484" s="18" t="str">
        <f>IF(Productos!B484="","",Productos!B484)</f>
        <v/>
      </c>
      <c r="C484" s="26" t="str">
        <f>IF(A484="","",Ventas!H484)</f>
        <v/>
      </c>
      <c r="D484" s="26" t="str">
        <f t="shared" si="21"/>
        <v/>
      </c>
      <c r="E484" s="26" t="str">
        <f t="shared" si="22"/>
        <v/>
      </c>
      <c r="F484" s="26" t="str">
        <f t="shared" si="23"/>
        <v/>
      </c>
    </row>
    <row r="485" spans="1:6" x14ac:dyDescent="0.2">
      <c r="A485" s="18" t="str">
        <f>IF(Productos!A485="","",Productos!A485)</f>
        <v/>
      </c>
      <c r="B485" s="18" t="str">
        <f>IF(Productos!B485="","",Productos!B485)</f>
        <v/>
      </c>
      <c r="C485" s="26" t="str">
        <f>IF(A485="","",Ventas!H485)</f>
        <v/>
      </c>
      <c r="D485" s="26" t="str">
        <f t="shared" si="21"/>
        <v/>
      </c>
      <c r="E485" s="26" t="str">
        <f t="shared" si="22"/>
        <v/>
      </c>
      <c r="F485" s="26" t="str">
        <f t="shared" si="23"/>
        <v/>
      </c>
    </row>
    <row r="486" spans="1:6" x14ac:dyDescent="0.2">
      <c r="A486" s="18" t="str">
        <f>IF(Productos!A486="","",Productos!A486)</f>
        <v/>
      </c>
      <c r="B486" s="18" t="str">
        <f>IF(Productos!B486="","",Productos!B486)</f>
        <v/>
      </c>
      <c r="C486" s="26" t="str">
        <f>IF(A486="","",Ventas!H486)</f>
        <v/>
      </c>
      <c r="D486" s="26" t="str">
        <f t="shared" si="21"/>
        <v/>
      </c>
      <c r="E486" s="26" t="str">
        <f t="shared" si="22"/>
        <v/>
      </c>
      <c r="F486" s="26" t="str">
        <f t="shared" si="23"/>
        <v/>
      </c>
    </row>
    <row r="487" spans="1:6" x14ac:dyDescent="0.2">
      <c r="A487" s="18" t="str">
        <f>IF(Productos!A487="","",Productos!A487)</f>
        <v/>
      </c>
      <c r="B487" s="18" t="str">
        <f>IF(Productos!B487="","",Productos!B487)</f>
        <v/>
      </c>
      <c r="C487" s="26" t="str">
        <f>IF(A487="","",Ventas!H487)</f>
        <v/>
      </c>
      <c r="D487" s="26" t="str">
        <f t="shared" si="21"/>
        <v/>
      </c>
      <c r="E487" s="26" t="str">
        <f t="shared" si="22"/>
        <v/>
      </c>
      <c r="F487" s="26" t="str">
        <f t="shared" si="23"/>
        <v/>
      </c>
    </row>
    <row r="488" spans="1:6" x14ac:dyDescent="0.2">
      <c r="A488" s="18" t="str">
        <f>IF(Productos!A488="","",Productos!A488)</f>
        <v/>
      </c>
      <c r="B488" s="18" t="str">
        <f>IF(Productos!B488="","",Productos!B488)</f>
        <v/>
      </c>
      <c r="C488" s="26" t="str">
        <f>IF(A488="","",Ventas!H488)</f>
        <v/>
      </c>
      <c r="D488" s="26" t="str">
        <f t="shared" si="21"/>
        <v/>
      </c>
      <c r="E488" s="26" t="str">
        <f t="shared" si="22"/>
        <v/>
      </c>
      <c r="F488" s="26" t="str">
        <f t="shared" si="23"/>
        <v/>
      </c>
    </row>
    <row r="489" spans="1:6" x14ac:dyDescent="0.2">
      <c r="A489" s="18" t="str">
        <f>IF(Productos!A489="","",Productos!A489)</f>
        <v/>
      </c>
      <c r="B489" s="18" t="str">
        <f>IF(Productos!B489="","",Productos!B489)</f>
        <v/>
      </c>
      <c r="C489" s="26" t="str">
        <f>IF(A489="","",Ventas!H489)</f>
        <v/>
      </c>
      <c r="D489" s="26" t="str">
        <f t="shared" si="21"/>
        <v/>
      </c>
      <c r="E489" s="26" t="str">
        <f t="shared" si="22"/>
        <v/>
      </c>
      <c r="F489" s="26" t="str">
        <f t="shared" si="23"/>
        <v/>
      </c>
    </row>
    <row r="490" spans="1:6" x14ac:dyDescent="0.2">
      <c r="A490" s="18" t="str">
        <f>IF(Productos!A490="","",Productos!A490)</f>
        <v/>
      </c>
      <c r="B490" s="18" t="str">
        <f>IF(Productos!B490="","",Productos!B490)</f>
        <v/>
      </c>
      <c r="C490" s="26" t="str">
        <f>IF(A490="","",Ventas!H490)</f>
        <v/>
      </c>
      <c r="D490" s="26" t="str">
        <f t="shared" si="21"/>
        <v/>
      </c>
      <c r="E490" s="26" t="str">
        <f t="shared" si="22"/>
        <v/>
      </c>
      <c r="F490" s="26" t="str">
        <f t="shared" si="23"/>
        <v/>
      </c>
    </row>
    <row r="491" spans="1:6" x14ac:dyDescent="0.2">
      <c r="A491" s="18" t="str">
        <f>IF(Productos!A491="","",Productos!A491)</f>
        <v/>
      </c>
      <c r="B491" s="18" t="str">
        <f>IF(Productos!B491="","",Productos!B491)</f>
        <v/>
      </c>
      <c r="C491" s="26" t="str">
        <f>IF(A491="","",Ventas!H491)</f>
        <v/>
      </c>
      <c r="D491" s="26" t="str">
        <f t="shared" si="21"/>
        <v/>
      </c>
      <c r="E491" s="26" t="str">
        <f t="shared" si="22"/>
        <v/>
      </c>
      <c r="F491" s="26" t="str">
        <f t="shared" si="23"/>
        <v/>
      </c>
    </row>
    <row r="492" spans="1:6" x14ac:dyDescent="0.2">
      <c r="A492" s="18" t="str">
        <f>IF(Productos!A492="","",Productos!A492)</f>
        <v/>
      </c>
      <c r="B492" s="18" t="str">
        <f>IF(Productos!B492="","",Productos!B492)</f>
        <v/>
      </c>
      <c r="C492" s="26" t="str">
        <f>IF(A492="","",Ventas!H492)</f>
        <v/>
      </c>
      <c r="D492" s="26" t="str">
        <f t="shared" si="21"/>
        <v/>
      </c>
      <c r="E492" s="26" t="str">
        <f t="shared" si="22"/>
        <v/>
      </c>
      <c r="F492" s="26" t="str">
        <f t="shared" si="23"/>
        <v/>
      </c>
    </row>
    <row r="493" spans="1:6" x14ac:dyDescent="0.2">
      <c r="A493" s="18" t="str">
        <f>IF(Productos!A493="","",Productos!A493)</f>
        <v/>
      </c>
      <c r="B493" s="18" t="str">
        <f>IF(Productos!B493="","",Productos!B493)</f>
        <v/>
      </c>
      <c r="C493" s="26" t="str">
        <f>IF(A493="","",Ventas!H493)</f>
        <v/>
      </c>
      <c r="D493" s="26" t="str">
        <f t="shared" si="21"/>
        <v/>
      </c>
      <c r="E493" s="26" t="str">
        <f t="shared" si="22"/>
        <v/>
      </c>
      <c r="F493" s="26" t="str">
        <f t="shared" si="23"/>
        <v/>
      </c>
    </row>
    <row r="494" spans="1:6" x14ac:dyDescent="0.2">
      <c r="A494" s="18" t="str">
        <f>IF(Productos!A494="","",Productos!A494)</f>
        <v/>
      </c>
      <c r="B494" s="18" t="str">
        <f>IF(Productos!B494="","",Productos!B494)</f>
        <v/>
      </c>
      <c r="C494" s="26" t="str">
        <f>IF(A494="","",Ventas!H494)</f>
        <v/>
      </c>
      <c r="D494" s="26" t="str">
        <f t="shared" si="21"/>
        <v/>
      </c>
      <c r="E494" s="26" t="str">
        <f t="shared" si="22"/>
        <v/>
      </c>
      <c r="F494" s="26" t="str">
        <f t="shared" si="23"/>
        <v/>
      </c>
    </row>
    <row r="495" spans="1:6" x14ac:dyDescent="0.2">
      <c r="A495" s="18" t="str">
        <f>IF(Productos!A495="","",Productos!A495)</f>
        <v/>
      </c>
      <c r="B495" s="18" t="str">
        <f>IF(Productos!B495="","",Productos!B495)</f>
        <v/>
      </c>
      <c r="C495" s="26" t="str">
        <f>IF(A495="","",Ventas!H495)</f>
        <v/>
      </c>
      <c r="D495" s="26" t="str">
        <f t="shared" si="21"/>
        <v/>
      </c>
      <c r="E495" s="26" t="str">
        <f t="shared" si="22"/>
        <v/>
      </c>
      <c r="F495" s="26" t="str">
        <f t="shared" si="23"/>
        <v/>
      </c>
    </row>
    <row r="496" spans="1:6" x14ac:dyDescent="0.2">
      <c r="A496" s="18" t="str">
        <f>IF(Productos!A496="","",Productos!A496)</f>
        <v/>
      </c>
      <c r="B496" s="18" t="str">
        <f>IF(Productos!B496="","",Productos!B496)</f>
        <v/>
      </c>
      <c r="C496" s="26" t="str">
        <f>IF(A496="","",Ventas!H496)</f>
        <v/>
      </c>
      <c r="D496" s="26" t="str">
        <f t="shared" si="21"/>
        <v/>
      </c>
      <c r="E496" s="26" t="str">
        <f t="shared" si="22"/>
        <v/>
      </c>
      <c r="F496" s="26" t="str">
        <f t="shared" si="23"/>
        <v/>
      </c>
    </row>
    <row r="497" spans="1:6" x14ac:dyDescent="0.2">
      <c r="A497" s="18" t="str">
        <f>IF(Productos!A497="","",Productos!A497)</f>
        <v/>
      </c>
      <c r="B497" s="18" t="str">
        <f>IF(Productos!B497="","",Productos!B497)</f>
        <v/>
      </c>
      <c r="C497" s="26" t="str">
        <f>IF(A497="","",Ventas!H497)</f>
        <v/>
      </c>
      <c r="D497" s="26" t="str">
        <f t="shared" si="21"/>
        <v/>
      </c>
      <c r="E497" s="26" t="str">
        <f t="shared" si="22"/>
        <v/>
      </c>
      <c r="F497" s="26" t="str">
        <f t="shared" si="23"/>
        <v/>
      </c>
    </row>
    <row r="498" spans="1:6" x14ac:dyDescent="0.2">
      <c r="A498" s="18" t="str">
        <f>IF(Productos!A498="","",Productos!A498)</f>
        <v/>
      </c>
      <c r="B498" s="18" t="str">
        <f>IF(Productos!B498="","",Productos!B498)</f>
        <v/>
      </c>
      <c r="C498" s="26" t="str">
        <f>IF(A498="","",Ventas!H498)</f>
        <v/>
      </c>
      <c r="D498" s="26" t="str">
        <f t="shared" si="21"/>
        <v/>
      </c>
      <c r="E498" s="26" t="str">
        <f t="shared" si="22"/>
        <v/>
      </c>
      <c r="F498" s="26" t="str">
        <f t="shared" si="23"/>
        <v/>
      </c>
    </row>
    <row r="499" spans="1:6" x14ac:dyDescent="0.2">
      <c r="A499" s="18" t="str">
        <f>IF(Productos!A499="","",Productos!A499)</f>
        <v/>
      </c>
      <c r="B499" s="18" t="str">
        <f>IF(Productos!B499="","",Productos!B499)</f>
        <v/>
      </c>
      <c r="C499" s="26" t="str">
        <f>IF(A499="","",Ventas!H499)</f>
        <v/>
      </c>
      <c r="D499" s="26" t="str">
        <f t="shared" si="21"/>
        <v/>
      </c>
      <c r="E499" s="26" t="str">
        <f t="shared" si="22"/>
        <v/>
      </c>
      <c r="F499" s="26" t="str">
        <f t="shared" si="23"/>
        <v/>
      </c>
    </row>
    <row r="500" spans="1:6" x14ac:dyDescent="0.2">
      <c r="A500" s="18" t="str">
        <f>IF(Productos!A500="","",Productos!A500)</f>
        <v/>
      </c>
      <c r="B500" s="18" t="str">
        <f>IF(Productos!B500="","",Productos!B500)</f>
        <v/>
      </c>
      <c r="C500" s="26" t="str">
        <f>IF(A500="","",Ventas!H500)</f>
        <v/>
      </c>
      <c r="D500" s="26" t="str">
        <f t="shared" si="21"/>
        <v/>
      </c>
      <c r="E500" s="26" t="str">
        <f t="shared" si="22"/>
        <v/>
      </c>
      <c r="F500" s="26" t="str">
        <f t="shared" si="23"/>
        <v/>
      </c>
    </row>
    <row r="501" spans="1:6" x14ac:dyDescent="0.2">
      <c r="A501" s="18" t="str">
        <f>IF(Productos!A501="","",Productos!A501)</f>
        <v/>
      </c>
      <c r="B501" s="18" t="str">
        <f>IF(Productos!B501="","",Productos!B501)</f>
        <v/>
      </c>
      <c r="C501" s="26" t="str">
        <f>IF(A501="","",Ventas!H501)</f>
        <v/>
      </c>
      <c r="D501" s="26" t="str">
        <f t="shared" si="21"/>
        <v/>
      </c>
      <c r="E501" s="26" t="str">
        <f t="shared" si="22"/>
        <v/>
      </c>
      <c r="F501" s="26" t="str">
        <f t="shared" si="23"/>
        <v/>
      </c>
    </row>
    <row r="503" spans="1:6" x14ac:dyDescent="0.2">
      <c r="A503" s="18" t="str">
        <f>IF(Productos!A503="","",Productos!A503)</f>
        <v/>
      </c>
      <c r="B503" s="18" t="str">
        <f>IF(Productos!B503="","",Productos!B503)</f>
        <v/>
      </c>
      <c r="C503" s="26" t="str">
        <f>IF(A503="","",Ventas!H503)</f>
        <v/>
      </c>
      <c r="D503" s="26" t="str">
        <f t="shared" si="21"/>
        <v/>
      </c>
      <c r="E503" s="26" t="str">
        <f t="shared" si="22"/>
        <v/>
      </c>
      <c r="F503" s="26" t="str">
        <f t="shared" si="23"/>
        <v/>
      </c>
    </row>
    <row r="504" spans="1:6" x14ac:dyDescent="0.2">
      <c r="A504" s="18" t="str">
        <f>IF(Productos!A504="","",Productos!A504)</f>
        <v/>
      </c>
      <c r="B504" s="18" t="str">
        <f>IF(Productos!B504="","",Productos!B504)</f>
        <v/>
      </c>
      <c r="C504" s="26" t="str">
        <f>IF(A504="","",Ventas!H504)</f>
        <v/>
      </c>
      <c r="D504" s="26" t="str">
        <f t="shared" si="21"/>
        <v/>
      </c>
      <c r="E504" s="26" t="str">
        <f t="shared" si="22"/>
        <v/>
      </c>
      <c r="F504" s="26" t="str">
        <f t="shared" si="23"/>
        <v/>
      </c>
    </row>
    <row r="505" spans="1:6" x14ac:dyDescent="0.2">
      <c r="A505" s="18" t="str">
        <f>IF(Productos!A505="","",Productos!A505)</f>
        <v/>
      </c>
      <c r="B505" s="18" t="str">
        <f>IF(Productos!B505="","",Productos!B505)</f>
        <v/>
      </c>
      <c r="C505" s="26" t="str">
        <f>IF(A505="","",Ventas!H505)</f>
        <v/>
      </c>
      <c r="D505" s="26" t="str">
        <f t="shared" si="21"/>
        <v/>
      </c>
      <c r="E505" s="26" t="str">
        <f t="shared" si="22"/>
        <v/>
      </c>
      <c r="F505" s="26" t="str">
        <f t="shared" si="23"/>
        <v/>
      </c>
    </row>
    <row r="506" spans="1:6" x14ac:dyDescent="0.2">
      <c r="A506" s="18" t="str">
        <f>IF(Productos!A506="","",Productos!A506)</f>
        <v/>
      </c>
      <c r="B506" s="18" t="str">
        <f>IF(Productos!B506="","",Productos!B506)</f>
        <v/>
      </c>
      <c r="C506" s="26" t="str">
        <f>IF(A506="","",Ventas!H506)</f>
        <v/>
      </c>
      <c r="D506" s="26" t="str">
        <f t="shared" si="21"/>
        <v/>
      </c>
      <c r="E506" s="26" t="str">
        <f t="shared" si="22"/>
        <v/>
      </c>
      <c r="F506" s="26" t="str">
        <f t="shared" si="23"/>
        <v/>
      </c>
    </row>
    <row r="507" spans="1:6" x14ac:dyDescent="0.2">
      <c r="A507" s="18" t="str">
        <f>IF(Productos!A507="","",Productos!A507)</f>
        <v/>
      </c>
      <c r="B507" s="18" t="str">
        <f>IF(Productos!B507="","",Productos!B507)</f>
        <v/>
      </c>
      <c r="C507" s="26" t="str">
        <f>IF(A507="","",Ventas!H507)</f>
        <v/>
      </c>
      <c r="D507" s="26" t="str">
        <f t="shared" si="21"/>
        <v/>
      </c>
      <c r="E507" s="26" t="str">
        <f t="shared" si="22"/>
        <v/>
      </c>
      <c r="F507" s="26" t="str">
        <f t="shared" si="23"/>
        <v/>
      </c>
    </row>
    <row r="508" spans="1:6" x14ac:dyDescent="0.2">
      <c r="A508" s="18" t="str">
        <f>IF(Productos!A508="","",Productos!A508)</f>
        <v/>
      </c>
      <c r="B508" s="18" t="str">
        <f>IF(Productos!B508="","",Productos!B508)</f>
        <v/>
      </c>
      <c r="C508" s="26" t="str">
        <f>IF(A508="","",Ventas!H508)</f>
        <v/>
      </c>
      <c r="D508" s="26" t="str">
        <f t="shared" si="21"/>
        <v/>
      </c>
      <c r="E508" s="26" t="str">
        <f t="shared" si="22"/>
        <v/>
      </c>
      <c r="F508" s="26" t="str">
        <f t="shared" si="23"/>
        <v/>
      </c>
    </row>
    <row r="509" spans="1:6" x14ac:dyDescent="0.2">
      <c r="A509" s="18" t="str">
        <f>IF(Productos!A509="","",Productos!A509)</f>
        <v/>
      </c>
      <c r="B509" s="18" t="str">
        <f>IF(Productos!B509="","",Productos!B509)</f>
        <v/>
      </c>
      <c r="C509" s="26" t="str">
        <f>IF(A509="","",Ventas!H509)</f>
        <v/>
      </c>
      <c r="D509" s="26" t="str">
        <f t="shared" si="21"/>
        <v/>
      </c>
      <c r="E509" s="26" t="str">
        <f t="shared" si="22"/>
        <v/>
      </c>
      <c r="F509" s="26" t="str">
        <f t="shared" si="23"/>
        <v/>
      </c>
    </row>
    <row r="510" spans="1:6" x14ac:dyDescent="0.2">
      <c r="A510" s="18" t="str">
        <f>IF(Productos!A510="","",Productos!A510)</f>
        <v/>
      </c>
      <c r="B510" s="18" t="str">
        <f>IF(Productos!B510="","",Productos!B510)</f>
        <v/>
      </c>
      <c r="C510" s="26" t="str">
        <f>IF(A510="","",Ventas!H510)</f>
        <v/>
      </c>
      <c r="D510" s="26" t="str">
        <f t="shared" si="21"/>
        <v/>
      </c>
      <c r="E510" s="26" t="str">
        <f t="shared" si="22"/>
        <v/>
      </c>
      <c r="F510" s="26" t="str">
        <f t="shared" si="23"/>
        <v/>
      </c>
    </row>
    <row r="511" spans="1:6" x14ac:dyDescent="0.2">
      <c r="A511" s="18" t="str">
        <f>IF(Productos!A511="","",Productos!A511)</f>
        <v/>
      </c>
      <c r="B511" s="18" t="str">
        <f>IF(Productos!B511="","",Productos!B511)</f>
        <v/>
      </c>
      <c r="C511" s="26" t="str">
        <f>IF(A511="","",Ventas!H511)</f>
        <v/>
      </c>
      <c r="D511" s="26" t="str">
        <f t="shared" si="21"/>
        <v/>
      </c>
      <c r="E511" s="26" t="str">
        <f t="shared" si="22"/>
        <v/>
      </c>
      <c r="F511" s="26" t="str">
        <f t="shared" si="23"/>
        <v/>
      </c>
    </row>
    <row r="512" spans="1:6" x14ac:dyDescent="0.2">
      <c r="A512" s="18" t="str">
        <f>IF(Productos!A512="","",Productos!A512)</f>
        <v/>
      </c>
      <c r="B512" s="18" t="str">
        <f>IF(Productos!B512="","",Productos!B512)</f>
        <v/>
      </c>
      <c r="C512" s="26" t="str">
        <f>IF(A512="","",Ventas!H512)</f>
        <v/>
      </c>
      <c r="D512" s="26" t="str">
        <f t="shared" si="21"/>
        <v/>
      </c>
      <c r="E512" s="26" t="str">
        <f t="shared" si="22"/>
        <v/>
      </c>
      <c r="F512" s="26" t="str">
        <f t="shared" si="23"/>
        <v/>
      </c>
    </row>
    <row r="513" spans="1:6" x14ac:dyDescent="0.2">
      <c r="A513" s="18" t="str">
        <f>IF(Productos!A513="","",Productos!A513)</f>
        <v/>
      </c>
      <c r="B513" s="18" t="str">
        <f>IF(Productos!B513="","",Productos!B513)</f>
        <v/>
      </c>
      <c r="C513" s="26" t="str">
        <f>IF(A513="","",Ventas!H513)</f>
        <v/>
      </c>
      <c r="D513" s="26" t="str">
        <f t="shared" si="21"/>
        <v/>
      </c>
      <c r="E513" s="26" t="str">
        <f t="shared" si="22"/>
        <v/>
      </c>
      <c r="F513" s="26" t="str">
        <f t="shared" si="23"/>
        <v/>
      </c>
    </row>
    <row r="514" spans="1:6" x14ac:dyDescent="0.2">
      <c r="A514" s="18" t="str">
        <f>IF(Productos!A514="","",Productos!A514)</f>
        <v/>
      </c>
      <c r="B514" s="18" t="str">
        <f>IF(Productos!B514="","",Productos!B514)</f>
        <v/>
      </c>
      <c r="C514" s="26" t="str">
        <f>IF(A514="","",Ventas!H514)</f>
        <v/>
      </c>
      <c r="D514" s="26" t="str">
        <f t="shared" si="21"/>
        <v/>
      </c>
      <c r="E514" s="26" t="str">
        <f t="shared" si="22"/>
        <v/>
      </c>
      <c r="F514" s="26" t="str">
        <f t="shared" si="23"/>
        <v/>
      </c>
    </row>
    <row r="515" spans="1:6" x14ac:dyDescent="0.2">
      <c r="A515" s="18" t="str">
        <f>IF(Productos!A515="","",Productos!A515)</f>
        <v/>
      </c>
      <c r="B515" s="18" t="str">
        <f>IF(Productos!B515="","",Productos!B515)</f>
        <v/>
      </c>
      <c r="C515" s="26" t="str">
        <f>IF(A515="","",Ventas!H515)</f>
        <v/>
      </c>
      <c r="D515" s="26" t="str">
        <f t="shared" ref="D515:D578" si="24">IF(A515="","",ROUND(C515/3,2))</f>
        <v/>
      </c>
      <c r="E515" s="26" t="str">
        <f t="shared" ref="E515:E578" si="25">IF(A515="","",ROUND(C515/3,2))</f>
        <v/>
      </c>
      <c r="F515" s="26" t="str">
        <f t="shared" ref="F515:F578" si="26">IF(A515="","",C515-D515-E515)</f>
        <v/>
      </c>
    </row>
    <row r="516" spans="1:6" x14ac:dyDescent="0.2">
      <c r="A516" s="18" t="str">
        <f>IF(Productos!A516="","",Productos!A516)</f>
        <v/>
      </c>
      <c r="B516" s="18" t="str">
        <f>IF(Productos!B516="","",Productos!B516)</f>
        <v/>
      </c>
      <c r="C516" s="26" t="str">
        <f>IF(A516="","",Ventas!H516)</f>
        <v/>
      </c>
      <c r="D516" s="26" t="str">
        <f t="shared" si="24"/>
        <v/>
      </c>
      <c r="E516" s="26" t="str">
        <f t="shared" si="25"/>
        <v/>
      </c>
      <c r="F516" s="26" t="str">
        <f t="shared" si="26"/>
        <v/>
      </c>
    </row>
    <row r="517" spans="1:6" x14ac:dyDescent="0.2">
      <c r="A517" s="18" t="str">
        <f>IF(Productos!A517="","",Productos!A517)</f>
        <v/>
      </c>
      <c r="B517" s="18" t="str">
        <f>IF(Productos!B517="","",Productos!B517)</f>
        <v/>
      </c>
      <c r="C517" s="26" t="str">
        <f>IF(A517="","",Ventas!H517)</f>
        <v/>
      </c>
      <c r="D517" s="26" t="str">
        <f t="shared" si="24"/>
        <v/>
      </c>
      <c r="E517" s="26" t="str">
        <f t="shared" si="25"/>
        <v/>
      </c>
      <c r="F517" s="26" t="str">
        <f t="shared" si="26"/>
        <v/>
      </c>
    </row>
    <row r="518" spans="1:6" x14ac:dyDescent="0.2">
      <c r="A518" s="18" t="str">
        <f>IF(Productos!A518="","",Productos!A518)</f>
        <v/>
      </c>
      <c r="B518" s="18" t="str">
        <f>IF(Productos!B518="","",Productos!B518)</f>
        <v/>
      </c>
      <c r="C518" s="26" t="str">
        <f>IF(A518="","",Ventas!H518)</f>
        <v/>
      </c>
      <c r="D518" s="26" t="str">
        <f t="shared" si="24"/>
        <v/>
      </c>
      <c r="E518" s="26" t="str">
        <f t="shared" si="25"/>
        <v/>
      </c>
      <c r="F518" s="26" t="str">
        <f t="shared" si="26"/>
        <v/>
      </c>
    </row>
    <row r="519" spans="1:6" x14ac:dyDescent="0.2">
      <c r="A519" s="18" t="str">
        <f>IF(Productos!A519="","",Productos!A519)</f>
        <v/>
      </c>
      <c r="B519" s="18" t="str">
        <f>IF(Productos!B519="","",Productos!B519)</f>
        <v/>
      </c>
      <c r="C519" s="26" t="str">
        <f>IF(A519="","",Ventas!H519)</f>
        <v/>
      </c>
      <c r="D519" s="26" t="str">
        <f t="shared" si="24"/>
        <v/>
      </c>
      <c r="E519" s="26" t="str">
        <f t="shared" si="25"/>
        <v/>
      </c>
      <c r="F519" s="26" t="str">
        <f t="shared" si="26"/>
        <v/>
      </c>
    </row>
    <row r="520" spans="1:6" x14ac:dyDescent="0.2">
      <c r="A520" s="18" t="str">
        <f>IF(Productos!A520="","",Productos!A520)</f>
        <v/>
      </c>
      <c r="B520" s="18" t="str">
        <f>IF(Productos!B520="","",Productos!B520)</f>
        <v/>
      </c>
      <c r="C520" s="26" t="str">
        <f>IF(A520="","",Ventas!H520)</f>
        <v/>
      </c>
      <c r="D520" s="26" t="str">
        <f t="shared" si="24"/>
        <v/>
      </c>
      <c r="E520" s="26" t="str">
        <f t="shared" si="25"/>
        <v/>
      </c>
      <c r="F520" s="26" t="str">
        <f t="shared" si="26"/>
        <v/>
      </c>
    </row>
    <row r="521" spans="1:6" x14ac:dyDescent="0.2">
      <c r="A521" s="18" t="str">
        <f>IF(Productos!A521="","",Productos!A521)</f>
        <v/>
      </c>
      <c r="B521" s="18" t="str">
        <f>IF(Productos!B521="","",Productos!B521)</f>
        <v/>
      </c>
      <c r="C521" s="26" t="str">
        <f>IF(A521="","",Ventas!H521)</f>
        <v/>
      </c>
      <c r="D521" s="26" t="str">
        <f t="shared" si="24"/>
        <v/>
      </c>
      <c r="E521" s="26" t="str">
        <f t="shared" si="25"/>
        <v/>
      </c>
      <c r="F521" s="26" t="str">
        <f t="shared" si="26"/>
        <v/>
      </c>
    </row>
    <row r="522" spans="1:6" x14ac:dyDescent="0.2">
      <c r="A522" s="18" t="str">
        <f>IF(Productos!A522="","",Productos!A522)</f>
        <v/>
      </c>
      <c r="B522" s="18" t="str">
        <f>IF(Productos!B522="","",Productos!B522)</f>
        <v/>
      </c>
      <c r="C522" s="26" t="str">
        <f>IF(A522="","",Ventas!H522)</f>
        <v/>
      </c>
      <c r="D522" s="26" t="str">
        <f t="shared" si="24"/>
        <v/>
      </c>
      <c r="E522" s="26" t="str">
        <f t="shared" si="25"/>
        <v/>
      </c>
      <c r="F522" s="26" t="str">
        <f t="shared" si="26"/>
        <v/>
      </c>
    </row>
    <row r="523" spans="1:6" x14ac:dyDescent="0.2">
      <c r="A523" s="18" t="str">
        <f>IF(Productos!A523="","",Productos!A523)</f>
        <v/>
      </c>
      <c r="B523" s="18" t="str">
        <f>IF(Productos!B523="","",Productos!B523)</f>
        <v/>
      </c>
      <c r="C523" s="26" t="str">
        <f>IF(A523="","",Ventas!H523)</f>
        <v/>
      </c>
      <c r="D523" s="26" t="str">
        <f t="shared" si="24"/>
        <v/>
      </c>
      <c r="E523" s="26" t="str">
        <f t="shared" si="25"/>
        <v/>
      </c>
      <c r="F523" s="26" t="str">
        <f t="shared" si="26"/>
        <v/>
      </c>
    </row>
    <row r="524" spans="1:6" x14ac:dyDescent="0.2">
      <c r="A524" s="18" t="str">
        <f>IF(Productos!A524="","",Productos!A524)</f>
        <v/>
      </c>
      <c r="B524" s="18" t="str">
        <f>IF(Productos!B524="","",Productos!B524)</f>
        <v/>
      </c>
      <c r="C524" s="26" t="str">
        <f>IF(A524="","",Ventas!H524)</f>
        <v/>
      </c>
      <c r="D524" s="26" t="str">
        <f t="shared" si="24"/>
        <v/>
      </c>
      <c r="E524" s="26" t="str">
        <f t="shared" si="25"/>
        <v/>
      </c>
      <c r="F524" s="26" t="str">
        <f t="shared" si="26"/>
        <v/>
      </c>
    </row>
    <row r="525" spans="1:6" x14ac:dyDescent="0.2">
      <c r="A525" s="18" t="str">
        <f>IF(Productos!A525="","",Productos!A525)</f>
        <v/>
      </c>
      <c r="B525" s="18" t="str">
        <f>IF(Productos!B525="","",Productos!B525)</f>
        <v/>
      </c>
      <c r="C525" s="26" t="str">
        <f>IF(A525="","",Ventas!H525)</f>
        <v/>
      </c>
      <c r="D525" s="26" t="str">
        <f t="shared" si="24"/>
        <v/>
      </c>
      <c r="E525" s="26" t="str">
        <f t="shared" si="25"/>
        <v/>
      </c>
      <c r="F525" s="26" t="str">
        <f t="shared" si="26"/>
        <v/>
      </c>
    </row>
    <row r="526" spans="1:6" x14ac:dyDescent="0.2">
      <c r="A526" s="18" t="str">
        <f>IF(Productos!A526="","",Productos!A526)</f>
        <v/>
      </c>
      <c r="B526" s="18" t="str">
        <f>IF(Productos!B526="","",Productos!B526)</f>
        <v/>
      </c>
      <c r="C526" s="26" t="str">
        <f>IF(A526="","",Ventas!H526)</f>
        <v/>
      </c>
      <c r="D526" s="26" t="str">
        <f t="shared" si="24"/>
        <v/>
      </c>
      <c r="E526" s="26" t="str">
        <f t="shared" si="25"/>
        <v/>
      </c>
      <c r="F526" s="26" t="str">
        <f t="shared" si="26"/>
        <v/>
      </c>
    </row>
    <row r="527" spans="1:6" x14ac:dyDescent="0.2">
      <c r="A527" s="18" t="str">
        <f>IF(Productos!A527="","",Productos!A527)</f>
        <v/>
      </c>
      <c r="B527" s="18" t="str">
        <f>IF(Productos!B527="","",Productos!B527)</f>
        <v/>
      </c>
      <c r="C527" s="26" t="str">
        <f>IF(A527="","",Ventas!H527)</f>
        <v/>
      </c>
      <c r="D527" s="26" t="str">
        <f t="shared" si="24"/>
        <v/>
      </c>
      <c r="E527" s="26" t="str">
        <f t="shared" si="25"/>
        <v/>
      </c>
      <c r="F527" s="26" t="str">
        <f t="shared" si="26"/>
        <v/>
      </c>
    </row>
    <row r="528" spans="1:6" x14ac:dyDescent="0.2">
      <c r="A528" s="18" t="str">
        <f>IF(Productos!A528="","",Productos!A528)</f>
        <v/>
      </c>
      <c r="B528" s="18" t="str">
        <f>IF(Productos!B528="","",Productos!B528)</f>
        <v/>
      </c>
      <c r="C528" s="26" t="str">
        <f>IF(A528="","",Ventas!H528)</f>
        <v/>
      </c>
      <c r="D528" s="26" t="str">
        <f t="shared" si="24"/>
        <v/>
      </c>
      <c r="E528" s="26" t="str">
        <f t="shared" si="25"/>
        <v/>
      </c>
      <c r="F528" s="26" t="str">
        <f t="shared" si="26"/>
        <v/>
      </c>
    </row>
    <row r="529" spans="1:6" x14ac:dyDescent="0.2">
      <c r="A529" s="18" t="str">
        <f>IF(Productos!A529="","",Productos!A529)</f>
        <v/>
      </c>
      <c r="B529" s="18" t="str">
        <f>IF(Productos!B529="","",Productos!B529)</f>
        <v/>
      </c>
      <c r="C529" s="26" t="str">
        <f>IF(A529="","",Ventas!H529)</f>
        <v/>
      </c>
      <c r="D529" s="26" t="str">
        <f t="shared" si="24"/>
        <v/>
      </c>
      <c r="E529" s="26" t="str">
        <f t="shared" si="25"/>
        <v/>
      </c>
      <c r="F529" s="26" t="str">
        <f t="shared" si="26"/>
        <v/>
      </c>
    </row>
    <row r="530" spans="1:6" x14ac:dyDescent="0.2">
      <c r="A530" s="18" t="str">
        <f>IF(Productos!A530="","",Productos!A530)</f>
        <v/>
      </c>
      <c r="B530" s="18" t="str">
        <f>IF(Productos!B530="","",Productos!B530)</f>
        <v/>
      </c>
      <c r="C530" s="26" t="str">
        <f>IF(A530="","",Ventas!H530)</f>
        <v/>
      </c>
      <c r="D530" s="26" t="str">
        <f t="shared" si="24"/>
        <v/>
      </c>
      <c r="E530" s="26" t="str">
        <f t="shared" si="25"/>
        <v/>
      </c>
      <c r="F530" s="26" t="str">
        <f t="shared" si="26"/>
        <v/>
      </c>
    </row>
    <row r="531" spans="1:6" x14ac:dyDescent="0.2">
      <c r="A531" s="18" t="str">
        <f>IF(Productos!A531="","",Productos!A531)</f>
        <v/>
      </c>
      <c r="B531" s="18" t="str">
        <f>IF(Productos!B531="","",Productos!B531)</f>
        <v/>
      </c>
      <c r="C531" s="26" t="str">
        <f>IF(A531="","",Ventas!H531)</f>
        <v/>
      </c>
      <c r="D531" s="26" t="str">
        <f t="shared" si="24"/>
        <v/>
      </c>
      <c r="E531" s="26" t="str">
        <f t="shared" si="25"/>
        <v/>
      </c>
      <c r="F531" s="26" t="str">
        <f t="shared" si="26"/>
        <v/>
      </c>
    </row>
    <row r="532" spans="1:6" x14ac:dyDescent="0.2">
      <c r="A532" s="18" t="str">
        <f>IF(Productos!A532="","",Productos!A532)</f>
        <v/>
      </c>
      <c r="B532" s="18" t="str">
        <f>IF(Productos!B532="","",Productos!B532)</f>
        <v/>
      </c>
      <c r="C532" s="26" t="str">
        <f>IF(A532="","",Ventas!H532)</f>
        <v/>
      </c>
      <c r="D532" s="26" t="str">
        <f t="shared" si="24"/>
        <v/>
      </c>
      <c r="E532" s="26" t="str">
        <f t="shared" si="25"/>
        <v/>
      </c>
      <c r="F532" s="26" t="str">
        <f t="shared" si="26"/>
        <v/>
      </c>
    </row>
    <row r="533" spans="1:6" x14ac:dyDescent="0.2">
      <c r="A533" s="18" t="str">
        <f>IF(Productos!A533="","",Productos!A533)</f>
        <v/>
      </c>
      <c r="B533" s="18" t="str">
        <f>IF(Productos!B533="","",Productos!B533)</f>
        <v/>
      </c>
      <c r="C533" s="26" t="str">
        <f>IF(A533="","",Ventas!H533)</f>
        <v/>
      </c>
      <c r="D533" s="26" t="str">
        <f t="shared" si="24"/>
        <v/>
      </c>
      <c r="E533" s="26" t="str">
        <f t="shared" si="25"/>
        <v/>
      </c>
      <c r="F533" s="26" t="str">
        <f t="shared" si="26"/>
        <v/>
      </c>
    </row>
    <row r="534" spans="1:6" x14ac:dyDescent="0.2">
      <c r="A534" s="18" t="str">
        <f>IF(Productos!A534="","",Productos!A534)</f>
        <v/>
      </c>
      <c r="B534" s="18" t="str">
        <f>IF(Productos!B534="","",Productos!B534)</f>
        <v/>
      </c>
      <c r="C534" s="26" t="str">
        <f>IF(A534="","",Ventas!H534)</f>
        <v/>
      </c>
      <c r="D534" s="26" t="str">
        <f t="shared" si="24"/>
        <v/>
      </c>
      <c r="E534" s="26" t="str">
        <f t="shared" si="25"/>
        <v/>
      </c>
      <c r="F534" s="26" t="str">
        <f t="shared" si="26"/>
        <v/>
      </c>
    </row>
    <row r="535" spans="1:6" x14ac:dyDescent="0.2">
      <c r="A535" s="18" t="str">
        <f>IF(Productos!A535="","",Productos!A535)</f>
        <v/>
      </c>
      <c r="B535" s="18" t="str">
        <f>IF(Productos!B535="","",Productos!B535)</f>
        <v/>
      </c>
      <c r="C535" s="26" t="str">
        <f>IF(A535="","",Ventas!H535)</f>
        <v/>
      </c>
      <c r="D535" s="26" t="str">
        <f t="shared" si="24"/>
        <v/>
      </c>
      <c r="E535" s="26" t="str">
        <f t="shared" si="25"/>
        <v/>
      </c>
      <c r="F535" s="26" t="str">
        <f t="shared" si="26"/>
        <v/>
      </c>
    </row>
    <row r="536" spans="1:6" x14ac:dyDescent="0.2">
      <c r="A536" s="18" t="str">
        <f>IF(Productos!A536="","",Productos!A536)</f>
        <v/>
      </c>
      <c r="B536" s="18" t="str">
        <f>IF(Productos!B536="","",Productos!B536)</f>
        <v/>
      </c>
      <c r="C536" s="26" t="str">
        <f>IF(A536="","",Ventas!H536)</f>
        <v/>
      </c>
      <c r="D536" s="26" t="str">
        <f t="shared" si="24"/>
        <v/>
      </c>
      <c r="E536" s="26" t="str">
        <f t="shared" si="25"/>
        <v/>
      </c>
      <c r="F536" s="26" t="str">
        <f t="shared" si="26"/>
        <v/>
      </c>
    </row>
    <row r="537" spans="1:6" x14ac:dyDescent="0.2">
      <c r="A537" s="18" t="str">
        <f>IF(Productos!A537="","",Productos!A537)</f>
        <v/>
      </c>
      <c r="B537" s="18" t="str">
        <f>IF(Productos!B537="","",Productos!B537)</f>
        <v/>
      </c>
      <c r="C537" s="26" t="str">
        <f>IF(A537="","",Ventas!H537)</f>
        <v/>
      </c>
      <c r="D537" s="26" t="str">
        <f t="shared" si="24"/>
        <v/>
      </c>
      <c r="E537" s="26" t="str">
        <f t="shared" si="25"/>
        <v/>
      </c>
      <c r="F537" s="26" t="str">
        <f t="shared" si="26"/>
        <v/>
      </c>
    </row>
    <row r="538" spans="1:6" x14ac:dyDescent="0.2">
      <c r="A538" s="18" t="str">
        <f>IF(Productos!A538="","",Productos!A538)</f>
        <v/>
      </c>
      <c r="B538" s="18" t="str">
        <f>IF(Productos!B538="","",Productos!B538)</f>
        <v/>
      </c>
      <c r="C538" s="26" t="str">
        <f>IF(A538="","",Ventas!H538)</f>
        <v/>
      </c>
      <c r="D538" s="26" t="str">
        <f t="shared" si="24"/>
        <v/>
      </c>
      <c r="E538" s="26" t="str">
        <f t="shared" si="25"/>
        <v/>
      </c>
      <c r="F538" s="26" t="str">
        <f t="shared" si="26"/>
        <v/>
      </c>
    </row>
    <row r="539" spans="1:6" x14ac:dyDescent="0.2">
      <c r="A539" s="18" t="str">
        <f>IF(Productos!A539="","",Productos!A539)</f>
        <v/>
      </c>
      <c r="B539" s="18" t="str">
        <f>IF(Productos!B539="","",Productos!B539)</f>
        <v/>
      </c>
      <c r="C539" s="26" t="str">
        <f>IF(A539="","",Ventas!H539)</f>
        <v/>
      </c>
      <c r="D539" s="26" t="str">
        <f t="shared" si="24"/>
        <v/>
      </c>
      <c r="E539" s="26" t="str">
        <f t="shared" si="25"/>
        <v/>
      </c>
      <c r="F539" s="26" t="str">
        <f t="shared" si="26"/>
        <v/>
      </c>
    </row>
    <row r="540" spans="1:6" x14ac:dyDescent="0.2">
      <c r="A540" s="18" t="str">
        <f>IF(Productos!A540="","",Productos!A540)</f>
        <v/>
      </c>
      <c r="B540" s="18" t="str">
        <f>IF(Productos!B540="","",Productos!B540)</f>
        <v/>
      </c>
      <c r="C540" s="26" t="str">
        <f>IF(A540="","",Ventas!H540)</f>
        <v/>
      </c>
      <c r="D540" s="26" t="str">
        <f t="shared" si="24"/>
        <v/>
      </c>
      <c r="E540" s="26" t="str">
        <f t="shared" si="25"/>
        <v/>
      </c>
      <c r="F540" s="26" t="str">
        <f t="shared" si="26"/>
        <v/>
      </c>
    </row>
    <row r="541" spans="1:6" x14ac:dyDescent="0.2">
      <c r="A541" s="18" t="str">
        <f>IF(Productos!A541="","",Productos!A541)</f>
        <v/>
      </c>
      <c r="B541" s="18" t="str">
        <f>IF(Productos!B541="","",Productos!B541)</f>
        <v/>
      </c>
      <c r="C541" s="26" t="str">
        <f>IF(A541="","",Ventas!H541)</f>
        <v/>
      </c>
      <c r="D541" s="26" t="str">
        <f t="shared" si="24"/>
        <v/>
      </c>
      <c r="E541" s="26" t="str">
        <f t="shared" si="25"/>
        <v/>
      </c>
      <c r="F541" s="26" t="str">
        <f t="shared" si="26"/>
        <v/>
      </c>
    </row>
    <row r="542" spans="1:6" x14ac:dyDescent="0.2">
      <c r="A542" s="18" t="str">
        <f>IF(Productos!A542="","",Productos!A542)</f>
        <v/>
      </c>
      <c r="B542" s="18" t="str">
        <f>IF(Productos!B542="","",Productos!B542)</f>
        <v/>
      </c>
      <c r="C542" s="26" t="str">
        <f>IF(A542="","",Ventas!H542)</f>
        <v/>
      </c>
      <c r="D542" s="26" t="str">
        <f t="shared" si="24"/>
        <v/>
      </c>
      <c r="E542" s="26" t="str">
        <f t="shared" si="25"/>
        <v/>
      </c>
      <c r="F542" s="26" t="str">
        <f t="shared" si="26"/>
        <v/>
      </c>
    </row>
    <row r="543" spans="1:6" x14ac:dyDescent="0.2">
      <c r="A543" s="18" t="str">
        <f>IF(Productos!A543="","",Productos!A543)</f>
        <v/>
      </c>
      <c r="B543" s="18" t="str">
        <f>IF(Productos!B543="","",Productos!B543)</f>
        <v/>
      </c>
      <c r="C543" s="26" t="str">
        <f>IF(A543="","",Ventas!H543)</f>
        <v/>
      </c>
      <c r="D543" s="26" t="str">
        <f t="shared" si="24"/>
        <v/>
      </c>
      <c r="E543" s="26" t="str">
        <f t="shared" si="25"/>
        <v/>
      </c>
      <c r="F543" s="26" t="str">
        <f t="shared" si="26"/>
        <v/>
      </c>
    </row>
    <row r="544" spans="1:6" x14ac:dyDescent="0.2">
      <c r="A544" s="18" t="str">
        <f>IF(Productos!A544="","",Productos!A544)</f>
        <v/>
      </c>
      <c r="B544" s="18" t="str">
        <f>IF(Productos!B544="","",Productos!B544)</f>
        <v/>
      </c>
      <c r="C544" s="26" t="str">
        <f>IF(A544="","",Ventas!H544)</f>
        <v/>
      </c>
      <c r="D544" s="26" t="str">
        <f t="shared" si="24"/>
        <v/>
      </c>
      <c r="E544" s="26" t="str">
        <f t="shared" si="25"/>
        <v/>
      </c>
      <c r="F544" s="26" t="str">
        <f t="shared" si="26"/>
        <v/>
      </c>
    </row>
    <row r="545" spans="1:6" x14ac:dyDescent="0.2">
      <c r="A545" s="18" t="str">
        <f>IF(Productos!A545="","",Productos!A545)</f>
        <v/>
      </c>
      <c r="B545" s="18" t="str">
        <f>IF(Productos!B545="","",Productos!B545)</f>
        <v/>
      </c>
      <c r="C545" s="26" t="str">
        <f>IF(A545="","",Ventas!H545)</f>
        <v/>
      </c>
      <c r="D545" s="26" t="str">
        <f t="shared" si="24"/>
        <v/>
      </c>
      <c r="E545" s="26" t="str">
        <f t="shared" si="25"/>
        <v/>
      </c>
      <c r="F545" s="26" t="str">
        <f t="shared" si="26"/>
        <v/>
      </c>
    </row>
    <row r="546" spans="1:6" x14ac:dyDescent="0.2">
      <c r="A546" s="18" t="str">
        <f>IF(Productos!A546="","",Productos!A546)</f>
        <v/>
      </c>
      <c r="B546" s="18" t="str">
        <f>IF(Productos!B546="","",Productos!B546)</f>
        <v/>
      </c>
      <c r="C546" s="26" t="str">
        <f>IF(A546="","",Ventas!H546)</f>
        <v/>
      </c>
      <c r="D546" s="26" t="str">
        <f t="shared" si="24"/>
        <v/>
      </c>
      <c r="E546" s="26" t="str">
        <f t="shared" si="25"/>
        <v/>
      </c>
      <c r="F546" s="26" t="str">
        <f t="shared" si="26"/>
        <v/>
      </c>
    </row>
    <row r="547" spans="1:6" x14ac:dyDescent="0.2">
      <c r="A547" s="18" t="str">
        <f>IF(Productos!A547="","",Productos!A547)</f>
        <v/>
      </c>
      <c r="B547" s="18" t="str">
        <f>IF(Productos!B547="","",Productos!B547)</f>
        <v/>
      </c>
      <c r="C547" s="26" t="str">
        <f>IF(A547="","",Ventas!H547)</f>
        <v/>
      </c>
      <c r="D547" s="26" t="str">
        <f t="shared" si="24"/>
        <v/>
      </c>
      <c r="E547" s="26" t="str">
        <f t="shared" si="25"/>
        <v/>
      </c>
      <c r="F547" s="26" t="str">
        <f t="shared" si="26"/>
        <v/>
      </c>
    </row>
    <row r="548" spans="1:6" x14ac:dyDescent="0.2">
      <c r="A548" s="18" t="str">
        <f>IF(Productos!A548="","",Productos!A548)</f>
        <v/>
      </c>
      <c r="B548" s="18" t="str">
        <f>IF(Productos!B548="","",Productos!B548)</f>
        <v/>
      </c>
      <c r="C548" s="26" t="str">
        <f>IF(A548="","",Ventas!H548)</f>
        <v/>
      </c>
      <c r="D548" s="26" t="str">
        <f t="shared" si="24"/>
        <v/>
      </c>
      <c r="E548" s="26" t="str">
        <f t="shared" si="25"/>
        <v/>
      </c>
      <c r="F548" s="26" t="str">
        <f t="shared" si="26"/>
        <v/>
      </c>
    </row>
    <row r="549" spans="1:6" x14ac:dyDescent="0.2">
      <c r="A549" s="18" t="str">
        <f>IF(Productos!A549="","",Productos!A549)</f>
        <v/>
      </c>
      <c r="B549" s="18" t="str">
        <f>IF(Productos!B549="","",Productos!B549)</f>
        <v/>
      </c>
      <c r="C549" s="26" t="str">
        <f>IF(A549="","",Ventas!H549)</f>
        <v/>
      </c>
      <c r="D549" s="26" t="str">
        <f t="shared" si="24"/>
        <v/>
      </c>
      <c r="E549" s="26" t="str">
        <f t="shared" si="25"/>
        <v/>
      </c>
      <c r="F549" s="26" t="str">
        <f t="shared" si="26"/>
        <v/>
      </c>
    </row>
    <row r="550" spans="1:6" x14ac:dyDescent="0.2">
      <c r="A550" s="18" t="str">
        <f>IF(Productos!A550="","",Productos!A550)</f>
        <v/>
      </c>
      <c r="B550" s="18" t="str">
        <f>IF(Productos!B550="","",Productos!B550)</f>
        <v/>
      </c>
      <c r="C550" s="26" t="str">
        <f>IF(A550="","",Ventas!H550)</f>
        <v/>
      </c>
      <c r="D550" s="26" t="str">
        <f t="shared" si="24"/>
        <v/>
      </c>
      <c r="E550" s="26" t="str">
        <f t="shared" si="25"/>
        <v/>
      </c>
      <c r="F550" s="26" t="str">
        <f t="shared" si="26"/>
        <v/>
      </c>
    </row>
    <row r="551" spans="1:6" x14ac:dyDescent="0.2">
      <c r="A551" s="18" t="str">
        <f>IF(Productos!A551="","",Productos!A551)</f>
        <v/>
      </c>
      <c r="B551" s="18" t="str">
        <f>IF(Productos!B551="","",Productos!B551)</f>
        <v/>
      </c>
      <c r="C551" s="26" t="str">
        <f>IF(A551="","",Ventas!H551)</f>
        <v/>
      </c>
      <c r="D551" s="26" t="str">
        <f t="shared" si="24"/>
        <v/>
      </c>
      <c r="E551" s="26" t="str">
        <f t="shared" si="25"/>
        <v/>
      </c>
      <c r="F551" s="26" t="str">
        <f t="shared" si="26"/>
        <v/>
      </c>
    </row>
    <row r="552" spans="1:6" x14ac:dyDescent="0.2">
      <c r="A552" s="18" t="str">
        <f>IF(Productos!A552="","",Productos!A552)</f>
        <v/>
      </c>
      <c r="B552" s="18" t="str">
        <f>IF(Productos!B552="","",Productos!B552)</f>
        <v/>
      </c>
      <c r="C552" s="26" t="str">
        <f>IF(A552="","",Ventas!H552)</f>
        <v/>
      </c>
      <c r="D552" s="26" t="str">
        <f t="shared" si="24"/>
        <v/>
      </c>
      <c r="E552" s="26" t="str">
        <f t="shared" si="25"/>
        <v/>
      </c>
      <c r="F552" s="26" t="str">
        <f t="shared" si="26"/>
        <v/>
      </c>
    </row>
    <row r="553" spans="1:6" x14ac:dyDescent="0.2">
      <c r="A553" s="18" t="str">
        <f>IF(Productos!A553="","",Productos!A553)</f>
        <v/>
      </c>
      <c r="B553" s="18" t="str">
        <f>IF(Productos!B553="","",Productos!B553)</f>
        <v/>
      </c>
      <c r="C553" s="26" t="str">
        <f>IF(A553="","",Ventas!H553)</f>
        <v/>
      </c>
      <c r="D553" s="26" t="str">
        <f t="shared" si="24"/>
        <v/>
      </c>
      <c r="E553" s="26" t="str">
        <f t="shared" si="25"/>
        <v/>
      </c>
      <c r="F553" s="26" t="str">
        <f t="shared" si="26"/>
        <v/>
      </c>
    </row>
    <row r="554" spans="1:6" x14ac:dyDescent="0.2">
      <c r="A554" s="18" t="str">
        <f>IF(Productos!A554="","",Productos!A554)</f>
        <v/>
      </c>
      <c r="B554" s="18" t="str">
        <f>IF(Productos!B554="","",Productos!B554)</f>
        <v/>
      </c>
      <c r="C554" s="26" t="str">
        <f>IF(A554="","",Ventas!H554)</f>
        <v/>
      </c>
      <c r="D554" s="26" t="str">
        <f t="shared" si="24"/>
        <v/>
      </c>
      <c r="E554" s="26" t="str">
        <f t="shared" si="25"/>
        <v/>
      </c>
      <c r="F554" s="26" t="str">
        <f t="shared" si="26"/>
        <v/>
      </c>
    </row>
    <row r="555" spans="1:6" x14ac:dyDescent="0.2">
      <c r="A555" s="18" t="str">
        <f>IF(Productos!A555="","",Productos!A555)</f>
        <v/>
      </c>
      <c r="B555" s="18" t="str">
        <f>IF(Productos!B555="","",Productos!B555)</f>
        <v/>
      </c>
      <c r="C555" s="26" t="str">
        <f>IF(A555="","",Ventas!H555)</f>
        <v/>
      </c>
      <c r="D555" s="26" t="str">
        <f t="shared" si="24"/>
        <v/>
      </c>
      <c r="E555" s="26" t="str">
        <f t="shared" si="25"/>
        <v/>
      </c>
      <c r="F555" s="26" t="str">
        <f t="shared" si="26"/>
        <v/>
      </c>
    </row>
    <row r="556" spans="1:6" x14ac:dyDescent="0.2">
      <c r="A556" s="18" t="str">
        <f>IF(Productos!A556="","",Productos!A556)</f>
        <v/>
      </c>
      <c r="B556" s="18" t="str">
        <f>IF(Productos!B556="","",Productos!B556)</f>
        <v/>
      </c>
      <c r="C556" s="26" t="str">
        <f>IF(A556="","",Ventas!H556)</f>
        <v/>
      </c>
      <c r="D556" s="26" t="str">
        <f t="shared" si="24"/>
        <v/>
      </c>
      <c r="E556" s="26" t="str">
        <f t="shared" si="25"/>
        <v/>
      </c>
      <c r="F556" s="26" t="str">
        <f t="shared" si="26"/>
        <v/>
      </c>
    </row>
    <row r="557" spans="1:6" x14ac:dyDescent="0.2">
      <c r="A557" s="18" t="str">
        <f>IF(Productos!A557="","",Productos!A557)</f>
        <v/>
      </c>
      <c r="B557" s="18" t="str">
        <f>IF(Productos!B557="","",Productos!B557)</f>
        <v/>
      </c>
      <c r="C557" s="26" t="str">
        <f>IF(A557="","",Ventas!H557)</f>
        <v/>
      </c>
      <c r="D557" s="26" t="str">
        <f t="shared" si="24"/>
        <v/>
      </c>
      <c r="E557" s="26" t="str">
        <f t="shared" si="25"/>
        <v/>
      </c>
      <c r="F557" s="26" t="str">
        <f t="shared" si="26"/>
        <v/>
      </c>
    </row>
    <row r="558" spans="1:6" x14ac:dyDescent="0.2">
      <c r="A558" s="18" t="str">
        <f>IF(Productos!A558="","",Productos!A558)</f>
        <v/>
      </c>
      <c r="B558" s="18" t="str">
        <f>IF(Productos!B558="","",Productos!B558)</f>
        <v/>
      </c>
      <c r="C558" s="26" t="str">
        <f>IF(A558="","",Ventas!H558)</f>
        <v/>
      </c>
      <c r="D558" s="26" t="str">
        <f t="shared" si="24"/>
        <v/>
      </c>
      <c r="E558" s="26" t="str">
        <f t="shared" si="25"/>
        <v/>
      </c>
      <c r="F558" s="26" t="str">
        <f t="shared" si="26"/>
        <v/>
      </c>
    </row>
    <row r="559" spans="1:6" x14ac:dyDescent="0.2">
      <c r="A559" s="18" t="str">
        <f>IF(Productos!A559="","",Productos!A559)</f>
        <v/>
      </c>
      <c r="B559" s="18" t="str">
        <f>IF(Productos!B559="","",Productos!B559)</f>
        <v/>
      </c>
      <c r="C559" s="26" t="str">
        <f>IF(A559="","",Ventas!H559)</f>
        <v/>
      </c>
      <c r="D559" s="26" t="str">
        <f t="shared" si="24"/>
        <v/>
      </c>
      <c r="E559" s="26" t="str">
        <f t="shared" si="25"/>
        <v/>
      </c>
      <c r="F559" s="26" t="str">
        <f t="shared" si="26"/>
        <v/>
      </c>
    </row>
    <row r="560" spans="1:6" x14ac:dyDescent="0.2">
      <c r="A560" s="18" t="str">
        <f>IF(Productos!A560="","",Productos!A560)</f>
        <v/>
      </c>
      <c r="B560" s="18" t="str">
        <f>IF(Productos!B560="","",Productos!B560)</f>
        <v/>
      </c>
      <c r="C560" s="26" t="str">
        <f>IF(A560="","",Ventas!H560)</f>
        <v/>
      </c>
      <c r="D560" s="26" t="str">
        <f t="shared" si="24"/>
        <v/>
      </c>
      <c r="E560" s="26" t="str">
        <f t="shared" si="25"/>
        <v/>
      </c>
      <c r="F560" s="26" t="str">
        <f t="shared" si="26"/>
        <v/>
      </c>
    </row>
    <row r="561" spans="1:6" x14ac:dyDescent="0.2">
      <c r="A561" s="18" t="str">
        <f>IF(Productos!A561="","",Productos!A561)</f>
        <v/>
      </c>
      <c r="B561" s="18" t="str">
        <f>IF(Productos!B561="","",Productos!B561)</f>
        <v/>
      </c>
      <c r="C561" s="26" t="str">
        <f>IF(A561="","",Ventas!H561)</f>
        <v/>
      </c>
      <c r="D561" s="26" t="str">
        <f t="shared" si="24"/>
        <v/>
      </c>
      <c r="E561" s="26" t="str">
        <f t="shared" si="25"/>
        <v/>
      </c>
      <c r="F561" s="26" t="str">
        <f t="shared" si="26"/>
        <v/>
      </c>
    </row>
    <row r="562" spans="1:6" x14ac:dyDescent="0.2">
      <c r="A562" s="18" t="str">
        <f>IF(Productos!A562="","",Productos!A562)</f>
        <v/>
      </c>
      <c r="B562" s="18" t="str">
        <f>IF(Productos!B562="","",Productos!B562)</f>
        <v/>
      </c>
      <c r="C562" s="26" t="str">
        <f>IF(A562="","",Ventas!H562)</f>
        <v/>
      </c>
      <c r="D562" s="26" t="str">
        <f t="shared" si="24"/>
        <v/>
      </c>
      <c r="E562" s="26" t="str">
        <f t="shared" si="25"/>
        <v/>
      </c>
      <c r="F562" s="26" t="str">
        <f t="shared" si="26"/>
        <v/>
      </c>
    </row>
    <row r="563" spans="1:6" x14ac:dyDescent="0.2">
      <c r="A563" s="18" t="str">
        <f>IF(Productos!A563="","",Productos!A563)</f>
        <v/>
      </c>
      <c r="B563" s="18" t="str">
        <f>IF(Productos!B563="","",Productos!B563)</f>
        <v/>
      </c>
      <c r="C563" s="26" t="str">
        <f>IF(A563="","",Ventas!H563)</f>
        <v/>
      </c>
      <c r="D563" s="26" t="str">
        <f t="shared" si="24"/>
        <v/>
      </c>
      <c r="E563" s="26" t="str">
        <f t="shared" si="25"/>
        <v/>
      </c>
      <c r="F563" s="26" t="str">
        <f t="shared" si="26"/>
        <v/>
      </c>
    </row>
    <row r="564" spans="1:6" x14ac:dyDescent="0.2">
      <c r="A564" s="18" t="str">
        <f>IF(Productos!A564="","",Productos!A564)</f>
        <v/>
      </c>
      <c r="B564" s="18" t="str">
        <f>IF(Productos!B564="","",Productos!B564)</f>
        <v/>
      </c>
      <c r="C564" s="26" t="str">
        <f>IF(A564="","",Ventas!H564)</f>
        <v/>
      </c>
      <c r="D564" s="26" t="str">
        <f t="shared" si="24"/>
        <v/>
      </c>
      <c r="E564" s="26" t="str">
        <f t="shared" si="25"/>
        <v/>
      </c>
      <c r="F564" s="26" t="str">
        <f t="shared" si="26"/>
        <v/>
      </c>
    </row>
    <row r="565" spans="1:6" x14ac:dyDescent="0.2">
      <c r="A565" s="18" t="str">
        <f>IF(Productos!A565="","",Productos!A565)</f>
        <v/>
      </c>
      <c r="B565" s="18" t="str">
        <f>IF(Productos!B565="","",Productos!B565)</f>
        <v/>
      </c>
      <c r="C565" s="26" t="str">
        <f>IF(A565="","",Ventas!H565)</f>
        <v/>
      </c>
      <c r="D565" s="26" t="str">
        <f t="shared" si="24"/>
        <v/>
      </c>
      <c r="E565" s="26" t="str">
        <f t="shared" si="25"/>
        <v/>
      </c>
      <c r="F565" s="26" t="str">
        <f t="shared" si="26"/>
        <v/>
      </c>
    </row>
    <row r="566" spans="1:6" x14ac:dyDescent="0.2">
      <c r="A566" s="18" t="str">
        <f>IF(Productos!A566="","",Productos!A566)</f>
        <v/>
      </c>
      <c r="B566" s="18" t="str">
        <f>IF(Productos!B566="","",Productos!B566)</f>
        <v/>
      </c>
      <c r="C566" s="26" t="str">
        <f>IF(A566="","",Ventas!H566)</f>
        <v/>
      </c>
      <c r="D566" s="26" t="str">
        <f t="shared" si="24"/>
        <v/>
      </c>
      <c r="E566" s="26" t="str">
        <f t="shared" si="25"/>
        <v/>
      </c>
      <c r="F566" s="26" t="str">
        <f t="shared" si="26"/>
        <v/>
      </c>
    </row>
    <row r="567" spans="1:6" x14ac:dyDescent="0.2">
      <c r="A567" s="18" t="str">
        <f>IF(Productos!A567="","",Productos!A567)</f>
        <v/>
      </c>
      <c r="B567" s="18" t="str">
        <f>IF(Productos!B567="","",Productos!B567)</f>
        <v/>
      </c>
      <c r="C567" s="26" t="str">
        <f>IF(A567="","",Ventas!H567)</f>
        <v/>
      </c>
      <c r="D567" s="26" t="str">
        <f t="shared" si="24"/>
        <v/>
      </c>
      <c r="E567" s="26" t="str">
        <f t="shared" si="25"/>
        <v/>
      </c>
      <c r="F567" s="26" t="str">
        <f t="shared" si="26"/>
        <v/>
      </c>
    </row>
    <row r="568" spans="1:6" x14ac:dyDescent="0.2">
      <c r="A568" s="18" t="str">
        <f>IF(Productos!A568="","",Productos!A568)</f>
        <v/>
      </c>
      <c r="B568" s="18" t="str">
        <f>IF(Productos!B568="","",Productos!B568)</f>
        <v/>
      </c>
      <c r="C568" s="26" t="str">
        <f>IF(A568="","",Ventas!H568)</f>
        <v/>
      </c>
      <c r="D568" s="26" t="str">
        <f t="shared" si="24"/>
        <v/>
      </c>
      <c r="E568" s="26" t="str">
        <f t="shared" si="25"/>
        <v/>
      </c>
      <c r="F568" s="26" t="str">
        <f t="shared" si="26"/>
        <v/>
      </c>
    </row>
    <row r="569" spans="1:6" x14ac:dyDescent="0.2">
      <c r="A569" s="18" t="str">
        <f>IF(Productos!A569="","",Productos!A569)</f>
        <v/>
      </c>
      <c r="B569" s="18" t="str">
        <f>IF(Productos!B569="","",Productos!B569)</f>
        <v/>
      </c>
      <c r="C569" s="26" t="str">
        <f>IF(A569="","",Ventas!H569)</f>
        <v/>
      </c>
      <c r="D569" s="26" t="str">
        <f t="shared" si="24"/>
        <v/>
      </c>
      <c r="E569" s="26" t="str">
        <f t="shared" si="25"/>
        <v/>
      </c>
      <c r="F569" s="26" t="str">
        <f t="shared" si="26"/>
        <v/>
      </c>
    </row>
    <row r="570" spans="1:6" x14ac:dyDescent="0.2">
      <c r="A570" s="18" t="str">
        <f>IF(Productos!A570="","",Productos!A570)</f>
        <v/>
      </c>
      <c r="B570" s="18" t="str">
        <f>IF(Productos!B570="","",Productos!B570)</f>
        <v/>
      </c>
      <c r="C570" s="26" t="str">
        <f>IF(A570="","",Ventas!H570)</f>
        <v/>
      </c>
      <c r="D570" s="26" t="str">
        <f t="shared" si="24"/>
        <v/>
      </c>
      <c r="E570" s="26" t="str">
        <f t="shared" si="25"/>
        <v/>
      </c>
      <c r="F570" s="26" t="str">
        <f t="shared" si="26"/>
        <v/>
      </c>
    </row>
    <row r="571" spans="1:6" x14ac:dyDescent="0.2">
      <c r="A571" s="18" t="str">
        <f>IF(Productos!A571="","",Productos!A571)</f>
        <v/>
      </c>
      <c r="B571" s="18" t="str">
        <f>IF(Productos!B571="","",Productos!B571)</f>
        <v/>
      </c>
      <c r="C571" s="26" t="str">
        <f>IF(A571="","",Ventas!H571)</f>
        <v/>
      </c>
      <c r="D571" s="26" t="str">
        <f t="shared" si="24"/>
        <v/>
      </c>
      <c r="E571" s="26" t="str">
        <f t="shared" si="25"/>
        <v/>
      </c>
      <c r="F571" s="26" t="str">
        <f t="shared" si="26"/>
        <v/>
      </c>
    </row>
    <row r="572" spans="1:6" x14ac:dyDescent="0.2">
      <c r="A572" s="18" t="str">
        <f>IF(Productos!A572="","",Productos!A572)</f>
        <v/>
      </c>
      <c r="B572" s="18" t="str">
        <f>IF(Productos!B572="","",Productos!B572)</f>
        <v/>
      </c>
      <c r="C572" s="26" t="str">
        <f>IF(A572="","",Ventas!H572)</f>
        <v/>
      </c>
      <c r="D572" s="26" t="str">
        <f t="shared" si="24"/>
        <v/>
      </c>
      <c r="E572" s="26" t="str">
        <f t="shared" si="25"/>
        <v/>
      </c>
      <c r="F572" s="26" t="str">
        <f t="shared" si="26"/>
        <v/>
      </c>
    </row>
    <row r="573" spans="1:6" x14ac:dyDescent="0.2">
      <c r="A573" s="18" t="str">
        <f>IF(Productos!A573="","",Productos!A573)</f>
        <v/>
      </c>
      <c r="B573" s="18" t="str">
        <f>IF(Productos!B573="","",Productos!B573)</f>
        <v/>
      </c>
      <c r="C573" s="26" t="str">
        <f>IF(A573="","",Ventas!H573)</f>
        <v/>
      </c>
      <c r="D573" s="26" t="str">
        <f t="shared" si="24"/>
        <v/>
      </c>
      <c r="E573" s="26" t="str">
        <f t="shared" si="25"/>
        <v/>
      </c>
      <c r="F573" s="26" t="str">
        <f t="shared" si="26"/>
        <v/>
      </c>
    </row>
    <row r="574" spans="1:6" x14ac:dyDescent="0.2">
      <c r="A574" s="18" t="str">
        <f>IF(Productos!A574="","",Productos!A574)</f>
        <v/>
      </c>
      <c r="B574" s="18" t="str">
        <f>IF(Productos!B574="","",Productos!B574)</f>
        <v/>
      </c>
      <c r="C574" s="26" t="str">
        <f>IF(A574="","",Ventas!H574)</f>
        <v/>
      </c>
      <c r="D574" s="26" t="str">
        <f t="shared" si="24"/>
        <v/>
      </c>
      <c r="E574" s="26" t="str">
        <f t="shared" si="25"/>
        <v/>
      </c>
      <c r="F574" s="26" t="str">
        <f t="shared" si="26"/>
        <v/>
      </c>
    </row>
    <row r="575" spans="1:6" x14ac:dyDescent="0.2">
      <c r="A575" s="18" t="str">
        <f>IF(Productos!A575="","",Productos!A575)</f>
        <v/>
      </c>
      <c r="B575" s="18" t="str">
        <f>IF(Productos!B575="","",Productos!B575)</f>
        <v/>
      </c>
      <c r="C575" s="26" t="str">
        <f>IF(A575="","",Ventas!H575)</f>
        <v/>
      </c>
      <c r="D575" s="26" t="str">
        <f t="shared" si="24"/>
        <v/>
      </c>
      <c r="E575" s="26" t="str">
        <f t="shared" si="25"/>
        <v/>
      </c>
      <c r="F575" s="26" t="str">
        <f t="shared" si="26"/>
        <v/>
      </c>
    </row>
    <row r="576" spans="1:6" x14ac:dyDescent="0.2">
      <c r="A576" s="18" t="str">
        <f>IF(Productos!A576="","",Productos!A576)</f>
        <v/>
      </c>
      <c r="B576" s="18" t="str">
        <f>IF(Productos!B576="","",Productos!B576)</f>
        <v/>
      </c>
      <c r="C576" s="26" t="str">
        <f>IF(A576="","",Ventas!H576)</f>
        <v/>
      </c>
      <c r="D576" s="26" t="str">
        <f t="shared" si="24"/>
        <v/>
      </c>
      <c r="E576" s="26" t="str">
        <f t="shared" si="25"/>
        <v/>
      </c>
      <c r="F576" s="26" t="str">
        <f t="shared" si="26"/>
        <v/>
      </c>
    </row>
    <row r="577" spans="1:6" x14ac:dyDescent="0.2">
      <c r="A577" s="18" t="str">
        <f>IF(Productos!A577="","",Productos!A577)</f>
        <v/>
      </c>
      <c r="B577" s="18" t="str">
        <f>IF(Productos!B577="","",Productos!B577)</f>
        <v/>
      </c>
      <c r="C577" s="26" t="str">
        <f>IF(A577="","",Ventas!H577)</f>
        <v/>
      </c>
      <c r="D577" s="26" t="str">
        <f t="shared" si="24"/>
        <v/>
      </c>
      <c r="E577" s="26" t="str">
        <f t="shared" si="25"/>
        <v/>
      </c>
      <c r="F577" s="26" t="str">
        <f t="shared" si="26"/>
        <v/>
      </c>
    </row>
    <row r="578" spans="1:6" x14ac:dyDescent="0.2">
      <c r="A578" s="18" t="str">
        <f>IF(Productos!A578="","",Productos!A578)</f>
        <v/>
      </c>
      <c r="B578" s="18" t="str">
        <f>IF(Productos!B578="","",Productos!B578)</f>
        <v/>
      </c>
      <c r="C578" s="26" t="str">
        <f>IF(A578="","",Ventas!H578)</f>
        <v/>
      </c>
      <c r="D578" s="26" t="str">
        <f t="shared" si="24"/>
        <v/>
      </c>
      <c r="E578" s="26" t="str">
        <f t="shared" si="25"/>
        <v/>
      </c>
      <c r="F578" s="26" t="str">
        <f t="shared" si="26"/>
        <v/>
      </c>
    </row>
    <row r="579" spans="1:6" x14ac:dyDescent="0.2">
      <c r="A579" s="18" t="str">
        <f>IF(Productos!A579="","",Productos!A579)</f>
        <v/>
      </c>
      <c r="B579" s="18" t="str">
        <f>IF(Productos!B579="","",Productos!B579)</f>
        <v/>
      </c>
      <c r="C579" s="26" t="str">
        <f>IF(A579="","",Ventas!H579)</f>
        <v/>
      </c>
      <c r="D579" s="26" t="str">
        <f t="shared" ref="D579:D642" si="27">IF(A579="","",ROUND(C579/3,2))</f>
        <v/>
      </c>
      <c r="E579" s="26" t="str">
        <f t="shared" ref="E579:E642" si="28">IF(A579="","",ROUND(C579/3,2))</f>
        <v/>
      </c>
      <c r="F579" s="26" t="str">
        <f t="shared" ref="F579:F642" si="29">IF(A579="","",C579-D579-E579)</f>
        <v/>
      </c>
    </row>
    <row r="580" spans="1:6" x14ac:dyDescent="0.2">
      <c r="A580" s="18" t="str">
        <f>IF(Productos!A580="","",Productos!A580)</f>
        <v/>
      </c>
      <c r="B580" s="18" t="str">
        <f>IF(Productos!B580="","",Productos!B580)</f>
        <v/>
      </c>
      <c r="C580" s="26" t="str">
        <f>IF(A580="","",Ventas!H580)</f>
        <v/>
      </c>
      <c r="D580" s="26" t="str">
        <f t="shared" si="27"/>
        <v/>
      </c>
      <c r="E580" s="26" t="str">
        <f t="shared" si="28"/>
        <v/>
      </c>
      <c r="F580" s="26" t="str">
        <f t="shared" si="29"/>
        <v/>
      </c>
    </row>
    <row r="581" spans="1:6" x14ac:dyDescent="0.2">
      <c r="A581" s="18" t="str">
        <f>IF(Productos!A581="","",Productos!A581)</f>
        <v/>
      </c>
      <c r="B581" s="18" t="str">
        <f>IF(Productos!B581="","",Productos!B581)</f>
        <v/>
      </c>
      <c r="C581" s="26" t="str">
        <f>IF(A581="","",Ventas!H581)</f>
        <v/>
      </c>
      <c r="D581" s="26" t="str">
        <f t="shared" si="27"/>
        <v/>
      </c>
      <c r="E581" s="26" t="str">
        <f t="shared" si="28"/>
        <v/>
      </c>
      <c r="F581" s="26" t="str">
        <f t="shared" si="29"/>
        <v/>
      </c>
    </row>
    <row r="582" spans="1:6" x14ac:dyDescent="0.2">
      <c r="A582" s="18" t="str">
        <f>IF(Productos!A582="","",Productos!A582)</f>
        <v/>
      </c>
      <c r="B582" s="18" t="str">
        <f>IF(Productos!B582="","",Productos!B582)</f>
        <v/>
      </c>
      <c r="C582" s="26" t="str">
        <f>IF(A582="","",Ventas!H582)</f>
        <v/>
      </c>
      <c r="D582" s="26" t="str">
        <f t="shared" si="27"/>
        <v/>
      </c>
      <c r="E582" s="26" t="str">
        <f t="shared" si="28"/>
        <v/>
      </c>
      <c r="F582" s="26" t="str">
        <f t="shared" si="29"/>
        <v/>
      </c>
    </row>
    <row r="583" spans="1:6" x14ac:dyDescent="0.2">
      <c r="A583" s="18" t="str">
        <f>IF(Productos!A583="","",Productos!A583)</f>
        <v/>
      </c>
      <c r="B583" s="18" t="str">
        <f>IF(Productos!B583="","",Productos!B583)</f>
        <v/>
      </c>
      <c r="C583" s="26" t="str">
        <f>IF(A583="","",Ventas!H583)</f>
        <v/>
      </c>
      <c r="D583" s="26" t="str">
        <f t="shared" si="27"/>
        <v/>
      </c>
      <c r="E583" s="26" t="str">
        <f t="shared" si="28"/>
        <v/>
      </c>
      <c r="F583" s="26" t="str">
        <f t="shared" si="29"/>
        <v/>
      </c>
    </row>
    <row r="584" spans="1:6" x14ac:dyDescent="0.2">
      <c r="A584" s="18" t="str">
        <f>IF(Productos!A584="","",Productos!A584)</f>
        <v/>
      </c>
      <c r="B584" s="18" t="str">
        <f>IF(Productos!B584="","",Productos!B584)</f>
        <v/>
      </c>
      <c r="C584" s="26" t="str">
        <f>IF(A584="","",Ventas!H584)</f>
        <v/>
      </c>
      <c r="D584" s="26" t="str">
        <f t="shared" si="27"/>
        <v/>
      </c>
      <c r="E584" s="26" t="str">
        <f t="shared" si="28"/>
        <v/>
      </c>
      <c r="F584" s="26" t="str">
        <f t="shared" si="29"/>
        <v/>
      </c>
    </row>
    <row r="585" spans="1:6" x14ac:dyDescent="0.2">
      <c r="A585" s="18" t="str">
        <f>IF(Productos!A585="","",Productos!A585)</f>
        <v/>
      </c>
      <c r="B585" s="18" t="str">
        <f>IF(Productos!B585="","",Productos!B585)</f>
        <v/>
      </c>
      <c r="C585" s="26" t="str">
        <f>IF(A585="","",Ventas!H585)</f>
        <v/>
      </c>
      <c r="D585" s="26" t="str">
        <f t="shared" si="27"/>
        <v/>
      </c>
      <c r="E585" s="26" t="str">
        <f t="shared" si="28"/>
        <v/>
      </c>
      <c r="F585" s="26" t="str">
        <f t="shared" si="29"/>
        <v/>
      </c>
    </row>
    <row r="586" spans="1:6" x14ac:dyDescent="0.2">
      <c r="A586" s="18" t="str">
        <f>IF(Productos!A586="","",Productos!A586)</f>
        <v/>
      </c>
      <c r="B586" s="18" t="str">
        <f>IF(Productos!B586="","",Productos!B586)</f>
        <v/>
      </c>
      <c r="C586" s="26" t="str">
        <f>IF(A586="","",Ventas!H586)</f>
        <v/>
      </c>
      <c r="D586" s="26" t="str">
        <f t="shared" si="27"/>
        <v/>
      </c>
      <c r="E586" s="26" t="str">
        <f t="shared" si="28"/>
        <v/>
      </c>
      <c r="F586" s="26" t="str">
        <f t="shared" si="29"/>
        <v/>
      </c>
    </row>
    <row r="587" spans="1:6" x14ac:dyDescent="0.2">
      <c r="A587" s="18" t="str">
        <f>IF(Productos!A587="","",Productos!A587)</f>
        <v/>
      </c>
      <c r="B587" s="18" t="str">
        <f>IF(Productos!B587="","",Productos!B587)</f>
        <v/>
      </c>
      <c r="C587" s="26" t="str">
        <f>IF(A587="","",Ventas!H587)</f>
        <v/>
      </c>
      <c r="D587" s="26" t="str">
        <f t="shared" si="27"/>
        <v/>
      </c>
      <c r="E587" s="26" t="str">
        <f t="shared" si="28"/>
        <v/>
      </c>
      <c r="F587" s="26" t="str">
        <f t="shared" si="29"/>
        <v/>
      </c>
    </row>
    <row r="588" spans="1:6" x14ac:dyDescent="0.2">
      <c r="A588" s="18" t="str">
        <f>IF(Productos!A588="","",Productos!A588)</f>
        <v/>
      </c>
      <c r="B588" s="18" t="str">
        <f>IF(Productos!B588="","",Productos!B588)</f>
        <v/>
      </c>
      <c r="C588" s="26" t="str">
        <f>IF(A588="","",Ventas!H588)</f>
        <v/>
      </c>
      <c r="D588" s="26" t="str">
        <f t="shared" si="27"/>
        <v/>
      </c>
      <c r="E588" s="26" t="str">
        <f t="shared" si="28"/>
        <v/>
      </c>
      <c r="F588" s="26" t="str">
        <f t="shared" si="29"/>
        <v/>
      </c>
    </row>
    <row r="589" spans="1:6" x14ac:dyDescent="0.2">
      <c r="A589" s="18" t="str">
        <f>IF(Productos!A589="","",Productos!A589)</f>
        <v/>
      </c>
      <c r="B589" s="18" t="str">
        <f>IF(Productos!B589="","",Productos!B589)</f>
        <v/>
      </c>
      <c r="C589" s="26" t="str">
        <f>IF(A589="","",Ventas!H589)</f>
        <v/>
      </c>
      <c r="D589" s="26" t="str">
        <f t="shared" si="27"/>
        <v/>
      </c>
      <c r="E589" s="26" t="str">
        <f t="shared" si="28"/>
        <v/>
      </c>
      <c r="F589" s="26" t="str">
        <f t="shared" si="29"/>
        <v/>
      </c>
    </row>
    <row r="590" spans="1:6" x14ac:dyDescent="0.2">
      <c r="A590" s="18" t="str">
        <f>IF(Productos!A590="","",Productos!A590)</f>
        <v/>
      </c>
      <c r="B590" s="18" t="str">
        <f>IF(Productos!B590="","",Productos!B590)</f>
        <v/>
      </c>
      <c r="C590" s="26" t="str">
        <f>IF(A590="","",Ventas!H590)</f>
        <v/>
      </c>
      <c r="D590" s="26" t="str">
        <f t="shared" si="27"/>
        <v/>
      </c>
      <c r="E590" s="26" t="str">
        <f t="shared" si="28"/>
        <v/>
      </c>
      <c r="F590" s="26" t="str">
        <f t="shared" si="29"/>
        <v/>
      </c>
    </row>
    <row r="591" spans="1:6" x14ac:dyDescent="0.2">
      <c r="A591" s="18" t="str">
        <f>IF(Productos!A591="","",Productos!A591)</f>
        <v/>
      </c>
      <c r="B591" s="18" t="str">
        <f>IF(Productos!B591="","",Productos!B591)</f>
        <v/>
      </c>
      <c r="C591" s="26" t="str">
        <f>IF(A591="","",Ventas!H591)</f>
        <v/>
      </c>
      <c r="D591" s="26" t="str">
        <f t="shared" si="27"/>
        <v/>
      </c>
      <c r="E591" s="26" t="str">
        <f t="shared" si="28"/>
        <v/>
      </c>
      <c r="F591" s="26" t="str">
        <f t="shared" si="29"/>
        <v/>
      </c>
    </row>
    <row r="592" spans="1:6" x14ac:dyDescent="0.2">
      <c r="A592" s="18" t="str">
        <f>IF(Productos!A592="","",Productos!A592)</f>
        <v/>
      </c>
      <c r="B592" s="18" t="str">
        <f>IF(Productos!B592="","",Productos!B592)</f>
        <v/>
      </c>
      <c r="C592" s="26" t="str">
        <f>IF(A592="","",Ventas!H592)</f>
        <v/>
      </c>
      <c r="D592" s="26" t="str">
        <f t="shared" si="27"/>
        <v/>
      </c>
      <c r="E592" s="26" t="str">
        <f t="shared" si="28"/>
        <v/>
      </c>
      <c r="F592" s="26" t="str">
        <f t="shared" si="29"/>
        <v/>
      </c>
    </row>
    <row r="593" spans="1:6" x14ac:dyDescent="0.2">
      <c r="A593" s="18" t="str">
        <f>IF(Productos!A593="","",Productos!A593)</f>
        <v/>
      </c>
      <c r="B593" s="18" t="str">
        <f>IF(Productos!B593="","",Productos!B593)</f>
        <v/>
      </c>
      <c r="C593" s="26" t="str">
        <f>IF(A593="","",Ventas!H593)</f>
        <v/>
      </c>
      <c r="D593" s="26" t="str">
        <f t="shared" si="27"/>
        <v/>
      </c>
      <c r="E593" s="26" t="str">
        <f t="shared" si="28"/>
        <v/>
      </c>
      <c r="F593" s="26" t="str">
        <f t="shared" si="29"/>
        <v/>
      </c>
    </row>
    <row r="594" spans="1:6" x14ac:dyDescent="0.2">
      <c r="A594" s="18" t="str">
        <f>IF(Productos!A594="","",Productos!A594)</f>
        <v/>
      </c>
      <c r="B594" s="18" t="str">
        <f>IF(Productos!B594="","",Productos!B594)</f>
        <v/>
      </c>
      <c r="C594" s="26" t="str">
        <f>IF(A594="","",Ventas!H594)</f>
        <v/>
      </c>
      <c r="D594" s="26" t="str">
        <f t="shared" si="27"/>
        <v/>
      </c>
      <c r="E594" s="26" t="str">
        <f t="shared" si="28"/>
        <v/>
      </c>
      <c r="F594" s="26" t="str">
        <f t="shared" si="29"/>
        <v/>
      </c>
    </row>
    <row r="595" spans="1:6" x14ac:dyDescent="0.2">
      <c r="A595" s="18" t="str">
        <f>IF(Productos!A595="","",Productos!A595)</f>
        <v/>
      </c>
      <c r="B595" s="18" t="str">
        <f>IF(Productos!B595="","",Productos!B595)</f>
        <v/>
      </c>
      <c r="C595" s="26" t="str">
        <f>IF(A595="","",Ventas!H595)</f>
        <v/>
      </c>
      <c r="D595" s="26" t="str">
        <f t="shared" si="27"/>
        <v/>
      </c>
      <c r="E595" s="26" t="str">
        <f t="shared" si="28"/>
        <v/>
      </c>
      <c r="F595" s="26" t="str">
        <f t="shared" si="29"/>
        <v/>
      </c>
    </row>
    <row r="596" spans="1:6" x14ac:dyDescent="0.2">
      <c r="A596" s="18" t="str">
        <f>IF(Productos!A596="","",Productos!A596)</f>
        <v/>
      </c>
      <c r="B596" s="18" t="str">
        <f>IF(Productos!B596="","",Productos!B596)</f>
        <v/>
      </c>
      <c r="C596" s="26" t="str">
        <f>IF(A596="","",Ventas!H596)</f>
        <v/>
      </c>
      <c r="D596" s="26" t="str">
        <f t="shared" si="27"/>
        <v/>
      </c>
      <c r="E596" s="26" t="str">
        <f t="shared" si="28"/>
        <v/>
      </c>
      <c r="F596" s="26" t="str">
        <f t="shared" si="29"/>
        <v/>
      </c>
    </row>
    <row r="597" spans="1:6" x14ac:dyDescent="0.2">
      <c r="A597" s="18" t="str">
        <f>IF(Productos!A597="","",Productos!A597)</f>
        <v/>
      </c>
      <c r="B597" s="18" t="str">
        <f>IF(Productos!B597="","",Productos!B597)</f>
        <v/>
      </c>
      <c r="C597" s="26" t="str">
        <f>IF(A597="","",Ventas!H597)</f>
        <v/>
      </c>
      <c r="D597" s="26" t="str">
        <f t="shared" si="27"/>
        <v/>
      </c>
      <c r="E597" s="26" t="str">
        <f t="shared" si="28"/>
        <v/>
      </c>
      <c r="F597" s="26" t="str">
        <f t="shared" si="29"/>
        <v/>
      </c>
    </row>
    <row r="598" spans="1:6" x14ac:dyDescent="0.2">
      <c r="A598" s="18" t="str">
        <f>IF(Productos!A598="","",Productos!A598)</f>
        <v/>
      </c>
      <c r="B598" s="18" t="str">
        <f>IF(Productos!B598="","",Productos!B598)</f>
        <v/>
      </c>
      <c r="C598" s="26" t="str">
        <f>IF(A598="","",Ventas!H598)</f>
        <v/>
      </c>
      <c r="D598" s="26" t="str">
        <f t="shared" si="27"/>
        <v/>
      </c>
      <c r="E598" s="26" t="str">
        <f t="shared" si="28"/>
        <v/>
      </c>
      <c r="F598" s="26" t="str">
        <f t="shared" si="29"/>
        <v/>
      </c>
    </row>
    <row r="599" spans="1:6" x14ac:dyDescent="0.2">
      <c r="A599" s="18" t="str">
        <f>IF(Productos!A599="","",Productos!A599)</f>
        <v/>
      </c>
      <c r="B599" s="18" t="str">
        <f>IF(Productos!B599="","",Productos!B599)</f>
        <v/>
      </c>
      <c r="C599" s="26" t="str">
        <f>IF(A599="","",Ventas!H599)</f>
        <v/>
      </c>
      <c r="D599" s="26" t="str">
        <f t="shared" si="27"/>
        <v/>
      </c>
      <c r="E599" s="26" t="str">
        <f t="shared" si="28"/>
        <v/>
      </c>
      <c r="F599" s="26" t="str">
        <f t="shared" si="29"/>
        <v/>
      </c>
    </row>
    <row r="600" spans="1:6" x14ac:dyDescent="0.2">
      <c r="A600" s="18" t="str">
        <f>IF(Productos!A600="","",Productos!A600)</f>
        <v/>
      </c>
      <c r="B600" s="18" t="str">
        <f>IF(Productos!B600="","",Productos!B600)</f>
        <v/>
      </c>
      <c r="C600" s="26" t="str">
        <f>IF(A600="","",Ventas!H600)</f>
        <v/>
      </c>
      <c r="D600" s="26" t="str">
        <f t="shared" si="27"/>
        <v/>
      </c>
      <c r="E600" s="26" t="str">
        <f t="shared" si="28"/>
        <v/>
      </c>
      <c r="F600" s="26" t="str">
        <f t="shared" si="29"/>
        <v/>
      </c>
    </row>
    <row r="601" spans="1:6" x14ac:dyDescent="0.2">
      <c r="A601" s="18" t="str">
        <f>IF(Productos!A601="","",Productos!A601)</f>
        <v/>
      </c>
      <c r="B601" s="18" t="str">
        <f>IF(Productos!B601="","",Productos!B601)</f>
        <v/>
      </c>
      <c r="C601" s="26" t="str">
        <f>IF(A601="","",Ventas!H601)</f>
        <v/>
      </c>
      <c r="D601" s="26" t="str">
        <f t="shared" si="27"/>
        <v/>
      </c>
      <c r="E601" s="26" t="str">
        <f t="shared" si="28"/>
        <v/>
      </c>
      <c r="F601" s="26" t="str">
        <f t="shared" si="29"/>
        <v/>
      </c>
    </row>
    <row r="602" spans="1:6" x14ac:dyDescent="0.2">
      <c r="A602" s="18" t="str">
        <f>IF(Productos!A602="","",Productos!A602)</f>
        <v/>
      </c>
      <c r="B602" s="18" t="str">
        <f>IF(Productos!B602="","",Productos!B602)</f>
        <v/>
      </c>
      <c r="C602" s="26" t="str">
        <f>IF(A602="","",Ventas!H602)</f>
        <v/>
      </c>
      <c r="D602" s="26" t="str">
        <f t="shared" si="27"/>
        <v/>
      </c>
      <c r="E602" s="26" t="str">
        <f t="shared" si="28"/>
        <v/>
      </c>
      <c r="F602" s="26" t="str">
        <f t="shared" si="29"/>
        <v/>
      </c>
    </row>
    <row r="603" spans="1:6" x14ac:dyDescent="0.2">
      <c r="A603" s="18" t="str">
        <f>IF(Productos!A603="","",Productos!A603)</f>
        <v/>
      </c>
      <c r="B603" s="18" t="str">
        <f>IF(Productos!B603="","",Productos!B603)</f>
        <v/>
      </c>
      <c r="C603" s="26" t="str">
        <f>IF(A603="","",Ventas!H603)</f>
        <v/>
      </c>
      <c r="D603" s="26" t="str">
        <f t="shared" si="27"/>
        <v/>
      </c>
      <c r="E603" s="26" t="str">
        <f t="shared" si="28"/>
        <v/>
      </c>
      <c r="F603" s="26" t="str">
        <f t="shared" si="29"/>
        <v/>
      </c>
    </row>
    <row r="604" spans="1:6" x14ac:dyDescent="0.2">
      <c r="A604" s="18" t="str">
        <f>IF(Productos!A604="","",Productos!A604)</f>
        <v/>
      </c>
      <c r="B604" s="18" t="str">
        <f>IF(Productos!B604="","",Productos!B604)</f>
        <v/>
      </c>
      <c r="C604" s="26" t="str">
        <f>IF(A604="","",Ventas!H604)</f>
        <v/>
      </c>
      <c r="D604" s="26" t="str">
        <f t="shared" si="27"/>
        <v/>
      </c>
      <c r="E604" s="26" t="str">
        <f t="shared" si="28"/>
        <v/>
      </c>
      <c r="F604" s="26" t="str">
        <f t="shared" si="29"/>
        <v/>
      </c>
    </row>
    <row r="605" spans="1:6" x14ac:dyDescent="0.2">
      <c r="A605" s="18" t="str">
        <f>IF(Productos!A605="","",Productos!A605)</f>
        <v/>
      </c>
      <c r="B605" s="18" t="str">
        <f>IF(Productos!B605="","",Productos!B605)</f>
        <v/>
      </c>
      <c r="C605" s="26" t="str">
        <f>IF(A605="","",Ventas!H605)</f>
        <v/>
      </c>
      <c r="D605" s="26" t="str">
        <f t="shared" si="27"/>
        <v/>
      </c>
      <c r="E605" s="26" t="str">
        <f t="shared" si="28"/>
        <v/>
      </c>
      <c r="F605" s="26" t="str">
        <f t="shared" si="29"/>
        <v/>
      </c>
    </row>
    <row r="606" spans="1:6" x14ac:dyDescent="0.2">
      <c r="A606" s="18" t="str">
        <f>IF(Productos!A606="","",Productos!A606)</f>
        <v/>
      </c>
      <c r="B606" s="18" t="str">
        <f>IF(Productos!B606="","",Productos!B606)</f>
        <v/>
      </c>
      <c r="C606" s="26" t="str">
        <f>IF(A606="","",Ventas!H606)</f>
        <v/>
      </c>
      <c r="D606" s="26" t="str">
        <f t="shared" si="27"/>
        <v/>
      </c>
      <c r="E606" s="26" t="str">
        <f t="shared" si="28"/>
        <v/>
      </c>
      <c r="F606" s="26" t="str">
        <f t="shared" si="29"/>
        <v/>
      </c>
    </row>
    <row r="607" spans="1:6" x14ac:dyDescent="0.2">
      <c r="A607" s="18" t="str">
        <f>IF(Productos!A607="","",Productos!A607)</f>
        <v/>
      </c>
      <c r="B607" s="18" t="str">
        <f>IF(Productos!B607="","",Productos!B607)</f>
        <v/>
      </c>
      <c r="C607" s="26" t="str">
        <f>IF(A607="","",Ventas!H607)</f>
        <v/>
      </c>
      <c r="D607" s="26" t="str">
        <f t="shared" si="27"/>
        <v/>
      </c>
      <c r="E607" s="26" t="str">
        <f t="shared" si="28"/>
        <v/>
      </c>
      <c r="F607" s="26" t="str">
        <f t="shared" si="29"/>
        <v/>
      </c>
    </row>
    <row r="608" spans="1:6" x14ac:dyDescent="0.2">
      <c r="A608" s="18" t="str">
        <f>IF(Productos!A608="","",Productos!A608)</f>
        <v/>
      </c>
      <c r="B608" s="18" t="str">
        <f>IF(Productos!B608="","",Productos!B608)</f>
        <v/>
      </c>
      <c r="C608" s="26" t="str">
        <f>IF(A608="","",Ventas!H608)</f>
        <v/>
      </c>
      <c r="D608" s="26" t="str">
        <f t="shared" si="27"/>
        <v/>
      </c>
      <c r="E608" s="26" t="str">
        <f t="shared" si="28"/>
        <v/>
      </c>
      <c r="F608" s="26" t="str">
        <f t="shared" si="29"/>
        <v/>
      </c>
    </row>
    <row r="609" spans="1:6" x14ac:dyDescent="0.2">
      <c r="A609" s="18" t="str">
        <f>IF(Productos!A609="","",Productos!A609)</f>
        <v/>
      </c>
      <c r="B609" s="18" t="str">
        <f>IF(Productos!B609="","",Productos!B609)</f>
        <v/>
      </c>
      <c r="C609" s="26" t="str">
        <f>IF(A609="","",Ventas!H609)</f>
        <v/>
      </c>
      <c r="D609" s="26" t="str">
        <f t="shared" si="27"/>
        <v/>
      </c>
      <c r="E609" s="26" t="str">
        <f t="shared" si="28"/>
        <v/>
      </c>
      <c r="F609" s="26" t="str">
        <f t="shared" si="29"/>
        <v/>
      </c>
    </row>
    <row r="610" spans="1:6" x14ac:dyDescent="0.2">
      <c r="A610" s="18" t="str">
        <f>IF(Productos!A610="","",Productos!A610)</f>
        <v/>
      </c>
      <c r="B610" s="18" t="str">
        <f>IF(Productos!B610="","",Productos!B610)</f>
        <v/>
      </c>
      <c r="C610" s="26" t="str">
        <f>IF(A610="","",Ventas!H610)</f>
        <v/>
      </c>
      <c r="D610" s="26" t="str">
        <f t="shared" si="27"/>
        <v/>
      </c>
      <c r="E610" s="26" t="str">
        <f t="shared" si="28"/>
        <v/>
      </c>
      <c r="F610" s="26" t="str">
        <f t="shared" si="29"/>
        <v/>
      </c>
    </row>
    <row r="611" spans="1:6" x14ac:dyDescent="0.2">
      <c r="A611" s="18" t="str">
        <f>IF(Productos!A611="","",Productos!A611)</f>
        <v/>
      </c>
      <c r="B611" s="18" t="str">
        <f>IF(Productos!B611="","",Productos!B611)</f>
        <v/>
      </c>
      <c r="C611" s="26" t="str">
        <f>IF(A611="","",Ventas!H611)</f>
        <v/>
      </c>
      <c r="D611" s="26" t="str">
        <f t="shared" si="27"/>
        <v/>
      </c>
      <c r="E611" s="26" t="str">
        <f t="shared" si="28"/>
        <v/>
      </c>
      <c r="F611" s="26" t="str">
        <f t="shared" si="29"/>
        <v/>
      </c>
    </row>
    <row r="612" spans="1:6" x14ac:dyDescent="0.2">
      <c r="A612" s="18" t="str">
        <f>IF(Productos!A612="","",Productos!A612)</f>
        <v/>
      </c>
      <c r="B612" s="18" t="str">
        <f>IF(Productos!B612="","",Productos!B612)</f>
        <v/>
      </c>
      <c r="C612" s="26" t="str">
        <f>IF(A612="","",Ventas!H612)</f>
        <v/>
      </c>
      <c r="D612" s="26" t="str">
        <f t="shared" si="27"/>
        <v/>
      </c>
      <c r="E612" s="26" t="str">
        <f t="shared" si="28"/>
        <v/>
      </c>
      <c r="F612" s="26" t="str">
        <f t="shared" si="29"/>
        <v/>
      </c>
    </row>
    <row r="613" spans="1:6" x14ac:dyDescent="0.2">
      <c r="A613" s="18" t="str">
        <f>IF(Productos!A613="","",Productos!A613)</f>
        <v/>
      </c>
      <c r="B613" s="18" t="str">
        <f>IF(Productos!B613="","",Productos!B613)</f>
        <v/>
      </c>
      <c r="C613" s="26" t="str">
        <f>IF(A613="","",Ventas!H613)</f>
        <v/>
      </c>
      <c r="D613" s="26" t="str">
        <f t="shared" si="27"/>
        <v/>
      </c>
      <c r="E613" s="26" t="str">
        <f t="shared" si="28"/>
        <v/>
      </c>
      <c r="F613" s="26" t="str">
        <f t="shared" si="29"/>
        <v/>
      </c>
    </row>
    <row r="614" spans="1:6" x14ac:dyDescent="0.2">
      <c r="A614" s="18" t="str">
        <f>IF(Productos!A614="","",Productos!A614)</f>
        <v/>
      </c>
      <c r="B614" s="18" t="str">
        <f>IF(Productos!B614="","",Productos!B614)</f>
        <v/>
      </c>
      <c r="C614" s="26" t="str">
        <f>IF(A614="","",Ventas!H614)</f>
        <v/>
      </c>
      <c r="D614" s="26" t="str">
        <f t="shared" si="27"/>
        <v/>
      </c>
      <c r="E614" s="26" t="str">
        <f t="shared" si="28"/>
        <v/>
      </c>
      <c r="F614" s="26" t="str">
        <f t="shared" si="29"/>
        <v/>
      </c>
    </row>
    <row r="615" spans="1:6" x14ac:dyDescent="0.2">
      <c r="A615" s="18" t="str">
        <f>IF(Productos!A615="","",Productos!A615)</f>
        <v/>
      </c>
      <c r="B615" s="18" t="str">
        <f>IF(Productos!B615="","",Productos!B615)</f>
        <v/>
      </c>
      <c r="C615" s="26" t="str">
        <f>IF(A615="","",Ventas!H615)</f>
        <v/>
      </c>
      <c r="D615" s="26" t="str">
        <f t="shared" si="27"/>
        <v/>
      </c>
      <c r="E615" s="26" t="str">
        <f t="shared" si="28"/>
        <v/>
      </c>
      <c r="F615" s="26" t="str">
        <f t="shared" si="29"/>
        <v/>
      </c>
    </row>
    <row r="616" spans="1:6" x14ac:dyDescent="0.2">
      <c r="A616" s="18" t="str">
        <f>IF(Productos!A616="","",Productos!A616)</f>
        <v/>
      </c>
      <c r="B616" s="18" t="str">
        <f>IF(Productos!B616="","",Productos!B616)</f>
        <v/>
      </c>
      <c r="C616" s="26" t="str">
        <f>IF(A616="","",Ventas!H616)</f>
        <v/>
      </c>
      <c r="D616" s="26" t="str">
        <f t="shared" si="27"/>
        <v/>
      </c>
      <c r="E616" s="26" t="str">
        <f t="shared" si="28"/>
        <v/>
      </c>
      <c r="F616" s="26" t="str">
        <f t="shared" si="29"/>
        <v/>
      </c>
    </row>
    <row r="617" spans="1:6" x14ac:dyDescent="0.2">
      <c r="A617" s="18" t="str">
        <f>IF(Productos!A617="","",Productos!A617)</f>
        <v/>
      </c>
      <c r="B617" s="18" t="str">
        <f>IF(Productos!B617="","",Productos!B617)</f>
        <v/>
      </c>
      <c r="C617" s="26" t="str">
        <f>IF(A617="","",Ventas!H617)</f>
        <v/>
      </c>
      <c r="D617" s="26" t="str">
        <f t="shared" si="27"/>
        <v/>
      </c>
      <c r="E617" s="26" t="str">
        <f t="shared" si="28"/>
        <v/>
      </c>
      <c r="F617" s="26" t="str">
        <f t="shared" si="29"/>
        <v/>
      </c>
    </row>
    <row r="618" spans="1:6" x14ac:dyDescent="0.2">
      <c r="A618" s="18" t="str">
        <f>IF(Productos!A618="","",Productos!A618)</f>
        <v/>
      </c>
      <c r="B618" s="18" t="str">
        <f>IF(Productos!B618="","",Productos!B618)</f>
        <v/>
      </c>
      <c r="C618" s="26" t="str">
        <f>IF(A618="","",Ventas!H618)</f>
        <v/>
      </c>
      <c r="D618" s="26" t="str">
        <f t="shared" si="27"/>
        <v/>
      </c>
      <c r="E618" s="26" t="str">
        <f t="shared" si="28"/>
        <v/>
      </c>
      <c r="F618" s="26" t="str">
        <f t="shared" si="29"/>
        <v/>
      </c>
    </row>
    <row r="619" spans="1:6" x14ac:dyDescent="0.2">
      <c r="A619" s="18" t="str">
        <f>IF(Productos!A619="","",Productos!A619)</f>
        <v/>
      </c>
      <c r="B619" s="18" t="str">
        <f>IF(Productos!B619="","",Productos!B619)</f>
        <v/>
      </c>
      <c r="C619" s="26" t="str">
        <f>IF(A619="","",Ventas!H619)</f>
        <v/>
      </c>
      <c r="D619" s="26" t="str">
        <f t="shared" si="27"/>
        <v/>
      </c>
      <c r="E619" s="26" t="str">
        <f t="shared" si="28"/>
        <v/>
      </c>
      <c r="F619" s="26" t="str">
        <f t="shared" si="29"/>
        <v/>
      </c>
    </row>
    <row r="620" spans="1:6" x14ac:dyDescent="0.2">
      <c r="A620" s="18" t="str">
        <f>IF(Productos!A620="","",Productos!A620)</f>
        <v/>
      </c>
      <c r="B620" s="18" t="str">
        <f>IF(Productos!B620="","",Productos!B620)</f>
        <v/>
      </c>
      <c r="C620" s="26" t="str">
        <f>IF(A620="","",Ventas!H620)</f>
        <v/>
      </c>
      <c r="D620" s="26" t="str">
        <f t="shared" si="27"/>
        <v/>
      </c>
      <c r="E620" s="26" t="str">
        <f t="shared" si="28"/>
        <v/>
      </c>
      <c r="F620" s="26" t="str">
        <f t="shared" si="29"/>
        <v/>
      </c>
    </row>
    <row r="621" spans="1:6" x14ac:dyDescent="0.2">
      <c r="A621" s="18" t="str">
        <f>IF(Productos!A621="","",Productos!A621)</f>
        <v/>
      </c>
      <c r="B621" s="18" t="str">
        <f>IF(Productos!B621="","",Productos!B621)</f>
        <v/>
      </c>
      <c r="C621" s="26" t="str">
        <f>IF(A621="","",Ventas!H621)</f>
        <v/>
      </c>
      <c r="D621" s="26" t="str">
        <f t="shared" si="27"/>
        <v/>
      </c>
      <c r="E621" s="26" t="str">
        <f t="shared" si="28"/>
        <v/>
      </c>
      <c r="F621" s="26" t="str">
        <f t="shared" si="29"/>
        <v/>
      </c>
    </row>
    <row r="622" spans="1:6" x14ac:dyDescent="0.2">
      <c r="A622" s="18" t="str">
        <f>IF(Productos!A622="","",Productos!A622)</f>
        <v/>
      </c>
      <c r="B622" s="18" t="str">
        <f>IF(Productos!B622="","",Productos!B622)</f>
        <v/>
      </c>
      <c r="C622" s="26" t="str">
        <f>IF(A622="","",Ventas!H622)</f>
        <v/>
      </c>
      <c r="D622" s="26" t="str">
        <f t="shared" si="27"/>
        <v/>
      </c>
      <c r="E622" s="26" t="str">
        <f t="shared" si="28"/>
        <v/>
      </c>
      <c r="F622" s="26" t="str">
        <f t="shared" si="29"/>
        <v/>
      </c>
    </row>
    <row r="623" spans="1:6" x14ac:dyDescent="0.2">
      <c r="A623" s="18" t="str">
        <f>IF(Productos!A623="","",Productos!A623)</f>
        <v/>
      </c>
      <c r="B623" s="18" t="str">
        <f>IF(Productos!B623="","",Productos!B623)</f>
        <v/>
      </c>
      <c r="C623" s="26" t="str">
        <f>IF(A623="","",Ventas!H623)</f>
        <v/>
      </c>
      <c r="D623" s="26" t="str">
        <f t="shared" si="27"/>
        <v/>
      </c>
      <c r="E623" s="26" t="str">
        <f t="shared" si="28"/>
        <v/>
      </c>
      <c r="F623" s="26" t="str">
        <f t="shared" si="29"/>
        <v/>
      </c>
    </row>
    <row r="624" spans="1:6" x14ac:dyDescent="0.2">
      <c r="A624" s="18" t="str">
        <f>IF(Productos!A624="","",Productos!A624)</f>
        <v/>
      </c>
      <c r="B624" s="18" t="str">
        <f>IF(Productos!B624="","",Productos!B624)</f>
        <v/>
      </c>
      <c r="C624" s="26" t="str">
        <f>IF(A624="","",Ventas!H624)</f>
        <v/>
      </c>
      <c r="D624" s="26" t="str">
        <f t="shared" si="27"/>
        <v/>
      </c>
      <c r="E624" s="26" t="str">
        <f t="shared" si="28"/>
        <v/>
      </c>
      <c r="F624" s="26" t="str">
        <f t="shared" si="29"/>
        <v/>
      </c>
    </row>
    <row r="625" spans="1:6" x14ac:dyDescent="0.2">
      <c r="A625" s="18" t="str">
        <f>IF(Productos!A625="","",Productos!A625)</f>
        <v/>
      </c>
      <c r="B625" s="18" t="str">
        <f>IF(Productos!B625="","",Productos!B625)</f>
        <v/>
      </c>
      <c r="C625" s="26" t="str">
        <f>IF(A625="","",Ventas!H625)</f>
        <v/>
      </c>
      <c r="D625" s="26" t="str">
        <f t="shared" si="27"/>
        <v/>
      </c>
      <c r="E625" s="26" t="str">
        <f t="shared" si="28"/>
        <v/>
      </c>
      <c r="F625" s="26" t="str">
        <f t="shared" si="29"/>
        <v/>
      </c>
    </row>
    <row r="626" spans="1:6" x14ac:dyDescent="0.2">
      <c r="A626" s="18" t="str">
        <f>IF(Productos!A626="","",Productos!A626)</f>
        <v/>
      </c>
      <c r="B626" s="18" t="str">
        <f>IF(Productos!B626="","",Productos!B626)</f>
        <v/>
      </c>
      <c r="C626" s="26" t="str">
        <f>IF(A626="","",Ventas!H626)</f>
        <v/>
      </c>
      <c r="D626" s="26" t="str">
        <f t="shared" si="27"/>
        <v/>
      </c>
      <c r="E626" s="26" t="str">
        <f t="shared" si="28"/>
        <v/>
      </c>
      <c r="F626" s="26" t="str">
        <f t="shared" si="29"/>
        <v/>
      </c>
    </row>
    <row r="627" spans="1:6" x14ac:dyDescent="0.2">
      <c r="A627" s="18" t="str">
        <f>IF(Productos!A627="","",Productos!A627)</f>
        <v/>
      </c>
      <c r="B627" s="18" t="str">
        <f>IF(Productos!B627="","",Productos!B627)</f>
        <v/>
      </c>
      <c r="C627" s="26" t="str">
        <f>IF(A627="","",Ventas!H627)</f>
        <v/>
      </c>
      <c r="D627" s="26" t="str">
        <f t="shared" si="27"/>
        <v/>
      </c>
      <c r="E627" s="26" t="str">
        <f t="shared" si="28"/>
        <v/>
      </c>
      <c r="F627" s="26" t="str">
        <f t="shared" si="29"/>
        <v/>
      </c>
    </row>
    <row r="628" spans="1:6" x14ac:dyDescent="0.2">
      <c r="A628" s="18" t="str">
        <f>IF(Productos!A628="","",Productos!A628)</f>
        <v/>
      </c>
      <c r="B628" s="18" t="str">
        <f>IF(Productos!B628="","",Productos!B628)</f>
        <v/>
      </c>
      <c r="C628" s="26" t="str">
        <f>IF(A628="","",Ventas!H628)</f>
        <v/>
      </c>
      <c r="D628" s="26" t="str">
        <f t="shared" si="27"/>
        <v/>
      </c>
      <c r="E628" s="26" t="str">
        <f t="shared" si="28"/>
        <v/>
      </c>
      <c r="F628" s="26" t="str">
        <f t="shared" si="29"/>
        <v/>
      </c>
    </row>
    <row r="629" spans="1:6" x14ac:dyDescent="0.2">
      <c r="A629" s="18" t="str">
        <f>IF(Productos!A629="","",Productos!A629)</f>
        <v/>
      </c>
      <c r="B629" s="18" t="str">
        <f>IF(Productos!B629="","",Productos!B629)</f>
        <v/>
      </c>
      <c r="C629" s="26" t="str">
        <f>IF(A629="","",Ventas!H629)</f>
        <v/>
      </c>
      <c r="D629" s="26" t="str">
        <f t="shared" si="27"/>
        <v/>
      </c>
      <c r="E629" s="26" t="str">
        <f t="shared" si="28"/>
        <v/>
      </c>
      <c r="F629" s="26" t="str">
        <f t="shared" si="29"/>
        <v/>
      </c>
    </row>
    <row r="630" spans="1:6" x14ac:dyDescent="0.2">
      <c r="A630" s="18" t="str">
        <f>IF(Productos!A630="","",Productos!A630)</f>
        <v/>
      </c>
      <c r="B630" s="18" t="str">
        <f>IF(Productos!B630="","",Productos!B630)</f>
        <v/>
      </c>
      <c r="C630" s="26" t="str">
        <f>IF(A630="","",Ventas!H630)</f>
        <v/>
      </c>
      <c r="D630" s="26" t="str">
        <f t="shared" si="27"/>
        <v/>
      </c>
      <c r="E630" s="26" t="str">
        <f t="shared" si="28"/>
        <v/>
      </c>
      <c r="F630" s="26" t="str">
        <f t="shared" si="29"/>
        <v/>
      </c>
    </row>
    <row r="631" spans="1:6" x14ac:dyDescent="0.2">
      <c r="A631" s="18" t="str">
        <f>IF(Productos!A631="","",Productos!A631)</f>
        <v/>
      </c>
      <c r="B631" s="18" t="str">
        <f>IF(Productos!B631="","",Productos!B631)</f>
        <v/>
      </c>
      <c r="C631" s="26" t="str">
        <f>IF(A631="","",Ventas!H631)</f>
        <v/>
      </c>
      <c r="D631" s="26" t="str">
        <f t="shared" si="27"/>
        <v/>
      </c>
      <c r="E631" s="26" t="str">
        <f t="shared" si="28"/>
        <v/>
      </c>
      <c r="F631" s="26" t="str">
        <f t="shared" si="29"/>
        <v/>
      </c>
    </row>
    <row r="632" spans="1:6" x14ac:dyDescent="0.2">
      <c r="A632" s="18" t="str">
        <f>IF(Productos!A632="","",Productos!A632)</f>
        <v/>
      </c>
      <c r="B632" s="18" t="str">
        <f>IF(Productos!B632="","",Productos!B632)</f>
        <v/>
      </c>
      <c r="C632" s="26" t="str">
        <f>IF(A632="","",Ventas!H632)</f>
        <v/>
      </c>
      <c r="D632" s="26" t="str">
        <f t="shared" si="27"/>
        <v/>
      </c>
      <c r="E632" s="26" t="str">
        <f t="shared" si="28"/>
        <v/>
      </c>
      <c r="F632" s="26" t="str">
        <f t="shared" si="29"/>
        <v/>
      </c>
    </row>
    <row r="633" spans="1:6" x14ac:dyDescent="0.2">
      <c r="A633" s="18" t="str">
        <f>IF(Productos!A633="","",Productos!A633)</f>
        <v/>
      </c>
      <c r="B633" s="18" t="str">
        <f>IF(Productos!B633="","",Productos!B633)</f>
        <v/>
      </c>
      <c r="C633" s="26" t="str">
        <f>IF(A633="","",Ventas!H633)</f>
        <v/>
      </c>
      <c r="D633" s="26" t="str">
        <f t="shared" si="27"/>
        <v/>
      </c>
      <c r="E633" s="26" t="str">
        <f t="shared" si="28"/>
        <v/>
      </c>
      <c r="F633" s="26" t="str">
        <f t="shared" si="29"/>
        <v/>
      </c>
    </row>
    <row r="634" spans="1:6" x14ac:dyDescent="0.2">
      <c r="A634" s="18" t="str">
        <f>IF(Productos!A634="","",Productos!A634)</f>
        <v/>
      </c>
      <c r="B634" s="18" t="str">
        <f>IF(Productos!B634="","",Productos!B634)</f>
        <v/>
      </c>
      <c r="C634" s="26" t="str">
        <f>IF(A634="","",Ventas!H634)</f>
        <v/>
      </c>
      <c r="D634" s="26" t="str">
        <f t="shared" si="27"/>
        <v/>
      </c>
      <c r="E634" s="26" t="str">
        <f t="shared" si="28"/>
        <v/>
      </c>
      <c r="F634" s="26" t="str">
        <f t="shared" si="29"/>
        <v/>
      </c>
    </row>
    <row r="635" spans="1:6" x14ac:dyDescent="0.2">
      <c r="A635" s="18" t="str">
        <f>IF(Productos!A635="","",Productos!A635)</f>
        <v/>
      </c>
      <c r="B635" s="18" t="str">
        <f>IF(Productos!B635="","",Productos!B635)</f>
        <v/>
      </c>
      <c r="C635" s="26" t="str">
        <f>IF(A635="","",Ventas!H635)</f>
        <v/>
      </c>
      <c r="D635" s="26" t="str">
        <f t="shared" si="27"/>
        <v/>
      </c>
      <c r="E635" s="26" t="str">
        <f t="shared" si="28"/>
        <v/>
      </c>
      <c r="F635" s="26" t="str">
        <f t="shared" si="29"/>
        <v/>
      </c>
    </row>
    <row r="636" spans="1:6" x14ac:dyDescent="0.2">
      <c r="A636" s="18" t="str">
        <f>IF(Productos!A636="","",Productos!A636)</f>
        <v/>
      </c>
      <c r="B636" s="18" t="str">
        <f>IF(Productos!B636="","",Productos!B636)</f>
        <v/>
      </c>
      <c r="C636" s="26" t="str">
        <f>IF(A636="","",Ventas!H636)</f>
        <v/>
      </c>
      <c r="D636" s="26" t="str">
        <f t="shared" si="27"/>
        <v/>
      </c>
      <c r="E636" s="26" t="str">
        <f t="shared" si="28"/>
        <v/>
      </c>
      <c r="F636" s="26" t="str">
        <f t="shared" si="29"/>
        <v/>
      </c>
    </row>
    <row r="637" spans="1:6" x14ac:dyDescent="0.2">
      <c r="A637" s="18" t="str">
        <f>IF(Productos!A637="","",Productos!A637)</f>
        <v/>
      </c>
      <c r="B637" s="18" t="str">
        <f>IF(Productos!B637="","",Productos!B637)</f>
        <v/>
      </c>
      <c r="C637" s="26" t="str">
        <f>IF(A637="","",Ventas!H637)</f>
        <v/>
      </c>
      <c r="D637" s="26" t="str">
        <f t="shared" si="27"/>
        <v/>
      </c>
      <c r="E637" s="26" t="str">
        <f t="shared" si="28"/>
        <v/>
      </c>
      <c r="F637" s="26" t="str">
        <f t="shared" si="29"/>
        <v/>
      </c>
    </row>
    <row r="638" spans="1:6" x14ac:dyDescent="0.2">
      <c r="A638" s="18" t="str">
        <f>IF(Productos!A638="","",Productos!A638)</f>
        <v/>
      </c>
      <c r="B638" s="18" t="str">
        <f>IF(Productos!B638="","",Productos!B638)</f>
        <v/>
      </c>
      <c r="C638" s="26" t="str">
        <f>IF(A638="","",Ventas!H638)</f>
        <v/>
      </c>
      <c r="D638" s="26" t="str">
        <f t="shared" si="27"/>
        <v/>
      </c>
      <c r="E638" s="26" t="str">
        <f t="shared" si="28"/>
        <v/>
      </c>
      <c r="F638" s="26" t="str">
        <f t="shared" si="29"/>
        <v/>
      </c>
    </row>
    <row r="639" spans="1:6" x14ac:dyDescent="0.2">
      <c r="A639" s="18" t="str">
        <f>IF(Productos!A639="","",Productos!A639)</f>
        <v/>
      </c>
      <c r="B639" s="18" t="str">
        <f>IF(Productos!B639="","",Productos!B639)</f>
        <v/>
      </c>
      <c r="C639" s="26" t="str">
        <f>IF(A639="","",Ventas!H639)</f>
        <v/>
      </c>
      <c r="D639" s="26" t="str">
        <f t="shared" si="27"/>
        <v/>
      </c>
      <c r="E639" s="26" t="str">
        <f t="shared" si="28"/>
        <v/>
      </c>
      <c r="F639" s="26" t="str">
        <f t="shared" si="29"/>
        <v/>
      </c>
    </row>
    <row r="640" spans="1:6" x14ac:dyDescent="0.2">
      <c r="A640" s="18" t="str">
        <f>IF(Productos!A640="","",Productos!A640)</f>
        <v/>
      </c>
      <c r="B640" s="18" t="str">
        <f>IF(Productos!B640="","",Productos!B640)</f>
        <v/>
      </c>
      <c r="C640" s="26" t="str">
        <f>IF(A640="","",Ventas!H640)</f>
        <v/>
      </c>
      <c r="D640" s="26" t="str">
        <f t="shared" si="27"/>
        <v/>
      </c>
      <c r="E640" s="26" t="str">
        <f t="shared" si="28"/>
        <v/>
      </c>
      <c r="F640" s="26" t="str">
        <f t="shared" si="29"/>
        <v/>
      </c>
    </row>
    <row r="641" spans="1:6" x14ac:dyDescent="0.2">
      <c r="A641" s="18" t="str">
        <f>IF(Productos!A641="","",Productos!A641)</f>
        <v/>
      </c>
      <c r="B641" s="18" t="str">
        <f>IF(Productos!B641="","",Productos!B641)</f>
        <v/>
      </c>
      <c r="C641" s="26" t="str">
        <f>IF(A641="","",Ventas!H641)</f>
        <v/>
      </c>
      <c r="D641" s="26" t="str">
        <f t="shared" si="27"/>
        <v/>
      </c>
      <c r="E641" s="26" t="str">
        <f t="shared" si="28"/>
        <v/>
      </c>
      <c r="F641" s="26" t="str">
        <f t="shared" si="29"/>
        <v/>
      </c>
    </row>
    <row r="642" spans="1:6" x14ac:dyDescent="0.2">
      <c r="A642" s="18" t="str">
        <f>IF(Productos!A642="","",Productos!A642)</f>
        <v/>
      </c>
      <c r="B642" s="18" t="str">
        <f>IF(Productos!B642="","",Productos!B642)</f>
        <v/>
      </c>
      <c r="C642" s="26" t="str">
        <f>IF(A642="","",Ventas!H642)</f>
        <v/>
      </c>
      <c r="D642" s="26" t="str">
        <f t="shared" si="27"/>
        <v/>
      </c>
      <c r="E642" s="26" t="str">
        <f t="shared" si="28"/>
        <v/>
      </c>
      <c r="F642" s="26" t="str">
        <f t="shared" si="29"/>
        <v/>
      </c>
    </row>
    <row r="643" spans="1:6" x14ac:dyDescent="0.2">
      <c r="A643" s="18" t="str">
        <f>IF(Productos!A643="","",Productos!A643)</f>
        <v/>
      </c>
      <c r="B643" s="18" t="str">
        <f>IF(Productos!B643="","",Productos!B643)</f>
        <v/>
      </c>
      <c r="C643" s="26" t="str">
        <f>IF(A643="","",Ventas!H643)</f>
        <v/>
      </c>
      <c r="D643" s="26" t="str">
        <f t="shared" ref="D643:D706" si="30">IF(A643="","",ROUND(C643/3,2))</f>
        <v/>
      </c>
      <c r="E643" s="26" t="str">
        <f t="shared" ref="E643:E706" si="31">IF(A643="","",ROUND(C643/3,2))</f>
        <v/>
      </c>
      <c r="F643" s="26" t="str">
        <f t="shared" ref="F643:F706" si="32">IF(A643="","",C643-D643-E643)</f>
        <v/>
      </c>
    </row>
    <row r="644" spans="1:6" x14ac:dyDescent="0.2">
      <c r="A644" s="18" t="str">
        <f>IF(Productos!A644="","",Productos!A644)</f>
        <v/>
      </c>
      <c r="B644" s="18" t="str">
        <f>IF(Productos!B644="","",Productos!B644)</f>
        <v/>
      </c>
      <c r="C644" s="26" t="str">
        <f>IF(A644="","",Ventas!H644)</f>
        <v/>
      </c>
      <c r="D644" s="26" t="str">
        <f t="shared" si="30"/>
        <v/>
      </c>
      <c r="E644" s="26" t="str">
        <f t="shared" si="31"/>
        <v/>
      </c>
      <c r="F644" s="26" t="str">
        <f t="shared" si="32"/>
        <v/>
      </c>
    </row>
    <row r="645" spans="1:6" x14ac:dyDescent="0.2">
      <c r="A645" s="18" t="str">
        <f>IF(Productos!A645="","",Productos!A645)</f>
        <v/>
      </c>
      <c r="B645" s="18" t="str">
        <f>IF(Productos!B645="","",Productos!B645)</f>
        <v/>
      </c>
      <c r="C645" s="26" t="str">
        <f>IF(A645="","",Ventas!H645)</f>
        <v/>
      </c>
      <c r="D645" s="26" t="str">
        <f t="shared" si="30"/>
        <v/>
      </c>
      <c r="E645" s="26" t="str">
        <f t="shared" si="31"/>
        <v/>
      </c>
      <c r="F645" s="26" t="str">
        <f t="shared" si="32"/>
        <v/>
      </c>
    </row>
    <row r="646" spans="1:6" x14ac:dyDescent="0.2">
      <c r="A646" s="18" t="str">
        <f>IF(Productos!A646="","",Productos!A646)</f>
        <v/>
      </c>
      <c r="B646" s="18" t="str">
        <f>IF(Productos!B646="","",Productos!B646)</f>
        <v/>
      </c>
      <c r="C646" s="26" t="str">
        <f>IF(A646="","",Ventas!H646)</f>
        <v/>
      </c>
      <c r="D646" s="26" t="str">
        <f t="shared" si="30"/>
        <v/>
      </c>
      <c r="E646" s="26" t="str">
        <f t="shared" si="31"/>
        <v/>
      </c>
      <c r="F646" s="26" t="str">
        <f t="shared" si="32"/>
        <v/>
      </c>
    </row>
    <row r="647" spans="1:6" x14ac:dyDescent="0.2">
      <c r="A647" s="18" t="str">
        <f>IF(Productos!A647="","",Productos!A647)</f>
        <v/>
      </c>
      <c r="B647" s="18" t="str">
        <f>IF(Productos!B647="","",Productos!B647)</f>
        <v/>
      </c>
      <c r="C647" s="26" t="str">
        <f>IF(A647="","",Ventas!H647)</f>
        <v/>
      </c>
      <c r="D647" s="26" t="str">
        <f t="shared" si="30"/>
        <v/>
      </c>
      <c r="E647" s="26" t="str">
        <f t="shared" si="31"/>
        <v/>
      </c>
      <c r="F647" s="26" t="str">
        <f t="shared" si="32"/>
        <v/>
      </c>
    </row>
    <row r="648" spans="1:6" x14ac:dyDescent="0.2">
      <c r="A648" s="18" t="str">
        <f>IF(Productos!A648="","",Productos!A648)</f>
        <v/>
      </c>
      <c r="B648" s="18" t="str">
        <f>IF(Productos!B648="","",Productos!B648)</f>
        <v/>
      </c>
      <c r="C648" s="26" t="str">
        <f>IF(A648="","",Ventas!H648)</f>
        <v/>
      </c>
      <c r="D648" s="26" t="str">
        <f t="shared" si="30"/>
        <v/>
      </c>
      <c r="E648" s="26" t="str">
        <f t="shared" si="31"/>
        <v/>
      </c>
      <c r="F648" s="26" t="str">
        <f t="shared" si="32"/>
        <v/>
      </c>
    </row>
    <row r="649" spans="1:6" x14ac:dyDescent="0.2">
      <c r="A649" s="18" t="str">
        <f>IF(Productos!A649="","",Productos!A649)</f>
        <v/>
      </c>
      <c r="B649" s="18" t="str">
        <f>IF(Productos!B649="","",Productos!B649)</f>
        <v/>
      </c>
      <c r="C649" s="26" t="str">
        <f>IF(A649="","",Ventas!H649)</f>
        <v/>
      </c>
      <c r="D649" s="26" t="str">
        <f t="shared" si="30"/>
        <v/>
      </c>
      <c r="E649" s="26" t="str">
        <f t="shared" si="31"/>
        <v/>
      </c>
      <c r="F649" s="26" t="str">
        <f t="shared" si="32"/>
        <v/>
      </c>
    </row>
    <row r="650" spans="1:6" x14ac:dyDescent="0.2">
      <c r="A650" s="18" t="str">
        <f>IF(Productos!A650="","",Productos!A650)</f>
        <v/>
      </c>
      <c r="B650" s="18" t="str">
        <f>IF(Productos!B650="","",Productos!B650)</f>
        <v/>
      </c>
      <c r="C650" s="26" t="str">
        <f>IF(A650="","",Ventas!H650)</f>
        <v/>
      </c>
      <c r="D650" s="26" t="str">
        <f t="shared" si="30"/>
        <v/>
      </c>
      <c r="E650" s="26" t="str">
        <f t="shared" si="31"/>
        <v/>
      </c>
      <c r="F650" s="26" t="str">
        <f t="shared" si="32"/>
        <v/>
      </c>
    </row>
    <row r="651" spans="1:6" x14ac:dyDescent="0.2">
      <c r="A651" s="18" t="str">
        <f>IF(Productos!A651="","",Productos!A651)</f>
        <v/>
      </c>
      <c r="B651" s="18" t="str">
        <f>IF(Productos!B651="","",Productos!B651)</f>
        <v/>
      </c>
      <c r="C651" s="26" t="str">
        <f>IF(A651="","",Ventas!H651)</f>
        <v/>
      </c>
      <c r="D651" s="26" t="str">
        <f t="shared" si="30"/>
        <v/>
      </c>
      <c r="E651" s="26" t="str">
        <f t="shared" si="31"/>
        <v/>
      </c>
      <c r="F651" s="26" t="str">
        <f t="shared" si="32"/>
        <v/>
      </c>
    </row>
    <row r="652" spans="1:6" x14ac:dyDescent="0.2">
      <c r="A652" s="18" t="str">
        <f>IF(Productos!A652="","",Productos!A652)</f>
        <v/>
      </c>
      <c r="B652" s="18" t="str">
        <f>IF(Productos!B652="","",Productos!B652)</f>
        <v/>
      </c>
      <c r="C652" s="26" t="str">
        <f>IF(A652="","",Ventas!H652)</f>
        <v/>
      </c>
      <c r="D652" s="26" t="str">
        <f t="shared" si="30"/>
        <v/>
      </c>
      <c r="E652" s="26" t="str">
        <f t="shared" si="31"/>
        <v/>
      </c>
      <c r="F652" s="26" t="str">
        <f t="shared" si="32"/>
        <v/>
      </c>
    </row>
    <row r="653" spans="1:6" x14ac:dyDescent="0.2">
      <c r="A653" s="18" t="str">
        <f>IF(Productos!A653="","",Productos!A653)</f>
        <v/>
      </c>
      <c r="B653" s="18" t="str">
        <f>IF(Productos!B653="","",Productos!B653)</f>
        <v/>
      </c>
      <c r="C653" s="26" t="str">
        <f>IF(A653="","",Ventas!H653)</f>
        <v/>
      </c>
      <c r="D653" s="26" t="str">
        <f t="shared" si="30"/>
        <v/>
      </c>
      <c r="E653" s="26" t="str">
        <f t="shared" si="31"/>
        <v/>
      </c>
      <c r="F653" s="26" t="str">
        <f t="shared" si="32"/>
        <v/>
      </c>
    </row>
    <row r="654" spans="1:6" x14ac:dyDescent="0.2">
      <c r="A654" s="18" t="str">
        <f>IF(Productos!A654="","",Productos!A654)</f>
        <v/>
      </c>
      <c r="B654" s="18" t="str">
        <f>IF(Productos!B654="","",Productos!B654)</f>
        <v/>
      </c>
      <c r="C654" s="26" t="str">
        <f>IF(A654="","",Ventas!H654)</f>
        <v/>
      </c>
      <c r="D654" s="26" t="str">
        <f t="shared" si="30"/>
        <v/>
      </c>
      <c r="E654" s="26" t="str">
        <f t="shared" si="31"/>
        <v/>
      </c>
      <c r="F654" s="26" t="str">
        <f t="shared" si="32"/>
        <v/>
      </c>
    </row>
    <row r="655" spans="1:6" x14ac:dyDescent="0.2">
      <c r="A655" s="18" t="str">
        <f>IF(Productos!A655="","",Productos!A655)</f>
        <v/>
      </c>
      <c r="B655" s="18" t="str">
        <f>IF(Productos!B655="","",Productos!B655)</f>
        <v/>
      </c>
      <c r="C655" s="26" t="str">
        <f>IF(A655="","",Ventas!H655)</f>
        <v/>
      </c>
      <c r="D655" s="26" t="str">
        <f t="shared" si="30"/>
        <v/>
      </c>
      <c r="E655" s="26" t="str">
        <f t="shared" si="31"/>
        <v/>
      </c>
      <c r="F655" s="26" t="str">
        <f t="shared" si="32"/>
        <v/>
      </c>
    </row>
    <row r="656" spans="1:6" x14ac:dyDescent="0.2">
      <c r="A656" s="18" t="str">
        <f>IF(Productos!A656="","",Productos!A656)</f>
        <v/>
      </c>
      <c r="B656" s="18" t="str">
        <f>IF(Productos!B656="","",Productos!B656)</f>
        <v/>
      </c>
      <c r="C656" s="26" t="str">
        <f>IF(A656="","",Ventas!H656)</f>
        <v/>
      </c>
      <c r="D656" s="26" t="str">
        <f t="shared" si="30"/>
        <v/>
      </c>
      <c r="E656" s="26" t="str">
        <f t="shared" si="31"/>
        <v/>
      </c>
      <c r="F656" s="26" t="str">
        <f t="shared" si="32"/>
        <v/>
      </c>
    </row>
    <row r="657" spans="1:6" x14ac:dyDescent="0.2">
      <c r="A657" s="18" t="str">
        <f>IF(Productos!A657="","",Productos!A657)</f>
        <v/>
      </c>
      <c r="B657" s="18" t="str">
        <f>IF(Productos!B657="","",Productos!B657)</f>
        <v/>
      </c>
      <c r="C657" s="26" t="str">
        <f>IF(A657="","",Ventas!H657)</f>
        <v/>
      </c>
      <c r="D657" s="26" t="str">
        <f t="shared" si="30"/>
        <v/>
      </c>
      <c r="E657" s="26" t="str">
        <f t="shared" si="31"/>
        <v/>
      </c>
      <c r="F657" s="26" t="str">
        <f t="shared" si="32"/>
        <v/>
      </c>
    </row>
    <row r="658" spans="1:6" x14ac:dyDescent="0.2">
      <c r="A658" s="18" t="str">
        <f>IF(Productos!A658="","",Productos!A658)</f>
        <v/>
      </c>
      <c r="B658" s="18" t="str">
        <f>IF(Productos!B658="","",Productos!B658)</f>
        <v/>
      </c>
      <c r="C658" s="26" t="str">
        <f>IF(A658="","",Ventas!H658)</f>
        <v/>
      </c>
      <c r="D658" s="26" t="str">
        <f t="shared" si="30"/>
        <v/>
      </c>
      <c r="E658" s="26" t="str">
        <f t="shared" si="31"/>
        <v/>
      </c>
      <c r="F658" s="26" t="str">
        <f t="shared" si="32"/>
        <v/>
      </c>
    </row>
    <row r="659" spans="1:6" x14ac:dyDescent="0.2">
      <c r="A659" s="18" t="str">
        <f>IF(Productos!A659="","",Productos!A659)</f>
        <v/>
      </c>
      <c r="B659" s="18" t="str">
        <f>IF(Productos!B659="","",Productos!B659)</f>
        <v/>
      </c>
      <c r="C659" s="26" t="str">
        <f>IF(A659="","",Ventas!H659)</f>
        <v/>
      </c>
      <c r="D659" s="26" t="str">
        <f t="shared" si="30"/>
        <v/>
      </c>
      <c r="E659" s="26" t="str">
        <f t="shared" si="31"/>
        <v/>
      </c>
      <c r="F659" s="26" t="str">
        <f t="shared" si="32"/>
        <v/>
      </c>
    </row>
    <row r="660" spans="1:6" x14ac:dyDescent="0.2">
      <c r="A660" s="18" t="str">
        <f>IF(Productos!A660="","",Productos!A660)</f>
        <v/>
      </c>
      <c r="B660" s="18" t="str">
        <f>IF(Productos!B660="","",Productos!B660)</f>
        <v/>
      </c>
      <c r="C660" s="26" t="str">
        <f>IF(A660="","",Ventas!H660)</f>
        <v/>
      </c>
      <c r="D660" s="26" t="str">
        <f t="shared" si="30"/>
        <v/>
      </c>
      <c r="E660" s="26" t="str">
        <f t="shared" si="31"/>
        <v/>
      </c>
      <c r="F660" s="26" t="str">
        <f t="shared" si="32"/>
        <v/>
      </c>
    </row>
    <row r="661" spans="1:6" x14ac:dyDescent="0.2">
      <c r="A661" s="18" t="str">
        <f>IF(Productos!A661="","",Productos!A661)</f>
        <v/>
      </c>
      <c r="B661" s="18" t="str">
        <f>IF(Productos!B661="","",Productos!B661)</f>
        <v/>
      </c>
      <c r="C661" s="26" t="str">
        <f>IF(A661="","",Ventas!H661)</f>
        <v/>
      </c>
      <c r="D661" s="26" t="str">
        <f t="shared" si="30"/>
        <v/>
      </c>
      <c r="E661" s="26" t="str">
        <f t="shared" si="31"/>
        <v/>
      </c>
      <c r="F661" s="26" t="str">
        <f t="shared" si="32"/>
        <v/>
      </c>
    </row>
    <row r="662" spans="1:6" x14ac:dyDescent="0.2">
      <c r="A662" s="18" t="str">
        <f>IF(Productos!A662="","",Productos!A662)</f>
        <v/>
      </c>
      <c r="B662" s="18" t="str">
        <f>IF(Productos!B662="","",Productos!B662)</f>
        <v/>
      </c>
      <c r="C662" s="26" t="str">
        <f>IF(A662="","",Ventas!H662)</f>
        <v/>
      </c>
      <c r="D662" s="26" t="str">
        <f t="shared" si="30"/>
        <v/>
      </c>
      <c r="E662" s="26" t="str">
        <f t="shared" si="31"/>
        <v/>
      </c>
      <c r="F662" s="26" t="str">
        <f t="shared" si="32"/>
        <v/>
      </c>
    </row>
    <row r="663" spans="1:6" x14ac:dyDescent="0.2">
      <c r="A663" s="18" t="str">
        <f>IF(Productos!A663="","",Productos!A663)</f>
        <v/>
      </c>
      <c r="B663" s="18" t="str">
        <f>IF(Productos!B663="","",Productos!B663)</f>
        <v/>
      </c>
      <c r="C663" s="26" t="str">
        <f>IF(A663="","",Ventas!H663)</f>
        <v/>
      </c>
      <c r="D663" s="26" t="str">
        <f t="shared" si="30"/>
        <v/>
      </c>
      <c r="E663" s="26" t="str">
        <f t="shared" si="31"/>
        <v/>
      </c>
      <c r="F663" s="26" t="str">
        <f t="shared" si="32"/>
        <v/>
      </c>
    </row>
    <row r="664" spans="1:6" x14ac:dyDescent="0.2">
      <c r="A664" s="18" t="str">
        <f>IF(Productos!A664="","",Productos!A664)</f>
        <v/>
      </c>
      <c r="B664" s="18" t="str">
        <f>IF(Productos!B664="","",Productos!B664)</f>
        <v/>
      </c>
      <c r="C664" s="26" t="str">
        <f>IF(A664="","",Ventas!H664)</f>
        <v/>
      </c>
      <c r="D664" s="26" t="str">
        <f t="shared" si="30"/>
        <v/>
      </c>
      <c r="E664" s="26" t="str">
        <f t="shared" si="31"/>
        <v/>
      </c>
      <c r="F664" s="26" t="str">
        <f t="shared" si="32"/>
        <v/>
      </c>
    </row>
    <row r="665" spans="1:6" x14ac:dyDescent="0.2">
      <c r="A665" s="18" t="str">
        <f>IF(Productos!A665="","",Productos!A665)</f>
        <v/>
      </c>
      <c r="B665" s="18" t="str">
        <f>IF(Productos!B665="","",Productos!B665)</f>
        <v/>
      </c>
      <c r="C665" s="26" t="str">
        <f>IF(A665="","",Ventas!H665)</f>
        <v/>
      </c>
      <c r="D665" s="26" t="str">
        <f t="shared" si="30"/>
        <v/>
      </c>
      <c r="E665" s="26" t="str">
        <f t="shared" si="31"/>
        <v/>
      </c>
      <c r="F665" s="26" t="str">
        <f t="shared" si="32"/>
        <v/>
      </c>
    </row>
    <row r="666" spans="1:6" x14ac:dyDescent="0.2">
      <c r="A666" s="18" t="str">
        <f>IF(Productos!A666="","",Productos!A666)</f>
        <v/>
      </c>
      <c r="B666" s="18" t="str">
        <f>IF(Productos!B666="","",Productos!B666)</f>
        <v/>
      </c>
      <c r="C666" s="26" t="str">
        <f>IF(A666="","",Ventas!H666)</f>
        <v/>
      </c>
      <c r="D666" s="26" t="str">
        <f t="shared" si="30"/>
        <v/>
      </c>
      <c r="E666" s="26" t="str">
        <f t="shared" si="31"/>
        <v/>
      </c>
      <c r="F666" s="26" t="str">
        <f t="shared" si="32"/>
        <v/>
      </c>
    </row>
    <row r="667" spans="1:6" x14ac:dyDescent="0.2">
      <c r="A667" s="18" t="str">
        <f>IF(Productos!A667="","",Productos!A667)</f>
        <v/>
      </c>
      <c r="B667" s="18" t="str">
        <f>IF(Productos!B667="","",Productos!B667)</f>
        <v/>
      </c>
      <c r="C667" s="26" t="str">
        <f>IF(A667="","",Ventas!H667)</f>
        <v/>
      </c>
      <c r="D667" s="26" t="str">
        <f t="shared" si="30"/>
        <v/>
      </c>
      <c r="E667" s="26" t="str">
        <f t="shared" si="31"/>
        <v/>
      </c>
      <c r="F667" s="26" t="str">
        <f t="shared" si="32"/>
        <v/>
      </c>
    </row>
    <row r="668" spans="1:6" x14ac:dyDescent="0.2">
      <c r="A668" s="18" t="str">
        <f>IF(Productos!A668="","",Productos!A668)</f>
        <v/>
      </c>
      <c r="B668" s="18" t="str">
        <f>IF(Productos!B668="","",Productos!B668)</f>
        <v/>
      </c>
      <c r="C668" s="26" t="str">
        <f>IF(A668="","",Ventas!H668)</f>
        <v/>
      </c>
      <c r="D668" s="26" t="str">
        <f t="shared" si="30"/>
        <v/>
      </c>
      <c r="E668" s="26" t="str">
        <f t="shared" si="31"/>
        <v/>
      </c>
      <c r="F668" s="26" t="str">
        <f t="shared" si="32"/>
        <v/>
      </c>
    </row>
    <row r="669" spans="1:6" x14ac:dyDescent="0.2">
      <c r="A669" s="18" t="str">
        <f>IF(Productos!A669="","",Productos!A669)</f>
        <v/>
      </c>
      <c r="B669" s="18" t="str">
        <f>IF(Productos!B669="","",Productos!B669)</f>
        <v/>
      </c>
      <c r="C669" s="26" t="str">
        <f>IF(A669="","",Ventas!H669)</f>
        <v/>
      </c>
      <c r="D669" s="26" t="str">
        <f t="shared" si="30"/>
        <v/>
      </c>
      <c r="E669" s="26" t="str">
        <f t="shared" si="31"/>
        <v/>
      </c>
      <c r="F669" s="26" t="str">
        <f t="shared" si="32"/>
        <v/>
      </c>
    </row>
    <row r="670" spans="1:6" x14ac:dyDescent="0.2">
      <c r="A670" s="18" t="str">
        <f>IF(Productos!A670="","",Productos!A670)</f>
        <v/>
      </c>
      <c r="B670" s="18" t="str">
        <f>IF(Productos!B670="","",Productos!B670)</f>
        <v/>
      </c>
      <c r="C670" s="26" t="str">
        <f>IF(A670="","",Ventas!H670)</f>
        <v/>
      </c>
      <c r="D670" s="26" t="str">
        <f t="shared" si="30"/>
        <v/>
      </c>
      <c r="E670" s="26" t="str">
        <f t="shared" si="31"/>
        <v/>
      </c>
      <c r="F670" s="26" t="str">
        <f t="shared" si="32"/>
        <v/>
      </c>
    </row>
    <row r="671" spans="1:6" x14ac:dyDescent="0.2">
      <c r="A671" s="18" t="str">
        <f>IF(Productos!A671="","",Productos!A671)</f>
        <v/>
      </c>
      <c r="B671" s="18" t="str">
        <f>IF(Productos!B671="","",Productos!B671)</f>
        <v/>
      </c>
      <c r="C671" s="26" t="str">
        <f>IF(A671="","",Ventas!H671)</f>
        <v/>
      </c>
      <c r="D671" s="26" t="str">
        <f t="shared" si="30"/>
        <v/>
      </c>
      <c r="E671" s="26" t="str">
        <f t="shared" si="31"/>
        <v/>
      </c>
      <c r="F671" s="26" t="str">
        <f t="shared" si="32"/>
        <v/>
      </c>
    </row>
    <row r="672" spans="1:6" x14ac:dyDescent="0.2">
      <c r="A672" s="18" t="str">
        <f>IF(Productos!A672="","",Productos!A672)</f>
        <v/>
      </c>
      <c r="B672" s="18" t="str">
        <f>IF(Productos!B672="","",Productos!B672)</f>
        <v/>
      </c>
      <c r="C672" s="26" t="str">
        <f>IF(A672="","",Ventas!H672)</f>
        <v/>
      </c>
      <c r="D672" s="26" t="str">
        <f t="shared" si="30"/>
        <v/>
      </c>
      <c r="E672" s="26" t="str">
        <f t="shared" si="31"/>
        <v/>
      </c>
      <c r="F672" s="26" t="str">
        <f t="shared" si="32"/>
        <v/>
      </c>
    </row>
    <row r="673" spans="1:6" x14ac:dyDescent="0.2">
      <c r="A673" s="18" t="str">
        <f>IF(Productos!A673="","",Productos!A673)</f>
        <v/>
      </c>
      <c r="B673" s="18" t="str">
        <f>IF(Productos!B673="","",Productos!B673)</f>
        <v/>
      </c>
      <c r="C673" s="26" t="str">
        <f>IF(A673="","",Ventas!H673)</f>
        <v/>
      </c>
      <c r="D673" s="26" t="str">
        <f t="shared" si="30"/>
        <v/>
      </c>
      <c r="E673" s="26" t="str">
        <f t="shared" si="31"/>
        <v/>
      </c>
      <c r="F673" s="26" t="str">
        <f t="shared" si="32"/>
        <v/>
      </c>
    </row>
    <row r="674" spans="1:6" x14ac:dyDescent="0.2">
      <c r="A674" s="18" t="str">
        <f>IF(Productos!A674="","",Productos!A674)</f>
        <v/>
      </c>
      <c r="B674" s="18" t="str">
        <f>IF(Productos!B674="","",Productos!B674)</f>
        <v/>
      </c>
      <c r="C674" s="26" t="str">
        <f>IF(A674="","",Ventas!H674)</f>
        <v/>
      </c>
      <c r="D674" s="26" t="str">
        <f t="shared" si="30"/>
        <v/>
      </c>
      <c r="E674" s="26" t="str">
        <f t="shared" si="31"/>
        <v/>
      </c>
      <c r="F674" s="26" t="str">
        <f t="shared" si="32"/>
        <v/>
      </c>
    </row>
    <row r="675" spans="1:6" x14ac:dyDescent="0.2">
      <c r="A675" s="18" t="str">
        <f>IF(Productos!A675="","",Productos!A675)</f>
        <v/>
      </c>
      <c r="B675" s="18" t="str">
        <f>IF(Productos!B675="","",Productos!B675)</f>
        <v/>
      </c>
      <c r="C675" s="26" t="str">
        <f>IF(A675="","",Ventas!H675)</f>
        <v/>
      </c>
      <c r="D675" s="26" t="str">
        <f t="shared" si="30"/>
        <v/>
      </c>
      <c r="E675" s="26" t="str">
        <f t="shared" si="31"/>
        <v/>
      </c>
      <c r="F675" s="26" t="str">
        <f t="shared" si="32"/>
        <v/>
      </c>
    </row>
    <row r="676" spans="1:6" x14ac:dyDescent="0.2">
      <c r="A676" s="18" t="str">
        <f>IF(Productos!A676="","",Productos!A676)</f>
        <v/>
      </c>
      <c r="B676" s="18" t="str">
        <f>IF(Productos!B676="","",Productos!B676)</f>
        <v/>
      </c>
      <c r="C676" s="26" t="str">
        <f>IF(A676="","",Ventas!H676)</f>
        <v/>
      </c>
      <c r="D676" s="26" t="str">
        <f t="shared" si="30"/>
        <v/>
      </c>
      <c r="E676" s="26" t="str">
        <f t="shared" si="31"/>
        <v/>
      </c>
      <c r="F676" s="26" t="str">
        <f t="shared" si="32"/>
        <v/>
      </c>
    </row>
    <row r="677" spans="1:6" x14ac:dyDescent="0.2">
      <c r="A677" s="18" t="str">
        <f>IF(Productos!A677="","",Productos!A677)</f>
        <v/>
      </c>
      <c r="B677" s="18" t="str">
        <f>IF(Productos!B677="","",Productos!B677)</f>
        <v/>
      </c>
      <c r="C677" s="26" t="str">
        <f>IF(A677="","",Ventas!H677)</f>
        <v/>
      </c>
      <c r="D677" s="26" t="str">
        <f t="shared" si="30"/>
        <v/>
      </c>
      <c r="E677" s="26" t="str">
        <f t="shared" si="31"/>
        <v/>
      </c>
      <c r="F677" s="26" t="str">
        <f t="shared" si="32"/>
        <v/>
      </c>
    </row>
    <row r="678" spans="1:6" x14ac:dyDescent="0.2">
      <c r="A678" s="18" t="str">
        <f>IF(Productos!A678="","",Productos!A678)</f>
        <v/>
      </c>
      <c r="B678" s="18" t="str">
        <f>IF(Productos!B678="","",Productos!B678)</f>
        <v/>
      </c>
      <c r="C678" s="26" t="str">
        <f>IF(A678="","",Ventas!H678)</f>
        <v/>
      </c>
      <c r="D678" s="26" t="str">
        <f t="shared" si="30"/>
        <v/>
      </c>
      <c r="E678" s="26" t="str">
        <f t="shared" si="31"/>
        <v/>
      </c>
      <c r="F678" s="26" t="str">
        <f t="shared" si="32"/>
        <v/>
      </c>
    </row>
    <row r="679" spans="1:6" x14ac:dyDescent="0.2">
      <c r="A679" s="18" t="str">
        <f>IF(Productos!A679="","",Productos!A679)</f>
        <v/>
      </c>
      <c r="B679" s="18" t="str">
        <f>IF(Productos!B679="","",Productos!B679)</f>
        <v/>
      </c>
      <c r="C679" s="26" t="str">
        <f>IF(A679="","",Ventas!H679)</f>
        <v/>
      </c>
      <c r="D679" s="26" t="str">
        <f t="shared" si="30"/>
        <v/>
      </c>
      <c r="E679" s="26" t="str">
        <f t="shared" si="31"/>
        <v/>
      </c>
      <c r="F679" s="26" t="str">
        <f t="shared" si="32"/>
        <v/>
      </c>
    </row>
    <row r="680" spans="1:6" x14ac:dyDescent="0.2">
      <c r="A680" s="18" t="str">
        <f>IF(Productos!A680="","",Productos!A680)</f>
        <v/>
      </c>
      <c r="B680" s="18" t="str">
        <f>IF(Productos!B680="","",Productos!B680)</f>
        <v/>
      </c>
      <c r="C680" s="26" t="str">
        <f>IF(A680="","",Ventas!H680)</f>
        <v/>
      </c>
      <c r="D680" s="26" t="str">
        <f t="shared" si="30"/>
        <v/>
      </c>
      <c r="E680" s="26" t="str">
        <f t="shared" si="31"/>
        <v/>
      </c>
      <c r="F680" s="26" t="str">
        <f t="shared" si="32"/>
        <v/>
      </c>
    </row>
    <row r="681" spans="1:6" x14ac:dyDescent="0.2">
      <c r="A681" s="18" t="str">
        <f>IF(Productos!A681="","",Productos!A681)</f>
        <v/>
      </c>
      <c r="B681" s="18" t="str">
        <f>IF(Productos!B681="","",Productos!B681)</f>
        <v/>
      </c>
      <c r="C681" s="26" t="str">
        <f>IF(A681="","",Ventas!H681)</f>
        <v/>
      </c>
      <c r="D681" s="26" t="str">
        <f t="shared" si="30"/>
        <v/>
      </c>
      <c r="E681" s="26" t="str">
        <f t="shared" si="31"/>
        <v/>
      </c>
      <c r="F681" s="26" t="str">
        <f t="shared" si="32"/>
        <v/>
      </c>
    </row>
    <row r="682" spans="1:6" x14ac:dyDescent="0.2">
      <c r="A682" s="18" t="str">
        <f>IF(Productos!A682="","",Productos!A682)</f>
        <v/>
      </c>
      <c r="B682" s="18" t="str">
        <f>IF(Productos!B682="","",Productos!B682)</f>
        <v/>
      </c>
      <c r="C682" s="26" t="str">
        <f>IF(A682="","",Ventas!H682)</f>
        <v/>
      </c>
      <c r="D682" s="26" t="str">
        <f t="shared" si="30"/>
        <v/>
      </c>
      <c r="E682" s="26" t="str">
        <f t="shared" si="31"/>
        <v/>
      </c>
      <c r="F682" s="26" t="str">
        <f t="shared" si="32"/>
        <v/>
      </c>
    </row>
    <row r="683" spans="1:6" x14ac:dyDescent="0.2">
      <c r="A683" s="18" t="str">
        <f>IF(Productos!A683="","",Productos!A683)</f>
        <v/>
      </c>
      <c r="B683" s="18" t="str">
        <f>IF(Productos!B683="","",Productos!B683)</f>
        <v/>
      </c>
      <c r="C683" s="26" t="str">
        <f>IF(A683="","",Ventas!H683)</f>
        <v/>
      </c>
      <c r="D683" s="26" t="str">
        <f t="shared" si="30"/>
        <v/>
      </c>
      <c r="E683" s="26" t="str">
        <f t="shared" si="31"/>
        <v/>
      </c>
      <c r="F683" s="26" t="str">
        <f t="shared" si="32"/>
        <v/>
      </c>
    </row>
    <row r="684" spans="1:6" x14ac:dyDescent="0.2">
      <c r="A684" s="18" t="str">
        <f>IF(Productos!A684="","",Productos!A684)</f>
        <v/>
      </c>
      <c r="B684" s="18" t="str">
        <f>IF(Productos!B684="","",Productos!B684)</f>
        <v/>
      </c>
      <c r="C684" s="26" t="str">
        <f>IF(A684="","",Ventas!H684)</f>
        <v/>
      </c>
      <c r="D684" s="26" t="str">
        <f t="shared" si="30"/>
        <v/>
      </c>
      <c r="E684" s="26" t="str">
        <f t="shared" si="31"/>
        <v/>
      </c>
      <c r="F684" s="26" t="str">
        <f t="shared" si="32"/>
        <v/>
      </c>
    </row>
    <row r="685" spans="1:6" x14ac:dyDescent="0.2">
      <c r="A685" s="18" t="str">
        <f>IF(Productos!A685="","",Productos!A685)</f>
        <v/>
      </c>
      <c r="B685" s="18" t="str">
        <f>IF(Productos!B685="","",Productos!B685)</f>
        <v/>
      </c>
      <c r="C685" s="26" t="str">
        <f>IF(A685="","",Ventas!H685)</f>
        <v/>
      </c>
      <c r="D685" s="26" t="str">
        <f t="shared" si="30"/>
        <v/>
      </c>
      <c r="E685" s="26" t="str">
        <f t="shared" si="31"/>
        <v/>
      </c>
      <c r="F685" s="26" t="str">
        <f t="shared" si="32"/>
        <v/>
      </c>
    </row>
    <row r="686" spans="1:6" x14ac:dyDescent="0.2">
      <c r="A686" s="18" t="str">
        <f>IF(Productos!A686="","",Productos!A686)</f>
        <v/>
      </c>
      <c r="B686" s="18" t="str">
        <f>IF(Productos!B686="","",Productos!B686)</f>
        <v/>
      </c>
      <c r="C686" s="26" t="str">
        <f>IF(A686="","",Ventas!H686)</f>
        <v/>
      </c>
      <c r="D686" s="26" t="str">
        <f t="shared" si="30"/>
        <v/>
      </c>
      <c r="E686" s="26" t="str">
        <f t="shared" si="31"/>
        <v/>
      </c>
      <c r="F686" s="26" t="str">
        <f t="shared" si="32"/>
        <v/>
      </c>
    </row>
    <row r="687" spans="1:6" x14ac:dyDescent="0.2">
      <c r="A687" s="18" t="str">
        <f>IF(Productos!A687="","",Productos!A687)</f>
        <v/>
      </c>
      <c r="B687" s="18" t="str">
        <f>IF(Productos!B687="","",Productos!B687)</f>
        <v/>
      </c>
      <c r="C687" s="26" t="str">
        <f>IF(A687="","",Ventas!H687)</f>
        <v/>
      </c>
      <c r="D687" s="26" t="str">
        <f t="shared" si="30"/>
        <v/>
      </c>
      <c r="E687" s="26" t="str">
        <f t="shared" si="31"/>
        <v/>
      </c>
      <c r="F687" s="26" t="str">
        <f t="shared" si="32"/>
        <v/>
      </c>
    </row>
    <row r="688" spans="1:6" x14ac:dyDescent="0.2">
      <c r="A688" s="18" t="str">
        <f>IF(Productos!A688="","",Productos!A688)</f>
        <v/>
      </c>
      <c r="B688" s="18" t="str">
        <f>IF(Productos!B688="","",Productos!B688)</f>
        <v/>
      </c>
      <c r="C688" s="26" t="str">
        <f>IF(A688="","",Ventas!H688)</f>
        <v/>
      </c>
      <c r="D688" s="26" t="str">
        <f t="shared" si="30"/>
        <v/>
      </c>
      <c r="E688" s="26" t="str">
        <f t="shared" si="31"/>
        <v/>
      </c>
      <c r="F688" s="26" t="str">
        <f t="shared" si="32"/>
        <v/>
      </c>
    </row>
    <row r="689" spans="1:6" x14ac:dyDescent="0.2">
      <c r="A689" s="18" t="str">
        <f>IF(Productos!A689="","",Productos!A689)</f>
        <v/>
      </c>
      <c r="B689" s="18" t="str">
        <f>IF(Productos!B689="","",Productos!B689)</f>
        <v/>
      </c>
      <c r="C689" s="26" t="str">
        <f>IF(A689="","",Ventas!H689)</f>
        <v/>
      </c>
      <c r="D689" s="26" t="str">
        <f t="shared" si="30"/>
        <v/>
      </c>
      <c r="E689" s="26" t="str">
        <f t="shared" si="31"/>
        <v/>
      </c>
      <c r="F689" s="26" t="str">
        <f t="shared" si="32"/>
        <v/>
      </c>
    </row>
    <row r="690" spans="1:6" x14ac:dyDescent="0.2">
      <c r="A690" s="18" t="str">
        <f>IF(Productos!A690="","",Productos!A690)</f>
        <v/>
      </c>
      <c r="B690" s="18" t="str">
        <f>IF(Productos!B690="","",Productos!B690)</f>
        <v/>
      </c>
      <c r="C690" s="26" t="str">
        <f>IF(A690="","",Ventas!H690)</f>
        <v/>
      </c>
      <c r="D690" s="26" t="str">
        <f t="shared" si="30"/>
        <v/>
      </c>
      <c r="E690" s="26" t="str">
        <f t="shared" si="31"/>
        <v/>
      </c>
      <c r="F690" s="26" t="str">
        <f t="shared" si="32"/>
        <v/>
      </c>
    </row>
    <row r="691" spans="1:6" x14ac:dyDescent="0.2">
      <c r="A691" s="18" t="str">
        <f>IF(Productos!A691="","",Productos!A691)</f>
        <v/>
      </c>
      <c r="B691" s="18" t="str">
        <f>IF(Productos!B691="","",Productos!B691)</f>
        <v/>
      </c>
      <c r="C691" s="26" t="str">
        <f>IF(A691="","",Ventas!H691)</f>
        <v/>
      </c>
      <c r="D691" s="26" t="str">
        <f t="shared" si="30"/>
        <v/>
      </c>
      <c r="E691" s="26" t="str">
        <f t="shared" si="31"/>
        <v/>
      </c>
      <c r="F691" s="26" t="str">
        <f t="shared" si="32"/>
        <v/>
      </c>
    </row>
    <row r="692" spans="1:6" x14ac:dyDescent="0.2">
      <c r="A692" s="18" t="str">
        <f>IF(Productos!A692="","",Productos!A692)</f>
        <v/>
      </c>
      <c r="B692" s="18" t="str">
        <f>IF(Productos!B692="","",Productos!B692)</f>
        <v/>
      </c>
      <c r="C692" s="26" t="str">
        <f>IF(A692="","",Ventas!H692)</f>
        <v/>
      </c>
      <c r="D692" s="26" t="str">
        <f t="shared" si="30"/>
        <v/>
      </c>
      <c r="E692" s="26" t="str">
        <f t="shared" si="31"/>
        <v/>
      </c>
      <c r="F692" s="26" t="str">
        <f t="shared" si="32"/>
        <v/>
      </c>
    </row>
    <row r="693" spans="1:6" x14ac:dyDescent="0.2">
      <c r="A693" s="18" t="str">
        <f>IF(Productos!A693="","",Productos!A693)</f>
        <v/>
      </c>
      <c r="B693" s="18" t="str">
        <f>IF(Productos!B693="","",Productos!B693)</f>
        <v/>
      </c>
      <c r="C693" s="26" t="str">
        <f>IF(A693="","",Ventas!H693)</f>
        <v/>
      </c>
      <c r="D693" s="26" t="str">
        <f t="shared" si="30"/>
        <v/>
      </c>
      <c r="E693" s="26" t="str">
        <f t="shared" si="31"/>
        <v/>
      </c>
      <c r="F693" s="26" t="str">
        <f t="shared" si="32"/>
        <v/>
      </c>
    </row>
    <row r="694" spans="1:6" x14ac:dyDescent="0.2">
      <c r="A694" s="18" t="str">
        <f>IF(Productos!A694="","",Productos!A694)</f>
        <v/>
      </c>
      <c r="B694" s="18" t="str">
        <f>IF(Productos!B694="","",Productos!B694)</f>
        <v/>
      </c>
      <c r="C694" s="26" t="str">
        <f>IF(A694="","",Ventas!H694)</f>
        <v/>
      </c>
      <c r="D694" s="26" t="str">
        <f t="shared" si="30"/>
        <v/>
      </c>
      <c r="E694" s="26" t="str">
        <f t="shared" si="31"/>
        <v/>
      </c>
      <c r="F694" s="26" t="str">
        <f t="shared" si="32"/>
        <v/>
      </c>
    </row>
    <row r="695" spans="1:6" x14ac:dyDescent="0.2">
      <c r="A695" s="18" t="str">
        <f>IF(Productos!A695="","",Productos!A695)</f>
        <v/>
      </c>
      <c r="B695" s="18" t="str">
        <f>IF(Productos!B695="","",Productos!B695)</f>
        <v/>
      </c>
      <c r="C695" s="26" t="str">
        <f>IF(A695="","",Ventas!H695)</f>
        <v/>
      </c>
      <c r="D695" s="26" t="str">
        <f t="shared" si="30"/>
        <v/>
      </c>
      <c r="E695" s="26" t="str">
        <f t="shared" si="31"/>
        <v/>
      </c>
      <c r="F695" s="26" t="str">
        <f t="shared" si="32"/>
        <v/>
      </c>
    </row>
    <row r="696" spans="1:6" x14ac:dyDescent="0.2">
      <c r="A696" s="18" t="str">
        <f>IF(Productos!A696="","",Productos!A696)</f>
        <v/>
      </c>
      <c r="B696" s="18" t="str">
        <f>IF(Productos!B696="","",Productos!B696)</f>
        <v/>
      </c>
      <c r="C696" s="26" t="str">
        <f>IF(A696="","",Ventas!H696)</f>
        <v/>
      </c>
      <c r="D696" s="26" t="str">
        <f t="shared" si="30"/>
        <v/>
      </c>
      <c r="E696" s="26" t="str">
        <f t="shared" si="31"/>
        <v/>
      </c>
      <c r="F696" s="26" t="str">
        <f t="shared" si="32"/>
        <v/>
      </c>
    </row>
    <row r="697" spans="1:6" x14ac:dyDescent="0.2">
      <c r="A697" s="18" t="str">
        <f>IF(Productos!A697="","",Productos!A697)</f>
        <v/>
      </c>
      <c r="B697" s="18" t="str">
        <f>IF(Productos!B697="","",Productos!B697)</f>
        <v/>
      </c>
      <c r="C697" s="26" t="str">
        <f>IF(A697="","",Ventas!H697)</f>
        <v/>
      </c>
      <c r="D697" s="26" t="str">
        <f t="shared" si="30"/>
        <v/>
      </c>
      <c r="E697" s="26" t="str">
        <f t="shared" si="31"/>
        <v/>
      </c>
      <c r="F697" s="26" t="str">
        <f t="shared" si="32"/>
        <v/>
      </c>
    </row>
    <row r="698" spans="1:6" x14ac:dyDescent="0.2">
      <c r="A698" s="18" t="str">
        <f>IF(Productos!A698="","",Productos!A698)</f>
        <v/>
      </c>
      <c r="B698" s="18" t="str">
        <f>IF(Productos!B698="","",Productos!B698)</f>
        <v/>
      </c>
      <c r="C698" s="26" t="str">
        <f>IF(A698="","",Ventas!H698)</f>
        <v/>
      </c>
      <c r="D698" s="26" t="str">
        <f t="shared" si="30"/>
        <v/>
      </c>
      <c r="E698" s="26" t="str">
        <f t="shared" si="31"/>
        <v/>
      </c>
      <c r="F698" s="26" t="str">
        <f t="shared" si="32"/>
        <v/>
      </c>
    </row>
    <row r="699" spans="1:6" x14ac:dyDescent="0.2">
      <c r="A699" s="18" t="str">
        <f>IF(Productos!A699="","",Productos!A699)</f>
        <v/>
      </c>
      <c r="B699" s="18" t="str">
        <f>IF(Productos!B699="","",Productos!B699)</f>
        <v/>
      </c>
      <c r="C699" s="26" t="str">
        <f>IF(A699="","",Ventas!H699)</f>
        <v/>
      </c>
      <c r="D699" s="26" t="str">
        <f t="shared" si="30"/>
        <v/>
      </c>
      <c r="E699" s="26" t="str">
        <f t="shared" si="31"/>
        <v/>
      </c>
      <c r="F699" s="26" t="str">
        <f t="shared" si="32"/>
        <v/>
      </c>
    </row>
    <row r="700" spans="1:6" x14ac:dyDescent="0.2">
      <c r="A700" s="18" t="str">
        <f>IF(Productos!A700="","",Productos!A700)</f>
        <v/>
      </c>
      <c r="B700" s="18" t="str">
        <f>IF(Productos!B700="","",Productos!B700)</f>
        <v/>
      </c>
      <c r="C700" s="26" t="str">
        <f>IF(A700="","",Ventas!H700)</f>
        <v/>
      </c>
      <c r="D700" s="26" t="str">
        <f t="shared" si="30"/>
        <v/>
      </c>
      <c r="E700" s="26" t="str">
        <f t="shared" si="31"/>
        <v/>
      </c>
      <c r="F700" s="26" t="str">
        <f t="shared" si="32"/>
        <v/>
      </c>
    </row>
    <row r="701" spans="1:6" x14ac:dyDescent="0.2">
      <c r="A701" s="18" t="str">
        <f>IF(Productos!A701="","",Productos!A701)</f>
        <v/>
      </c>
      <c r="B701" s="18" t="str">
        <f>IF(Productos!B701="","",Productos!B701)</f>
        <v/>
      </c>
      <c r="C701" s="26" t="str">
        <f>IF(A701="","",Ventas!H701)</f>
        <v/>
      </c>
      <c r="D701" s="26" t="str">
        <f t="shared" si="30"/>
        <v/>
      </c>
      <c r="E701" s="26" t="str">
        <f t="shared" si="31"/>
        <v/>
      </c>
      <c r="F701" s="26" t="str">
        <f t="shared" si="32"/>
        <v/>
      </c>
    </row>
    <row r="702" spans="1:6" x14ac:dyDescent="0.2">
      <c r="A702" s="18" t="str">
        <f>IF(Productos!A702="","",Productos!A702)</f>
        <v/>
      </c>
      <c r="B702" s="18" t="str">
        <f>IF(Productos!B702="","",Productos!B702)</f>
        <v/>
      </c>
      <c r="C702" s="26" t="str">
        <f>IF(A702="","",Ventas!H702)</f>
        <v/>
      </c>
      <c r="D702" s="26" t="str">
        <f t="shared" si="30"/>
        <v/>
      </c>
      <c r="E702" s="26" t="str">
        <f t="shared" si="31"/>
        <v/>
      </c>
      <c r="F702" s="26" t="str">
        <f t="shared" si="32"/>
        <v/>
      </c>
    </row>
    <row r="703" spans="1:6" x14ac:dyDescent="0.2">
      <c r="A703" s="18" t="str">
        <f>IF(Productos!A703="","",Productos!A703)</f>
        <v/>
      </c>
      <c r="B703" s="18" t="str">
        <f>IF(Productos!B703="","",Productos!B703)</f>
        <v/>
      </c>
      <c r="C703" s="26" t="str">
        <f>IF(A703="","",Ventas!H703)</f>
        <v/>
      </c>
      <c r="D703" s="26" t="str">
        <f t="shared" si="30"/>
        <v/>
      </c>
      <c r="E703" s="26" t="str">
        <f t="shared" si="31"/>
        <v/>
      </c>
      <c r="F703" s="26" t="str">
        <f t="shared" si="32"/>
        <v/>
      </c>
    </row>
    <row r="704" spans="1:6" x14ac:dyDescent="0.2">
      <c r="A704" s="18" t="str">
        <f>IF(Productos!A704="","",Productos!A704)</f>
        <v/>
      </c>
      <c r="B704" s="18" t="str">
        <f>IF(Productos!B704="","",Productos!B704)</f>
        <v/>
      </c>
      <c r="C704" s="26" t="str">
        <f>IF(A704="","",Ventas!H704)</f>
        <v/>
      </c>
      <c r="D704" s="26" t="str">
        <f t="shared" si="30"/>
        <v/>
      </c>
      <c r="E704" s="26" t="str">
        <f t="shared" si="31"/>
        <v/>
      </c>
      <c r="F704" s="26" t="str">
        <f t="shared" si="32"/>
        <v/>
      </c>
    </row>
    <row r="705" spans="1:6" x14ac:dyDescent="0.2">
      <c r="A705" s="18" t="str">
        <f>IF(Productos!A705="","",Productos!A705)</f>
        <v/>
      </c>
      <c r="B705" s="18" t="str">
        <f>IF(Productos!B705="","",Productos!B705)</f>
        <v/>
      </c>
      <c r="C705" s="26" t="str">
        <f>IF(A705="","",Ventas!H705)</f>
        <v/>
      </c>
      <c r="D705" s="26" t="str">
        <f t="shared" si="30"/>
        <v/>
      </c>
      <c r="E705" s="26" t="str">
        <f t="shared" si="31"/>
        <v/>
      </c>
      <c r="F705" s="26" t="str">
        <f t="shared" si="32"/>
        <v/>
      </c>
    </row>
    <row r="706" spans="1:6" x14ac:dyDescent="0.2">
      <c r="A706" s="18" t="str">
        <f>IF(Productos!A706="","",Productos!A706)</f>
        <v/>
      </c>
      <c r="B706" s="18" t="str">
        <f>IF(Productos!B706="","",Productos!B706)</f>
        <v/>
      </c>
      <c r="C706" s="26" t="str">
        <f>IF(A706="","",Ventas!H706)</f>
        <v/>
      </c>
      <c r="D706" s="26" t="str">
        <f t="shared" si="30"/>
        <v/>
      </c>
      <c r="E706" s="26" t="str">
        <f t="shared" si="31"/>
        <v/>
      </c>
      <c r="F706" s="26" t="str">
        <f t="shared" si="32"/>
        <v/>
      </c>
    </row>
    <row r="707" spans="1:6" x14ac:dyDescent="0.2">
      <c r="A707" s="18" t="str">
        <f>IF(Productos!A707="","",Productos!A707)</f>
        <v/>
      </c>
      <c r="B707" s="18" t="str">
        <f>IF(Productos!B707="","",Productos!B707)</f>
        <v/>
      </c>
      <c r="C707" s="26" t="str">
        <f>IF(A707="","",Ventas!H707)</f>
        <v/>
      </c>
      <c r="D707" s="26" t="str">
        <f t="shared" ref="D707:D770" si="33">IF(A707="","",ROUND(C707/3,2))</f>
        <v/>
      </c>
      <c r="E707" s="26" t="str">
        <f t="shared" ref="E707:E770" si="34">IF(A707="","",ROUND(C707/3,2))</f>
        <v/>
      </c>
      <c r="F707" s="26" t="str">
        <f t="shared" ref="F707:F770" si="35">IF(A707="","",C707-D707-E707)</f>
        <v/>
      </c>
    </row>
    <row r="708" spans="1:6" x14ac:dyDescent="0.2">
      <c r="A708" s="18" t="str">
        <f>IF(Productos!A708="","",Productos!A708)</f>
        <v/>
      </c>
      <c r="B708" s="18" t="str">
        <f>IF(Productos!B708="","",Productos!B708)</f>
        <v/>
      </c>
      <c r="C708" s="26" t="str">
        <f>IF(A708="","",Ventas!H708)</f>
        <v/>
      </c>
      <c r="D708" s="26" t="str">
        <f t="shared" si="33"/>
        <v/>
      </c>
      <c r="E708" s="26" t="str">
        <f t="shared" si="34"/>
        <v/>
      </c>
      <c r="F708" s="26" t="str">
        <f t="shared" si="35"/>
        <v/>
      </c>
    </row>
    <row r="709" spans="1:6" x14ac:dyDescent="0.2">
      <c r="A709" s="18" t="str">
        <f>IF(Productos!A709="","",Productos!A709)</f>
        <v/>
      </c>
      <c r="B709" s="18" t="str">
        <f>IF(Productos!B709="","",Productos!B709)</f>
        <v/>
      </c>
      <c r="C709" s="26" t="str">
        <f>IF(A709="","",Ventas!H709)</f>
        <v/>
      </c>
      <c r="D709" s="26" t="str">
        <f t="shared" si="33"/>
        <v/>
      </c>
      <c r="E709" s="26" t="str">
        <f t="shared" si="34"/>
        <v/>
      </c>
      <c r="F709" s="26" t="str">
        <f t="shared" si="35"/>
        <v/>
      </c>
    </row>
    <row r="710" spans="1:6" x14ac:dyDescent="0.2">
      <c r="A710" s="18" t="str">
        <f>IF(Productos!A710="","",Productos!A710)</f>
        <v/>
      </c>
      <c r="B710" s="18" t="str">
        <f>IF(Productos!B710="","",Productos!B710)</f>
        <v/>
      </c>
      <c r="C710" s="26" t="str">
        <f>IF(A710="","",Ventas!H710)</f>
        <v/>
      </c>
      <c r="D710" s="26" t="str">
        <f t="shared" si="33"/>
        <v/>
      </c>
      <c r="E710" s="26" t="str">
        <f t="shared" si="34"/>
        <v/>
      </c>
      <c r="F710" s="26" t="str">
        <f t="shared" si="35"/>
        <v/>
      </c>
    </row>
    <row r="711" spans="1:6" x14ac:dyDescent="0.2">
      <c r="A711" s="18" t="str">
        <f>IF(Productos!A711="","",Productos!A711)</f>
        <v/>
      </c>
      <c r="B711" s="18" t="str">
        <f>IF(Productos!B711="","",Productos!B711)</f>
        <v/>
      </c>
      <c r="C711" s="26" t="str">
        <f>IF(A711="","",Ventas!H711)</f>
        <v/>
      </c>
      <c r="D711" s="26" t="str">
        <f t="shared" si="33"/>
        <v/>
      </c>
      <c r="E711" s="26" t="str">
        <f t="shared" si="34"/>
        <v/>
      </c>
      <c r="F711" s="26" t="str">
        <f t="shared" si="35"/>
        <v/>
      </c>
    </row>
    <row r="712" spans="1:6" x14ac:dyDescent="0.2">
      <c r="A712" s="18" t="str">
        <f>IF(Productos!A712="","",Productos!A712)</f>
        <v/>
      </c>
      <c r="B712" s="18" t="str">
        <f>IF(Productos!B712="","",Productos!B712)</f>
        <v/>
      </c>
      <c r="C712" s="26" t="str">
        <f>IF(A712="","",Ventas!H712)</f>
        <v/>
      </c>
      <c r="D712" s="26" t="str">
        <f t="shared" si="33"/>
        <v/>
      </c>
      <c r="E712" s="26" t="str">
        <f t="shared" si="34"/>
        <v/>
      </c>
      <c r="F712" s="26" t="str">
        <f t="shared" si="35"/>
        <v/>
      </c>
    </row>
    <row r="713" spans="1:6" x14ac:dyDescent="0.2">
      <c r="A713" s="18" t="str">
        <f>IF(Productos!A713="","",Productos!A713)</f>
        <v/>
      </c>
      <c r="B713" s="18" t="str">
        <f>IF(Productos!B713="","",Productos!B713)</f>
        <v/>
      </c>
      <c r="C713" s="26" t="str">
        <f>IF(A713="","",Ventas!H713)</f>
        <v/>
      </c>
      <c r="D713" s="26" t="str">
        <f t="shared" si="33"/>
        <v/>
      </c>
      <c r="E713" s="26" t="str">
        <f t="shared" si="34"/>
        <v/>
      </c>
      <c r="F713" s="26" t="str">
        <f t="shared" si="35"/>
        <v/>
      </c>
    </row>
    <row r="714" spans="1:6" x14ac:dyDescent="0.2">
      <c r="A714" s="18" t="str">
        <f>IF(Productos!A714="","",Productos!A714)</f>
        <v/>
      </c>
      <c r="B714" s="18" t="str">
        <f>IF(Productos!B714="","",Productos!B714)</f>
        <v/>
      </c>
      <c r="C714" s="26" t="str">
        <f>IF(A714="","",Ventas!H714)</f>
        <v/>
      </c>
      <c r="D714" s="26" t="str">
        <f t="shared" si="33"/>
        <v/>
      </c>
      <c r="E714" s="26" t="str">
        <f t="shared" si="34"/>
        <v/>
      </c>
      <c r="F714" s="26" t="str">
        <f t="shared" si="35"/>
        <v/>
      </c>
    </row>
    <row r="715" spans="1:6" x14ac:dyDescent="0.2">
      <c r="A715" s="18" t="str">
        <f>IF(Productos!A715="","",Productos!A715)</f>
        <v/>
      </c>
      <c r="B715" s="18" t="str">
        <f>IF(Productos!B715="","",Productos!B715)</f>
        <v/>
      </c>
      <c r="C715" s="26" t="str">
        <f>IF(A715="","",Ventas!H715)</f>
        <v/>
      </c>
      <c r="D715" s="26" t="str">
        <f t="shared" si="33"/>
        <v/>
      </c>
      <c r="E715" s="26" t="str">
        <f t="shared" si="34"/>
        <v/>
      </c>
      <c r="F715" s="26" t="str">
        <f t="shared" si="35"/>
        <v/>
      </c>
    </row>
    <row r="716" spans="1:6" x14ac:dyDescent="0.2">
      <c r="A716" s="18" t="str">
        <f>IF(Productos!A716="","",Productos!A716)</f>
        <v/>
      </c>
      <c r="B716" s="18" t="str">
        <f>IF(Productos!B716="","",Productos!B716)</f>
        <v/>
      </c>
      <c r="C716" s="26" t="str">
        <f>IF(A716="","",Ventas!H716)</f>
        <v/>
      </c>
      <c r="D716" s="26" t="str">
        <f t="shared" si="33"/>
        <v/>
      </c>
      <c r="E716" s="26" t="str">
        <f t="shared" si="34"/>
        <v/>
      </c>
      <c r="F716" s="26" t="str">
        <f t="shared" si="35"/>
        <v/>
      </c>
    </row>
    <row r="717" spans="1:6" x14ac:dyDescent="0.2">
      <c r="A717" s="18" t="str">
        <f>IF(Productos!A717="","",Productos!A717)</f>
        <v/>
      </c>
      <c r="B717" s="18" t="str">
        <f>IF(Productos!B717="","",Productos!B717)</f>
        <v/>
      </c>
      <c r="C717" s="26" t="str">
        <f>IF(A717="","",Ventas!H717)</f>
        <v/>
      </c>
      <c r="D717" s="26" t="str">
        <f t="shared" si="33"/>
        <v/>
      </c>
      <c r="E717" s="26" t="str">
        <f t="shared" si="34"/>
        <v/>
      </c>
      <c r="F717" s="26" t="str">
        <f t="shared" si="35"/>
        <v/>
      </c>
    </row>
    <row r="718" spans="1:6" x14ac:dyDescent="0.2">
      <c r="A718" s="18" t="str">
        <f>IF(Productos!A718="","",Productos!A718)</f>
        <v/>
      </c>
      <c r="B718" s="18" t="str">
        <f>IF(Productos!B718="","",Productos!B718)</f>
        <v/>
      </c>
      <c r="C718" s="26" t="str">
        <f>IF(A718="","",Ventas!H718)</f>
        <v/>
      </c>
      <c r="D718" s="26" t="str">
        <f t="shared" si="33"/>
        <v/>
      </c>
      <c r="E718" s="26" t="str">
        <f t="shared" si="34"/>
        <v/>
      </c>
      <c r="F718" s="26" t="str">
        <f t="shared" si="35"/>
        <v/>
      </c>
    </row>
    <row r="719" spans="1:6" x14ac:dyDescent="0.2">
      <c r="A719" s="18" t="str">
        <f>IF(Productos!A719="","",Productos!A719)</f>
        <v/>
      </c>
      <c r="B719" s="18" t="str">
        <f>IF(Productos!B719="","",Productos!B719)</f>
        <v/>
      </c>
      <c r="C719" s="26" t="str">
        <f>IF(A719="","",Ventas!H719)</f>
        <v/>
      </c>
      <c r="D719" s="26" t="str">
        <f t="shared" si="33"/>
        <v/>
      </c>
      <c r="E719" s="26" t="str">
        <f t="shared" si="34"/>
        <v/>
      </c>
      <c r="F719" s="26" t="str">
        <f t="shared" si="35"/>
        <v/>
      </c>
    </row>
    <row r="720" spans="1:6" x14ac:dyDescent="0.2">
      <c r="A720" s="18" t="str">
        <f>IF(Productos!A720="","",Productos!A720)</f>
        <v/>
      </c>
      <c r="B720" s="18" t="str">
        <f>IF(Productos!B720="","",Productos!B720)</f>
        <v/>
      </c>
      <c r="C720" s="26" t="str">
        <f>IF(A720="","",Ventas!H720)</f>
        <v/>
      </c>
      <c r="D720" s="26" t="str">
        <f t="shared" si="33"/>
        <v/>
      </c>
      <c r="E720" s="26" t="str">
        <f t="shared" si="34"/>
        <v/>
      </c>
      <c r="F720" s="26" t="str">
        <f t="shared" si="35"/>
        <v/>
      </c>
    </row>
    <row r="721" spans="1:6" x14ac:dyDescent="0.2">
      <c r="A721" s="18" t="str">
        <f>IF(Productos!A721="","",Productos!A721)</f>
        <v/>
      </c>
      <c r="B721" s="18" t="str">
        <f>IF(Productos!B721="","",Productos!B721)</f>
        <v/>
      </c>
      <c r="C721" s="26" t="str">
        <f>IF(A721="","",Ventas!H721)</f>
        <v/>
      </c>
      <c r="D721" s="26" t="str">
        <f t="shared" si="33"/>
        <v/>
      </c>
      <c r="E721" s="26" t="str">
        <f t="shared" si="34"/>
        <v/>
      </c>
      <c r="F721" s="26" t="str">
        <f t="shared" si="35"/>
        <v/>
      </c>
    </row>
    <row r="722" spans="1:6" x14ac:dyDescent="0.2">
      <c r="A722" s="18" t="str">
        <f>IF(Productos!A722="","",Productos!A722)</f>
        <v/>
      </c>
      <c r="B722" s="18" t="str">
        <f>IF(Productos!B722="","",Productos!B722)</f>
        <v/>
      </c>
      <c r="C722" s="26" t="str">
        <f>IF(A722="","",Ventas!H722)</f>
        <v/>
      </c>
      <c r="D722" s="26" t="str">
        <f t="shared" si="33"/>
        <v/>
      </c>
      <c r="E722" s="26" t="str">
        <f t="shared" si="34"/>
        <v/>
      </c>
      <c r="F722" s="26" t="str">
        <f t="shared" si="35"/>
        <v/>
      </c>
    </row>
    <row r="723" spans="1:6" x14ac:dyDescent="0.2">
      <c r="A723" s="18" t="str">
        <f>IF(Productos!A723="","",Productos!A723)</f>
        <v/>
      </c>
      <c r="B723" s="18" t="str">
        <f>IF(Productos!B723="","",Productos!B723)</f>
        <v/>
      </c>
      <c r="C723" s="26" t="str">
        <f>IF(A723="","",Ventas!H723)</f>
        <v/>
      </c>
      <c r="D723" s="26" t="str">
        <f t="shared" si="33"/>
        <v/>
      </c>
      <c r="E723" s="26" t="str">
        <f t="shared" si="34"/>
        <v/>
      </c>
      <c r="F723" s="26" t="str">
        <f t="shared" si="35"/>
        <v/>
      </c>
    </row>
    <row r="724" spans="1:6" x14ac:dyDescent="0.2">
      <c r="A724" s="18" t="str">
        <f>IF(Productos!A724="","",Productos!A724)</f>
        <v/>
      </c>
      <c r="B724" s="18" t="str">
        <f>IF(Productos!B724="","",Productos!B724)</f>
        <v/>
      </c>
      <c r="C724" s="26" t="str">
        <f>IF(A724="","",Ventas!H724)</f>
        <v/>
      </c>
      <c r="D724" s="26" t="str">
        <f t="shared" si="33"/>
        <v/>
      </c>
      <c r="E724" s="26" t="str">
        <f t="shared" si="34"/>
        <v/>
      </c>
      <c r="F724" s="26" t="str">
        <f t="shared" si="35"/>
        <v/>
      </c>
    </row>
    <row r="725" spans="1:6" x14ac:dyDescent="0.2">
      <c r="A725" s="18" t="str">
        <f>IF(Productos!A725="","",Productos!A725)</f>
        <v/>
      </c>
      <c r="B725" s="18" t="str">
        <f>IF(Productos!B725="","",Productos!B725)</f>
        <v/>
      </c>
      <c r="C725" s="26" t="str">
        <f>IF(A725="","",Ventas!H725)</f>
        <v/>
      </c>
      <c r="D725" s="26" t="str">
        <f t="shared" si="33"/>
        <v/>
      </c>
      <c r="E725" s="26" t="str">
        <f t="shared" si="34"/>
        <v/>
      </c>
      <c r="F725" s="26" t="str">
        <f t="shared" si="35"/>
        <v/>
      </c>
    </row>
    <row r="726" spans="1:6" x14ac:dyDescent="0.2">
      <c r="A726" s="18" t="str">
        <f>IF(Productos!A726="","",Productos!A726)</f>
        <v/>
      </c>
      <c r="B726" s="18" t="str">
        <f>IF(Productos!B726="","",Productos!B726)</f>
        <v/>
      </c>
      <c r="C726" s="26" t="str">
        <f>IF(A726="","",Ventas!H726)</f>
        <v/>
      </c>
      <c r="D726" s="26" t="str">
        <f t="shared" si="33"/>
        <v/>
      </c>
      <c r="E726" s="26" t="str">
        <f t="shared" si="34"/>
        <v/>
      </c>
      <c r="F726" s="26" t="str">
        <f t="shared" si="35"/>
        <v/>
      </c>
    </row>
    <row r="727" spans="1:6" x14ac:dyDescent="0.2">
      <c r="A727" s="18" t="str">
        <f>IF(Productos!A727="","",Productos!A727)</f>
        <v/>
      </c>
      <c r="B727" s="18" t="str">
        <f>IF(Productos!B727="","",Productos!B727)</f>
        <v/>
      </c>
      <c r="C727" s="26" t="str">
        <f>IF(A727="","",Ventas!H727)</f>
        <v/>
      </c>
      <c r="D727" s="26" t="str">
        <f t="shared" si="33"/>
        <v/>
      </c>
      <c r="E727" s="26" t="str">
        <f t="shared" si="34"/>
        <v/>
      </c>
      <c r="F727" s="26" t="str">
        <f t="shared" si="35"/>
        <v/>
      </c>
    </row>
    <row r="728" spans="1:6" x14ac:dyDescent="0.2">
      <c r="A728" s="18" t="str">
        <f>IF(Productos!A728="","",Productos!A728)</f>
        <v/>
      </c>
      <c r="B728" s="18" t="str">
        <f>IF(Productos!B728="","",Productos!B728)</f>
        <v/>
      </c>
      <c r="C728" s="26" t="str">
        <f>IF(A728="","",Ventas!H728)</f>
        <v/>
      </c>
      <c r="D728" s="26" t="str">
        <f t="shared" si="33"/>
        <v/>
      </c>
      <c r="E728" s="26" t="str">
        <f t="shared" si="34"/>
        <v/>
      </c>
      <c r="F728" s="26" t="str">
        <f t="shared" si="35"/>
        <v/>
      </c>
    </row>
    <row r="729" spans="1:6" x14ac:dyDescent="0.2">
      <c r="A729" s="18" t="str">
        <f>IF(Productos!A729="","",Productos!A729)</f>
        <v/>
      </c>
      <c r="B729" s="18" t="str">
        <f>IF(Productos!B729="","",Productos!B729)</f>
        <v/>
      </c>
      <c r="C729" s="26" t="str">
        <f>IF(A729="","",Ventas!H729)</f>
        <v/>
      </c>
      <c r="D729" s="26" t="str">
        <f t="shared" si="33"/>
        <v/>
      </c>
      <c r="E729" s="26" t="str">
        <f t="shared" si="34"/>
        <v/>
      </c>
      <c r="F729" s="26" t="str">
        <f t="shared" si="35"/>
        <v/>
      </c>
    </row>
    <row r="730" spans="1:6" x14ac:dyDescent="0.2">
      <c r="A730" s="18" t="str">
        <f>IF(Productos!A730="","",Productos!A730)</f>
        <v/>
      </c>
      <c r="B730" s="18" t="str">
        <f>IF(Productos!B730="","",Productos!B730)</f>
        <v/>
      </c>
      <c r="C730" s="26" t="str">
        <f>IF(A730="","",Ventas!H730)</f>
        <v/>
      </c>
      <c r="D730" s="26" t="str">
        <f t="shared" si="33"/>
        <v/>
      </c>
      <c r="E730" s="26" t="str">
        <f t="shared" si="34"/>
        <v/>
      </c>
      <c r="F730" s="26" t="str">
        <f t="shared" si="35"/>
        <v/>
      </c>
    </row>
    <row r="731" spans="1:6" x14ac:dyDescent="0.2">
      <c r="A731" s="18" t="str">
        <f>IF(Productos!A731="","",Productos!A731)</f>
        <v/>
      </c>
      <c r="B731" s="18" t="str">
        <f>IF(Productos!B731="","",Productos!B731)</f>
        <v/>
      </c>
      <c r="C731" s="26" t="str">
        <f>IF(A731="","",Ventas!H731)</f>
        <v/>
      </c>
      <c r="D731" s="26" t="str">
        <f t="shared" si="33"/>
        <v/>
      </c>
      <c r="E731" s="26" t="str">
        <f t="shared" si="34"/>
        <v/>
      </c>
      <c r="F731" s="26" t="str">
        <f t="shared" si="35"/>
        <v/>
      </c>
    </row>
    <row r="732" spans="1:6" x14ac:dyDescent="0.2">
      <c r="A732" s="18" t="str">
        <f>IF(Productos!A732="","",Productos!A732)</f>
        <v/>
      </c>
      <c r="B732" s="18" t="str">
        <f>IF(Productos!B732="","",Productos!B732)</f>
        <v/>
      </c>
      <c r="C732" s="26" t="str">
        <f>IF(A732="","",Ventas!H732)</f>
        <v/>
      </c>
      <c r="D732" s="26" t="str">
        <f t="shared" si="33"/>
        <v/>
      </c>
      <c r="E732" s="26" t="str">
        <f t="shared" si="34"/>
        <v/>
      </c>
      <c r="F732" s="26" t="str">
        <f t="shared" si="35"/>
        <v/>
      </c>
    </row>
    <row r="733" spans="1:6" x14ac:dyDescent="0.2">
      <c r="A733" s="18" t="str">
        <f>IF(Productos!A733="","",Productos!A733)</f>
        <v/>
      </c>
      <c r="B733" s="18" t="str">
        <f>IF(Productos!B733="","",Productos!B733)</f>
        <v/>
      </c>
      <c r="C733" s="26" t="str">
        <f>IF(A733="","",Ventas!H733)</f>
        <v/>
      </c>
      <c r="D733" s="26" t="str">
        <f t="shared" si="33"/>
        <v/>
      </c>
      <c r="E733" s="26" t="str">
        <f t="shared" si="34"/>
        <v/>
      </c>
      <c r="F733" s="26" t="str">
        <f t="shared" si="35"/>
        <v/>
      </c>
    </row>
    <row r="734" spans="1:6" x14ac:dyDescent="0.2">
      <c r="A734" s="18" t="str">
        <f>IF(Productos!A734="","",Productos!A734)</f>
        <v/>
      </c>
      <c r="B734" s="18" t="str">
        <f>IF(Productos!B734="","",Productos!B734)</f>
        <v/>
      </c>
      <c r="C734" s="26" t="str">
        <f>IF(A734="","",Ventas!H734)</f>
        <v/>
      </c>
      <c r="D734" s="26" t="str">
        <f t="shared" si="33"/>
        <v/>
      </c>
      <c r="E734" s="26" t="str">
        <f t="shared" si="34"/>
        <v/>
      </c>
      <c r="F734" s="26" t="str">
        <f t="shared" si="35"/>
        <v/>
      </c>
    </row>
    <row r="735" spans="1:6" x14ac:dyDescent="0.2">
      <c r="A735" s="18" t="str">
        <f>IF(Productos!A735="","",Productos!A735)</f>
        <v/>
      </c>
      <c r="B735" s="18" t="str">
        <f>IF(Productos!B735="","",Productos!B735)</f>
        <v/>
      </c>
      <c r="C735" s="26" t="str">
        <f>IF(A735="","",Ventas!H735)</f>
        <v/>
      </c>
      <c r="D735" s="26" t="str">
        <f t="shared" si="33"/>
        <v/>
      </c>
      <c r="E735" s="26" t="str">
        <f t="shared" si="34"/>
        <v/>
      </c>
      <c r="F735" s="26" t="str">
        <f t="shared" si="35"/>
        <v/>
      </c>
    </row>
    <row r="736" spans="1:6" x14ac:dyDescent="0.2">
      <c r="A736" s="18" t="str">
        <f>IF(Productos!A736="","",Productos!A736)</f>
        <v/>
      </c>
      <c r="B736" s="18" t="str">
        <f>IF(Productos!B736="","",Productos!B736)</f>
        <v/>
      </c>
      <c r="C736" s="26" t="str">
        <f>IF(A736="","",Ventas!H736)</f>
        <v/>
      </c>
      <c r="D736" s="26" t="str">
        <f t="shared" si="33"/>
        <v/>
      </c>
      <c r="E736" s="26" t="str">
        <f t="shared" si="34"/>
        <v/>
      </c>
      <c r="F736" s="26" t="str">
        <f t="shared" si="35"/>
        <v/>
      </c>
    </row>
    <row r="737" spans="1:6" x14ac:dyDescent="0.2">
      <c r="A737" s="18" t="str">
        <f>IF(Productos!A737="","",Productos!A737)</f>
        <v/>
      </c>
      <c r="B737" s="18" t="str">
        <f>IF(Productos!B737="","",Productos!B737)</f>
        <v/>
      </c>
      <c r="C737" s="26" t="str">
        <f>IF(A737="","",Ventas!H737)</f>
        <v/>
      </c>
      <c r="D737" s="26" t="str">
        <f t="shared" si="33"/>
        <v/>
      </c>
      <c r="E737" s="26" t="str">
        <f t="shared" si="34"/>
        <v/>
      </c>
      <c r="F737" s="26" t="str">
        <f t="shared" si="35"/>
        <v/>
      </c>
    </row>
    <row r="738" spans="1:6" x14ac:dyDescent="0.2">
      <c r="A738" s="18" t="str">
        <f>IF(Productos!A738="","",Productos!A738)</f>
        <v/>
      </c>
      <c r="B738" s="18" t="str">
        <f>IF(Productos!B738="","",Productos!B738)</f>
        <v/>
      </c>
      <c r="C738" s="26" t="str">
        <f>IF(A738="","",Ventas!H738)</f>
        <v/>
      </c>
      <c r="D738" s="26" t="str">
        <f t="shared" si="33"/>
        <v/>
      </c>
      <c r="E738" s="26" t="str">
        <f t="shared" si="34"/>
        <v/>
      </c>
      <c r="F738" s="26" t="str">
        <f t="shared" si="35"/>
        <v/>
      </c>
    </row>
    <row r="739" spans="1:6" x14ac:dyDescent="0.2">
      <c r="A739" s="18" t="str">
        <f>IF(Productos!A739="","",Productos!A739)</f>
        <v/>
      </c>
      <c r="B739" s="18" t="str">
        <f>IF(Productos!B739="","",Productos!B739)</f>
        <v/>
      </c>
      <c r="C739" s="26" t="str">
        <f>IF(A739="","",Ventas!H739)</f>
        <v/>
      </c>
      <c r="D739" s="26" t="str">
        <f t="shared" si="33"/>
        <v/>
      </c>
      <c r="E739" s="26" t="str">
        <f t="shared" si="34"/>
        <v/>
      </c>
      <c r="F739" s="26" t="str">
        <f t="shared" si="35"/>
        <v/>
      </c>
    </row>
    <row r="740" spans="1:6" x14ac:dyDescent="0.2">
      <c r="A740" s="18" t="str">
        <f>IF(Productos!A740="","",Productos!A740)</f>
        <v/>
      </c>
      <c r="B740" s="18" t="str">
        <f>IF(Productos!B740="","",Productos!B740)</f>
        <v/>
      </c>
      <c r="C740" s="26" t="str">
        <f>IF(A740="","",Ventas!H740)</f>
        <v/>
      </c>
      <c r="D740" s="26" t="str">
        <f t="shared" si="33"/>
        <v/>
      </c>
      <c r="E740" s="26" t="str">
        <f t="shared" si="34"/>
        <v/>
      </c>
      <c r="F740" s="26" t="str">
        <f t="shared" si="35"/>
        <v/>
      </c>
    </row>
    <row r="741" spans="1:6" x14ac:dyDescent="0.2">
      <c r="A741" s="18" t="str">
        <f>IF(Productos!A741="","",Productos!A741)</f>
        <v/>
      </c>
      <c r="B741" s="18" t="str">
        <f>IF(Productos!B741="","",Productos!B741)</f>
        <v/>
      </c>
      <c r="C741" s="26" t="str">
        <f>IF(A741="","",Ventas!H741)</f>
        <v/>
      </c>
      <c r="D741" s="26" t="str">
        <f t="shared" si="33"/>
        <v/>
      </c>
      <c r="E741" s="26" t="str">
        <f t="shared" si="34"/>
        <v/>
      </c>
      <c r="F741" s="26" t="str">
        <f t="shared" si="35"/>
        <v/>
      </c>
    </row>
    <row r="742" spans="1:6" x14ac:dyDescent="0.2">
      <c r="A742" s="18" t="str">
        <f>IF(Productos!A742="","",Productos!A742)</f>
        <v/>
      </c>
      <c r="B742" s="18" t="str">
        <f>IF(Productos!B742="","",Productos!B742)</f>
        <v/>
      </c>
      <c r="C742" s="26" t="str">
        <f>IF(A742="","",Ventas!H742)</f>
        <v/>
      </c>
      <c r="D742" s="26" t="str">
        <f t="shared" si="33"/>
        <v/>
      </c>
      <c r="E742" s="26" t="str">
        <f t="shared" si="34"/>
        <v/>
      </c>
      <c r="F742" s="26" t="str">
        <f t="shared" si="35"/>
        <v/>
      </c>
    </row>
    <row r="743" spans="1:6" x14ac:dyDescent="0.2">
      <c r="A743" s="18" t="str">
        <f>IF(Productos!A743="","",Productos!A743)</f>
        <v/>
      </c>
      <c r="B743" s="18" t="str">
        <f>IF(Productos!B743="","",Productos!B743)</f>
        <v/>
      </c>
      <c r="C743" s="26" t="str">
        <f>IF(A743="","",Ventas!H743)</f>
        <v/>
      </c>
      <c r="D743" s="26" t="str">
        <f t="shared" si="33"/>
        <v/>
      </c>
      <c r="E743" s="26" t="str">
        <f t="shared" si="34"/>
        <v/>
      </c>
      <c r="F743" s="26" t="str">
        <f t="shared" si="35"/>
        <v/>
      </c>
    </row>
    <row r="744" spans="1:6" x14ac:dyDescent="0.2">
      <c r="A744" s="18" t="str">
        <f>IF(Productos!A744="","",Productos!A744)</f>
        <v/>
      </c>
      <c r="B744" s="18" t="str">
        <f>IF(Productos!B744="","",Productos!B744)</f>
        <v/>
      </c>
      <c r="C744" s="26" t="str">
        <f>IF(A744="","",Ventas!H744)</f>
        <v/>
      </c>
      <c r="D744" s="26" t="str">
        <f t="shared" si="33"/>
        <v/>
      </c>
      <c r="E744" s="26" t="str">
        <f t="shared" si="34"/>
        <v/>
      </c>
      <c r="F744" s="26" t="str">
        <f t="shared" si="35"/>
        <v/>
      </c>
    </row>
    <row r="745" spans="1:6" x14ac:dyDescent="0.2">
      <c r="A745" s="18" t="str">
        <f>IF(Productos!A745="","",Productos!A745)</f>
        <v/>
      </c>
      <c r="B745" s="18" t="str">
        <f>IF(Productos!B745="","",Productos!B745)</f>
        <v/>
      </c>
      <c r="C745" s="26" t="str">
        <f>IF(A745="","",Ventas!H745)</f>
        <v/>
      </c>
      <c r="D745" s="26" t="str">
        <f t="shared" si="33"/>
        <v/>
      </c>
      <c r="E745" s="26" t="str">
        <f t="shared" si="34"/>
        <v/>
      </c>
      <c r="F745" s="26" t="str">
        <f t="shared" si="35"/>
        <v/>
      </c>
    </row>
    <row r="746" spans="1:6" x14ac:dyDescent="0.2">
      <c r="A746" s="18" t="str">
        <f>IF(Productos!A746="","",Productos!A746)</f>
        <v/>
      </c>
      <c r="B746" s="18" t="str">
        <f>IF(Productos!B746="","",Productos!B746)</f>
        <v/>
      </c>
      <c r="C746" s="26" t="str">
        <f>IF(A746="","",Ventas!H746)</f>
        <v/>
      </c>
      <c r="D746" s="26" t="str">
        <f t="shared" si="33"/>
        <v/>
      </c>
      <c r="E746" s="26" t="str">
        <f t="shared" si="34"/>
        <v/>
      </c>
      <c r="F746" s="26" t="str">
        <f t="shared" si="35"/>
        <v/>
      </c>
    </row>
    <row r="747" spans="1:6" x14ac:dyDescent="0.2">
      <c r="A747" s="18" t="str">
        <f>IF(Productos!A747="","",Productos!A747)</f>
        <v/>
      </c>
      <c r="B747" s="18" t="str">
        <f>IF(Productos!B747="","",Productos!B747)</f>
        <v/>
      </c>
      <c r="C747" s="26" t="str">
        <f>IF(A747="","",Ventas!H747)</f>
        <v/>
      </c>
      <c r="D747" s="26" t="str">
        <f t="shared" si="33"/>
        <v/>
      </c>
      <c r="E747" s="26" t="str">
        <f t="shared" si="34"/>
        <v/>
      </c>
      <c r="F747" s="26" t="str">
        <f t="shared" si="35"/>
        <v/>
      </c>
    </row>
    <row r="748" spans="1:6" x14ac:dyDescent="0.2">
      <c r="A748" s="18" t="str">
        <f>IF(Productos!A748="","",Productos!A748)</f>
        <v/>
      </c>
      <c r="B748" s="18" t="str">
        <f>IF(Productos!B748="","",Productos!B748)</f>
        <v/>
      </c>
      <c r="C748" s="26" t="str">
        <f>IF(A748="","",Ventas!H748)</f>
        <v/>
      </c>
      <c r="D748" s="26" t="str">
        <f t="shared" si="33"/>
        <v/>
      </c>
      <c r="E748" s="26" t="str">
        <f t="shared" si="34"/>
        <v/>
      </c>
      <c r="F748" s="26" t="str">
        <f t="shared" si="35"/>
        <v/>
      </c>
    </row>
    <row r="749" spans="1:6" x14ac:dyDescent="0.2">
      <c r="A749" s="18" t="str">
        <f>IF(Productos!A749="","",Productos!A749)</f>
        <v/>
      </c>
      <c r="B749" s="18" t="str">
        <f>IF(Productos!B749="","",Productos!B749)</f>
        <v/>
      </c>
      <c r="C749" s="26" t="str">
        <f>IF(A749="","",Ventas!H749)</f>
        <v/>
      </c>
      <c r="D749" s="26" t="str">
        <f t="shared" si="33"/>
        <v/>
      </c>
      <c r="E749" s="26" t="str">
        <f t="shared" si="34"/>
        <v/>
      </c>
      <c r="F749" s="26" t="str">
        <f t="shared" si="35"/>
        <v/>
      </c>
    </row>
    <row r="750" spans="1:6" x14ac:dyDescent="0.2">
      <c r="A750" s="18" t="str">
        <f>IF(Productos!A750="","",Productos!A750)</f>
        <v/>
      </c>
      <c r="B750" s="18" t="str">
        <f>IF(Productos!B750="","",Productos!B750)</f>
        <v/>
      </c>
      <c r="C750" s="26" t="str">
        <f>IF(A750="","",Ventas!H750)</f>
        <v/>
      </c>
      <c r="D750" s="26" t="str">
        <f t="shared" si="33"/>
        <v/>
      </c>
      <c r="E750" s="26" t="str">
        <f t="shared" si="34"/>
        <v/>
      </c>
      <c r="F750" s="26" t="str">
        <f t="shared" si="35"/>
        <v/>
      </c>
    </row>
    <row r="751" spans="1:6" x14ac:dyDescent="0.2">
      <c r="A751" s="18" t="str">
        <f>IF(Productos!A751="","",Productos!A751)</f>
        <v/>
      </c>
      <c r="B751" s="18" t="str">
        <f>IF(Productos!B751="","",Productos!B751)</f>
        <v/>
      </c>
      <c r="C751" s="26" t="str">
        <f>IF(A751="","",Ventas!H751)</f>
        <v/>
      </c>
      <c r="D751" s="26" t="str">
        <f t="shared" si="33"/>
        <v/>
      </c>
      <c r="E751" s="26" t="str">
        <f t="shared" si="34"/>
        <v/>
      </c>
      <c r="F751" s="26" t="str">
        <f t="shared" si="35"/>
        <v/>
      </c>
    </row>
    <row r="752" spans="1:6" x14ac:dyDescent="0.2">
      <c r="A752" s="18" t="str">
        <f>IF(Productos!A752="","",Productos!A752)</f>
        <v/>
      </c>
      <c r="B752" s="18" t="str">
        <f>IF(Productos!B752="","",Productos!B752)</f>
        <v/>
      </c>
      <c r="C752" s="26" t="str">
        <f>IF(A752="","",Ventas!H752)</f>
        <v/>
      </c>
      <c r="D752" s="26" t="str">
        <f t="shared" si="33"/>
        <v/>
      </c>
      <c r="E752" s="26" t="str">
        <f t="shared" si="34"/>
        <v/>
      </c>
      <c r="F752" s="26" t="str">
        <f t="shared" si="35"/>
        <v/>
      </c>
    </row>
    <row r="753" spans="1:6" x14ac:dyDescent="0.2">
      <c r="A753" s="18" t="str">
        <f>IF(Productos!A753="","",Productos!A753)</f>
        <v/>
      </c>
      <c r="B753" s="18" t="str">
        <f>IF(Productos!B753="","",Productos!B753)</f>
        <v/>
      </c>
      <c r="C753" s="26" t="str">
        <f>IF(A753="","",Ventas!H753)</f>
        <v/>
      </c>
      <c r="D753" s="26" t="str">
        <f t="shared" si="33"/>
        <v/>
      </c>
      <c r="E753" s="26" t="str">
        <f t="shared" si="34"/>
        <v/>
      </c>
      <c r="F753" s="26" t="str">
        <f t="shared" si="35"/>
        <v/>
      </c>
    </row>
    <row r="754" spans="1:6" x14ac:dyDescent="0.2">
      <c r="A754" s="18" t="str">
        <f>IF(Productos!A754="","",Productos!A754)</f>
        <v/>
      </c>
      <c r="B754" s="18" t="str">
        <f>IF(Productos!B754="","",Productos!B754)</f>
        <v/>
      </c>
      <c r="C754" s="26" t="str">
        <f>IF(A754="","",Ventas!H754)</f>
        <v/>
      </c>
      <c r="D754" s="26" t="str">
        <f t="shared" si="33"/>
        <v/>
      </c>
      <c r="E754" s="26" t="str">
        <f t="shared" si="34"/>
        <v/>
      </c>
      <c r="F754" s="26" t="str">
        <f t="shared" si="35"/>
        <v/>
      </c>
    </row>
    <row r="755" spans="1:6" x14ac:dyDescent="0.2">
      <c r="A755" s="18" t="str">
        <f>IF(Productos!A755="","",Productos!A755)</f>
        <v/>
      </c>
      <c r="B755" s="18" t="str">
        <f>IF(Productos!B755="","",Productos!B755)</f>
        <v/>
      </c>
      <c r="C755" s="26" t="str">
        <f>IF(A755="","",Ventas!H755)</f>
        <v/>
      </c>
      <c r="D755" s="26" t="str">
        <f t="shared" si="33"/>
        <v/>
      </c>
      <c r="E755" s="26" t="str">
        <f t="shared" si="34"/>
        <v/>
      </c>
      <c r="F755" s="26" t="str">
        <f t="shared" si="35"/>
        <v/>
      </c>
    </row>
    <row r="756" spans="1:6" x14ac:dyDescent="0.2">
      <c r="A756" s="18" t="str">
        <f>IF(Productos!A756="","",Productos!A756)</f>
        <v/>
      </c>
      <c r="B756" s="18" t="str">
        <f>IF(Productos!B756="","",Productos!B756)</f>
        <v/>
      </c>
      <c r="C756" s="26" t="str">
        <f>IF(A756="","",Ventas!H756)</f>
        <v/>
      </c>
      <c r="D756" s="26" t="str">
        <f t="shared" si="33"/>
        <v/>
      </c>
      <c r="E756" s="26" t="str">
        <f t="shared" si="34"/>
        <v/>
      </c>
      <c r="F756" s="26" t="str">
        <f t="shared" si="35"/>
        <v/>
      </c>
    </row>
    <row r="757" spans="1:6" x14ac:dyDescent="0.2">
      <c r="A757" s="18" t="str">
        <f>IF(Productos!A757="","",Productos!A757)</f>
        <v/>
      </c>
      <c r="B757" s="18" t="str">
        <f>IF(Productos!B757="","",Productos!B757)</f>
        <v/>
      </c>
      <c r="C757" s="26" t="str">
        <f>IF(A757="","",Ventas!H757)</f>
        <v/>
      </c>
      <c r="D757" s="26" t="str">
        <f t="shared" si="33"/>
        <v/>
      </c>
      <c r="E757" s="26" t="str">
        <f t="shared" si="34"/>
        <v/>
      </c>
      <c r="F757" s="26" t="str">
        <f t="shared" si="35"/>
        <v/>
      </c>
    </row>
    <row r="758" spans="1:6" x14ac:dyDescent="0.2">
      <c r="A758" s="18" t="str">
        <f>IF(Productos!A758="","",Productos!A758)</f>
        <v/>
      </c>
      <c r="B758" s="18" t="str">
        <f>IF(Productos!B758="","",Productos!B758)</f>
        <v/>
      </c>
      <c r="C758" s="26" t="str">
        <f>IF(A758="","",Ventas!H758)</f>
        <v/>
      </c>
      <c r="D758" s="26" t="str">
        <f t="shared" si="33"/>
        <v/>
      </c>
      <c r="E758" s="26" t="str">
        <f t="shared" si="34"/>
        <v/>
      </c>
      <c r="F758" s="26" t="str">
        <f t="shared" si="35"/>
        <v/>
      </c>
    </row>
    <row r="759" spans="1:6" x14ac:dyDescent="0.2">
      <c r="A759" s="18" t="str">
        <f>IF(Productos!A759="","",Productos!A759)</f>
        <v/>
      </c>
      <c r="B759" s="18" t="str">
        <f>IF(Productos!B759="","",Productos!B759)</f>
        <v/>
      </c>
      <c r="C759" s="26" t="str">
        <f>IF(A759="","",Ventas!H759)</f>
        <v/>
      </c>
      <c r="D759" s="26" t="str">
        <f t="shared" si="33"/>
        <v/>
      </c>
      <c r="E759" s="26" t="str">
        <f t="shared" si="34"/>
        <v/>
      </c>
      <c r="F759" s="26" t="str">
        <f t="shared" si="35"/>
        <v/>
      </c>
    </row>
    <row r="760" spans="1:6" x14ac:dyDescent="0.2">
      <c r="A760" s="18" t="str">
        <f>IF(Productos!A760="","",Productos!A760)</f>
        <v/>
      </c>
      <c r="B760" s="18" t="str">
        <f>IF(Productos!B760="","",Productos!B760)</f>
        <v/>
      </c>
      <c r="C760" s="26" t="str">
        <f>IF(A760="","",Ventas!H760)</f>
        <v/>
      </c>
      <c r="D760" s="26" t="str">
        <f t="shared" si="33"/>
        <v/>
      </c>
      <c r="E760" s="26" t="str">
        <f t="shared" si="34"/>
        <v/>
      </c>
      <c r="F760" s="26" t="str">
        <f t="shared" si="35"/>
        <v/>
      </c>
    </row>
    <row r="761" spans="1:6" x14ac:dyDescent="0.2">
      <c r="A761" s="18" t="str">
        <f>IF(Productos!A761="","",Productos!A761)</f>
        <v/>
      </c>
      <c r="B761" s="18" t="str">
        <f>IF(Productos!B761="","",Productos!B761)</f>
        <v/>
      </c>
      <c r="C761" s="26" t="str">
        <f>IF(A761="","",Ventas!H761)</f>
        <v/>
      </c>
      <c r="D761" s="26" t="str">
        <f t="shared" si="33"/>
        <v/>
      </c>
      <c r="E761" s="26" t="str">
        <f t="shared" si="34"/>
        <v/>
      </c>
      <c r="F761" s="26" t="str">
        <f t="shared" si="35"/>
        <v/>
      </c>
    </row>
    <row r="762" spans="1:6" x14ac:dyDescent="0.2">
      <c r="A762" s="18" t="str">
        <f>IF(Productos!A762="","",Productos!A762)</f>
        <v/>
      </c>
      <c r="B762" s="18" t="str">
        <f>IF(Productos!B762="","",Productos!B762)</f>
        <v/>
      </c>
      <c r="C762" s="26" t="str">
        <f>IF(A762="","",Ventas!H762)</f>
        <v/>
      </c>
      <c r="D762" s="26" t="str">
        <f t="shared" si="33"/>
        <v/>
      </c>
      <c r="E762" s="26" t="str">
        <f t="shared" si="34"/>
        <v/>
      </c>
      <c r="F762" s="26" t="str">
        <f t="shared" si="35"/>
        <v/>
      </c>
    </row>
    <row r="763" spans="1:6" x14ac:dyDescent="0.2">
      <c r="A763" s="18" t="str">
        <f>IF(Productos!A763="","",Productos!A763)</f>
        <v/>
      </c>
      <c r="B763" s="18" t="str">
        <f>IF(Productos!B763="","",Productos!B763)</f>
        <v/>
      </c>
      <c r="C763" s="26" t="str">
        <f>IF(A763="","",Ventas!H763)</f>
        <v/>
      </c>
      <c r="D763" s="26" t="str">
        <f t="shared" si="33"/>
        <v/>
      </c>
      <c r="E763" s="26" t="str">
        <f t="shared" si="34"/>
        <v/>
      </c>
      <c r="F763" s="26" t="str">
        <f t="shared" si="35"/>
        <v/>
      </c>
    </row>
    <row r="764" spans="1:6" x14ac:dyDescent="0.2">
      <c r="A764" s="18" t="str">
        <f>IF(Productos!A764="","",Productos!A764)</f>
        <v/>
      </c>
      <c r="B764" s="18" t="str">
        <f>IF(Productos!B764="","",Productos!B764)</f>
        <v/>
      </c>
      <c r="C764" s="26" t="str">
        <f>IF(A764="","",Ventas!H764)</f>
        <v/>
      </c>
      <c r="D764" s="26" t="str">
        <f t="shared" si="33"/>
        <v/>
      </c>
      <c r="E764" s="26" t="str">
        <f t="shared" si="34"/>
        <v/>
      </c>
      <c r="F764" s="26" t="str">
        <f t="shared" si="35"/>
        <v/>
      </c>
    </row>
    <row r="765" spans="1:6" x14ac:dyDescent="0.2">
      <c r="A765" s="18" t="str">
        <f>IF(Productos!A765="","",Productos!A765)</f>
        <v/>
      </c>
      <c r="B765" s="18" t="str">
        <f>IF(Productos!B765="","",Productos!B765)</f>
        <v/>
      </c>
      <c r="C765" s="26" t="str">
        <f>IF(A765="","",Ventas!H765)</f>
        <v/>
      </c>
      <c r="D765" s="26" t="str">
        <f t="shared" si="33"/>
        <v/>
      </c>
      <c r="E765" s="26" t="str">
        <f t="shared" si="34"/>
        <v/>
      </c>
      <c r="F765" s="26" t="str">
        <f t="shared" si="35"/>
        <v/>
      </c>
    </row>
    <row r="766" spans="1:6" x14ac:dyDescent="0.2">
      <c r="A766" s="18" t="str">
        <f>IF(Productos!A766="","",Productos!A766)</f>
        <v/>
      </c>
      <c r="B766" s="18" t="str">
        <f>IF(Productos!B766="","",Productos!B766)</f>
        <v/>
      </c>
      <c r="C766" s="26" t="str">
        <f>IF(A766="","",Ventas!H766)</f>
        <v/>
      </c>
      <c r="D766" s="26" t="str">
        <f t="shared" si="33"/>
        <v/>
      </c>
      <c r="E766" s="26" t="str">
        <f t="shared" si="34"/>
        <v/>
      </c>
      <c r="F766" s="26" t="str">
        <f t="shared" si="35"/>
        <v/>
      </c>
    </row>
    <row r="767" spans="1:6" x14ac:dyDescent="0.2">
      <c r="A767" s="18" t="str">
        <f>IF(Productos!A767="","",Productos!A767)</f>
        <v/>
      </c>
      <c r="B767" s="18" t="str">
        <f>IF(Productos!B767="","",Productos!B767)</f>
        <v/>
      </c>
      <c r="C767" s="26" t="str">
        <f>IF(A767="","",Ventas!H767)</f>
        <v/>
      </c>
      <c r="D767" s="26" t="str">
        <f t="shared" si="33"/>
        <v/>
      </c>
      <c r="E767" s="26" t="str">
        <f t="shared" si="34"/>
        <v/>
      </c>
      <c r="F767" s="26" t="str">
        <f t="shared" si="35"/>
        <v/>
      </c>
    </row>
    <row r="768" spans="1:6" x14ac:dyDescent="0.2">
      <c r="A768" s="18" t="str">
        <f>IF(Productos!A768="","",Productos!A768)</f>
        <v/>
      </c>
      <c r="B768" s="18" t="str">
        <f>IF(Productos!B768="","",Productos!B768)</f>
        <v/>
      </c>
      <c r="C768" s="26" t="str">
        <f>IF(A768="","",Ventas!H768)</f>
        <v/>
      </c>
      <c r="D768" s="26" t="str">
        <f t="shared" si="33"/>
        <v/>
      </c>
      <c r="E768" s="26" t="str">
        <f t="shared" si="34"/>
        <v/>
      </c>
      <c r="F768" s="26" t="str">
        <f t="shared" si="35"/>
        <v/>
      </c>
    </row>
    <row r="769" spans="1:6" x14ac:dyDescent="0.2">
      <c r="A769" s="18" t="str">
        <f>IF(Productos!A769="","",Productos!A769)</f>
        <v/>
      </c>
      <c r="B769" s="18" t="str">
        <f>IF(Productos!B769="","",Productos!B769)</f>
        <v/>
      </c>
      <c r="C769" s="26" t="str">
        <f>IF(A769="","",Ventas!H769)</f>
        <v/>
      </c>
      <c r="D769" s="26" t="str">
        <f t="shared" si="33"/>
        <v/>
      </c>
      <c r="E769" s="26" t="str">
        <f t="shared" si="34"/>
        <v/>
      </c>
      <c r="F769" s="26" t="str">
        <f t="shared" si="35"/>
        <v/>
      </c>
    </row>
    <row r="770" spans="1:6" x14ac:dyDescent="0.2">
      <c r="A770" s="18" t="str">
        <f>IF(Productos!A770="","",Productos!A770)</f>
        <v/>
      </c>
      <c r="B770" s="18" t="str">
        <f>IF(Productos!B770="","",Productos!B770)</f>
        <v/>
      </c>
      <c r="C770" s="26" t="str">
        <f>IF(A770="","",Ventas!H770)</f>
        <v/>
      </c>
      <c r="D770" s="26" t="str">
        <f t="shared" si="33"/>
        <v/>
      </c>
      <c r="E770" s="26" t="str">
        <f t="shared" si="34"/>
        <v/>
      </c>
      <c r="F770" s="26" t="str">
        <f t="shared" si="35"/>
        <v/>
      </c>
    </row>
    <row r="771" spans="1:6" x14ac:dyDescent="0.2">
      <c r="A771" s="18" t="str">
        <f>IF(Productos!A771="","",Productos!A771)</f>
        <v/>
      </c>
      <c r="B771" s="18" t="str">
        <f>IF(Productos!B771="","",Productos!B771)</f>
        <v/>
      </c>
      <c r="C771" s="26" t="str">
        <f>IF(A771="","",Ventas!H771)</f>
        <v/>
      </c>
      <c r="D771" s="26" t="str">
        <f t="shared" ref="D771:D834" si="36">IF(A771="","",ROUND(C771/3,2))</f>
        <v/>
      </c>
      <c r="E771" s="26" t="str">
        <f t="shared" ref="E771:E834" si="37">IF(A771="","",ROUND(C771/3,2))</f>
        <v/>
      </c>
      <c r="F771" s="26" t="str">
        <f t="shared" ref="F771:F834" si="38">IF(A771="","",C771-D771-E771)</f>
        <v/>
      </c>
    </row>
    <row r="772" spans="1:6" x14ac:dyDescent="0.2">
      <c r="A772" s="18" t="str">
        <f>IF(Productos!A772="","",Productos!A772)</f>
        <v/>
      </c>
      <c r="B772" s="18" t="str">
        <f>IF(Productos!B772="","",Productos!B772)</f>
        <v/>
      </c>
      <c r="C772" s="26" t="str">
        <f>IF(A772="","",Ventas!H772)</f>
        <v/>
      </c>
      <c r="D772" s="26" t="str">
        <f t="shared" si="36"/>
        <v/>
      </c>
      <c r="E772" s="26" t="str">
        <f t="shared" si="37"/>
        <v/>
      </c>
      <c r="F772" s="26" t="str">
        <f t="shared" si="38"/>
        <v/>
      </c>
    </row>
    <row r="773" spans="1:6" x14ac:dyDescent="0.2">
      <c r="A773" s="18" t="str">
        <f>IF(Productos!A773="","",Productos!A773)</f>
        <v/>
      </c>
      <c r="B773" s="18" t="str">
        <f>IF(Productos!B773="","",Productos!B773)</f>
        <v/>
      </c>
      <c r="C773" s="26" t="str">
        <f>IF(A773="","",Ventas!H773)</f>
        <v/>
      </c>
      <c r="D773" s="26" t="str">
        <f t="shared" si="36"/>
        <v/>
      </c>
      <c r="E773" s="26" t="str">
        <f t="shared" si="37"/>
        <v/>
      </c>
      <c r="F773" s="26" t="str">
        <f t="shared" si="38"/>
        <v/>
      </c>
    </row>
    <row r="774" spans="1:6" x14ac:dyDescent="0.2">
      <c r="A774" s="18" t="str">
        <f>IF(Productos!A774="","",Productos!A774)</f>
        <v/>
      </c>
      <c r="B774" s="18" t="str">
        <f>IF(Productos!B774="","",Productos!B774)</f>
        <v/>
      </c>
      <c r="C774" s="26" t="str">
        <f>IF(A774="","",Ventas!H774)</f>
        <v/>
      </c>
      <c r="D774" s="26" t="str">
        <f t="shared" si="36"/>
        <v/>
      </c>
      <c r="E774" s="26" t="str">
        <f t="shared" si="37"/>
        <v/>
      </c>
      <c r="F774" s="26" t="str">
        <f t="shared" si="38"/>
        <v/>
      </c>
    </row>
    <row r="775" spans="1:6" x14ac:dyDescent="0.2">
      <c r="A775" s="18" t="str">
        <f>IF(Productos!A775="","",Productos!A775)</f>
        <v/>
      </c>
      <c r="B775" s="18" t="str">
        <f>IF(Productos!B775="","",Productos!B775)</f>
        <v/>
      </c>
      <c r="C775" s="26" t="str">
        <f>IF(A775="","",Ventas!H775)</f>
        <v/>
      </c>
      <c r="D775" s="26" t="str">
        <f t="shared" si="36"/>
        <v/>
      </c>
      <c r="E775" s="26" t="str">
        <f t="shared" si="37"/>
        <v/>
      </c>
      <c r="F775" s="26" t="str">
        <f t="shared" si="38"/>
        <v/>
      </c>
    </row>
    <row r="776" spans="1:6" x14ac:dyDescent="0.2">
      <c r="A776" s="18" t="str">
        <f>IF(Productos!A776="","",Productos!A776)</f>
        <v/>
      </c>
      <c r="B776" s="18" t="str">
        <f>IF(Productos!B776="","",Productos!B776)</f>
        <v/>
      </c>
      <c r="C776" s="26" t="str">
        <f>IF(A776="","",Ventas!H776)</f>
        <v/>
      </c>
      <c r="D776" s="26" t="str">
        <f t="shared" si="36"/>
        <v/>
      </c>
      <c r="E776" s="26" t="str">
        <f t="shared" si="37"/>
        <v/>
      </c>
      <c r="F776" s="26" t="str">
        <f t="shared" si="38"/>
        <v/>
      </c>
    </row>
    <row r="777" spans="1:6" x14ac:dyDescent="0.2">
      <c r="A777" s="18" t="str">
        <f>IF(Productos!A777="","",Productos!A777)</f>
        <v/>
      </c>
      <c r="B777" s="18" t="str">
        <f>IF(Productos!B777="","",Productos!B777)</f>
        <v/>
      </c>
      <c r="C777" s="26" t="str">
        <f>IF(A777="","",Ventas!H777)</f>
        <v/>
      </c>
      <c r="D777" s="26" t="str">
        <f t="shared" si="36"/>
        <v/>
      </c>
      <c r="E777" s="26" t="str">
        <f t="shared" si="37"/>
        <v/>
      </c>
      <c r="F777" s="26" t="str">
        <f t="shared" si="38"/>
        <v/>
      </c>
    </row>
    <row r="778" spans="1:6" x14ac:dyDescent="0.2">
      <c r="A778" s="18" t="str">
        <f>IF(Productos!A778="","",Productos!A778)</f>
        <v/>
      </c>
      <c r="B778" s="18" t="str">
        <f>IF(Productos!B778="","",Productos!B778)</f>
        <v/>
      </c>
      <c r="C778" s="26" t="str">
        <f>IF(A778="","",Ventas!H778)</f>
        <v/>
      </c>
      <c r="D778" s="26" t="str">
        <f t="shared" si="36"/>
        <v/>
      </c>
      <c r="E778" s="26" t="str">
        <f t="shared" si="37"/>
        <v/>
      </c>
      <c r="F778" s="26" t="str">
        <f t="shared" si="38"/>
        <v/>
      </c>
    </row>
    <row r="779" spans="1:6" x14ac:dyDescent="0.2">
      <c r="A779" s="18" t="str">
        <f>IF(Productos!A779="","",Productos!A779)</f>
        <v/>
      </c>
      <c r="B779" s="18" t="str">
        <f>IF(Productos!B779="","",Productos!B779)</f>
        <v/>
      </c>
      <c r="C779" s="26" t="str">
        <f>IF(A779="","",Ventas!H779)</f>
        <v/>
      </c>
      <c r="D779" s="26" t="str">
        <f t="shared" si="36"/>
        <v/>
      </c>
      <c r="E779" s="26" t="str">
        <f t="shared" si="37"/>
        <v/>
      </c>
      <c r="F779" s="26" t="str">
        <f t="shared" si="38"/>
        <v/>
      </c>
    </row>
    <row r="780" spans="1:6" x14ac:dyDescent="0.2">
      <c r="A780" s="18" t="str">
        <f>IF(Productos!A780="","",Productos!A780)</f>
        <v/>
      </c>
      <c r="B780" s="18" t="str">
        <f>IF(Productos!B780="","",Productos!B780)</f>
        <v/>
      </c>
      <c r="C780" s="26" t="str">
        <f>IF(A780="","",Ventas!H780)</f>
        <v/>
      </c>
      <c r="D780" s="26" t="str">
        <f t="shared" si="36"/>
        <v/>
      </c>
      <c r="E780" s="26" t="str">
        <f t="shared" si="37"/>
        <v/>
      </c>
      <c r="F780" s="26" t="str">
        <f t="shared" si="38"/>
        <v/>
      </c>
    </row>
    <row r="781" spans="1:6" x14ac:dyDescent="0.2">
      <c r="A781" s="18" t="str">
        <f>IF(Productos!A781="","",Productos!A781)</f>
        <v/>
      </c>
      <c r="B781" s="18" t="str">
        <f>IF(Productos!B781="","",Productos!B781)</f>
        <v/>
      </c>
      <c r="C781" s="26" t="str">
        <f>IF(A781="","",Ventas!H781)</f>
        <v/>
      </c>
      <c r="D781" s="26" t="str">
        <f t="shared" si="36"/>
        <v/>
      </c>
      <c r="E781" s="26" t="str">
        <f t="shared" si="37"/>
        <v/>
      </c>
      <c r="F781" s="26" t="str">
        <f t="shared" si="38"/>
        <v/>
      </c>
    </row>
    <row r="782" spans="1:6" x14ac:dyDescent="0.2">
      <c r="A782" s="18" t="str">
        <f>IF(Productos!A782="","",Productos!A782)</f>
        <v/>
      </c>
      <c r="B782" s="18" t="str">
        <f>IF(Productos!B782="","",Productos!B782)</f>
        <v/>
      </c>
      <c r="C782" s="26" t="str">
        <f>IF(A782="","",Ventas!H782)</f>
        <v/>
      </c>
      <c r="D782" s="26" t="str">
        <f t="shared" si="36"/>
        <v/>
      </c>
      <c r="E782" s="26" t="str">
        <f t="shared" si="37"/>
        <v/>
      </c>
      <c r="F782" s="26" t="str">
        <f t="shared" si="38"/>
        <v/>
      </c>
    </row>
    <row r="783" spans="1:6" x14ac:dyDescent="0.2">
      <c r="A783" s="18" t="str">
        <f>IF(Productos!A783="","",Productos!A783)</f>
        <v/>
      </c>
      <c r="B783" s="18" t="str">
        <f>IF(Productos!B783="","",Productos!B783)</f>
        <v/>
      </c>
      <c r="C783" s="26" t="str">
        <f>IF(A783="","",Ventas!H783)</f>
        <v/>
      </c>
      <c r="D783" s="26" t="str">
        <f t="shared" si="36"/>
        <v/>
      </c>
      <c r="E783" s="26" t="str">
        <f t="shared" si="37"/>
        <v/>
      </c>
      <c r="F783" s="26" t="str">
        <f t="shared" si="38"/>
        <v/>
      </c>
    </row>
    <row r="784" spans="1:6" x14ac:dyDescent="0.2">
      <c r="A784" s="18" t="str">
        <f>IF(Productos!A784="","",Productos!A784)</f>
        <v/>
      </c>
      <c r="B784" s="18" t="str">
        <f>IF(Productos!B784="","",Productos!B784)</f>
        <v/>
      </c>
      <c r="C784" s="26" t="str">
        <f>IF(A784="","",Ventas!H784)</f>
        <v/>
      </c>
      <c r="D784" s="26" t="str">
        <f t="shared" si="36"/>
        <v/>
      </c>
      <c r="E784" s="26" t="str">
        <f t="shared" si="37"/>
        <v/>
      </c>
      <c r="F784" s="26" t="str">
        <f t="shared" si="38"/>
        <v/>
      </c>
    </row>
    <row r="785" spans="1:6" x14ac:dyDescent="0.2">
      <c r="A785" s="18" t="str">
        <f>IF(Productos!A785="","",Productos!A785)</f>
        <v/>
      </c>
      <c r="B785" s="18" t="str">
        <f>IF(Productos!B785="","",Productos!B785)</f>
        <v/>
      </c>
      <c r="C785" s="26" t="str">
        <f>IF(A785="","",Ventas!H785)</f>
        <v/>
      </c>
      <c r="D785" s="26" t="str">
        <f t="shared" si="36"/>
        <v/>
      </c>
      <c r="E785" s="26" t="str">
        <f t="shared" si="37"/>
        <v/>
      </c>
      <c r="F785" s="26" t="str">
        <f t="shared" si="38"/>
        <v/>
      </c>
    </row>
    <row r="786" spans="1:6" x14ac:dyDescent="0.2">
      <c r="A786" s="18" t="str">
        <f>IF(Productos!A786="","",Productos!A786)</f>
        <v/>
      </c>
      <c r="B786" s="18" t="str">
        <f>IF(Productos!B786="","",Productos!B786)</f>
        <v/>
      </c>
      <c r="C786" s="26" t="str">
        <f>IF(A786="","",Ventas!H786)</f>
        <v/>
      </c>
      <c r="D786" s="26" t="str">
        <f t="shared" si="36"/>
        <v/>
      </c>
      <c r="E786" s="26" t="str">
        <f t="shared" si="37"/>
        <v/>
      </c>
      <c r="F786" s="26" t="str">
        <f t="shared" si="38"/>
        <v/>
      </c>
    </row>
    <row r="787" spans="1:6" x14ac:dyDescent="0.2">
      <c r="A787" s="18" t="str">
        <f>IF(Productos!A787="","",Productos!A787)</f>
        <v/>
      </c>
      <c r="B787" s="18" t="str">
        <f>IF(Productos!B787="","",Productos!B787)</f>
        <v/>
      </c>
      <c r="C787" s="26" t="str">
        <f>IF(A787="","",Ventas!H787)</f>
        <v/>
      </c>
      <c r="D787" s="26" t="str">
        <f t="shared" si="36"/>
        <v/>
      </c>
      <c r="E787" s="26" t="str">
        <f t="shared" si="37"/>
        <v/>
      </c>
      <c r="F787" s="26" t="str">
        <f t="shared" si="38"/>
        <v/>
      </c>
    </row>
    <row r="788" spans="1:6" x14ac:dyDescent="0.2">
      <c r="A788" s="18" t="str">
        <f>IF(Productos!A788="","",Productos!A788)</f>
        <v/>
      </c>
      <c r="B788" s="18" t="str">
        <f>IF(Productos!B788="","",Productos!B788)</f>
        <v/>
      </c>
      <c r="C788" s="26" t="str">
        <f>IF(A788="","",Ventas!H788)</f>
        <v/>
      </c>
      <c r="D788" s="26" t="str">
        <f t="shared" si="36"/>
        <v/>
      </c>
      <c r="E788" s="26" t="str">
        <f t="shared" si="37"/>
        <v/>
      </c>
      <c r="F788" s="26" t="str">
        <f t="shared" si="38"/>
        <v/>
      </c>
    </row>
    <row r="789" spans="1:6" x14ac:dyDescent="0.2">
      <c r="A789" s="18" t="str">
        <f>IF(Productos!A789="","",Productos!A789)</f>
        <v/>
      </c>
      <c r="B789" s="18" t="str">
        <f>IF(Productos!B789="","",Productos!B789)</f>
        <v/>
      </c>
      <c r="C789" s="26" t="str">
        <f>IF(A789="","",Ventas!H789)</f>
        <v/>
      </c>
      <c r="D789" s="26" t="str">
        <f t="shared" si="36"/>
        <v/>
      </c>
      <c r="E789" s="26" t="str">
        <f t="shared" si="37"/>
        <v/>
      </c>
      <c r="F789" s="26" t="str">
        <f t="shared" si="38"/>
        <v/>
      </c>
    </row>
    <row r="790" spans="1:6" x14ac:dyDescent="0.2">
      <c r="A790" s="18" t="str">
        <f>IF(Productos!A790="","",Productos!A790)</f>
        <v/>
      </c>
      <c r="B790" s="18" t="str">
        <f>IF(Productos!B790="","",Productos!B790)</f>
        <v/>
      </c>
      <c r="C790" s="26" t="str">
        <f>IF(A790="","",Ventas!H790)</f>
        <v/>
      </c>
      <c r="D790" s="26" t="str">
        <f t="shared" si="36"/>
        <v/>
      </c>
      <c r="E790" s="26" t="str">
        <f t="shared" si="37"/>
        <v/>
      </c>
      <c r="F790" s="26" t="str">
        <f t="shared" si="38"/>
        <v/>
      </c>
    </row>
    <row r="791" spans="1:6" x14ac:dyDescent="0.2">
      <c r="A791" s="18" t="str">
        <f>IF(Productos!A791="","",Productos!A791)</f>
        <v/>
      </c>
      <c r="B791" s="18" t="str">
        <f>IF(Productos!B791="","",Productos!B791)</f>
        <v/>
      </c>
      <c r="C791" s="26" t="str">
        <f>IF(A791="","",Ventas!H791)</f>
        <v/>
      </c>
      <c r="D791" s="26" t="str">
        <f t="shared" si="36"/>
        <v/>
      </c>
      <c r="E791" s="26" t="str">
        <f t="shared" si="37"/>
        <v/>
      </c>
      <c r="F791" s="26" t="str">
        <f t="shared" si="38"/>
        <v/>
      </c>
    </row>
    <row r="792" spans="1:6" x14ac:dyDescent="0.2">
      <c r="A792" s="18" t="str">
        <f>IF(Productos!A792="","",Productos!A792)</f>
        <v/>
      </c>
      <c r="B792" s="18" t="str">
        <f>IF(Productos!B792="","",Productos!B792)</f>
        <v/>
      </c>
      <c r="C792" s="26" t="str">
        <f>IF(A792="","",Ventas!H792)</f>
        <v/>
      </c>
      <c r="D792" s="26" t="str">
        <f t="shared" si="36"/>
        <v/>
      </c>
      <c r="E792" s="26" t="str">
        <f t="shared" si="37"/>
        <v/>
      </c>
      <c r="F792" s="26" t="str">
        <f t="shared" si="38"/>
        <v/>
      </c>
    </row>
    <row r="793" spans="1:6" x14ac:dyDescent="0.2">
      <c r="A793" s="18" t="str">
        <f>IF(Productos!A793="","",Productos!A793)</f>
        <v/>
      </c>
      <c r="B793" s="18" t="str">
        <f>IF(Productos!B793="","",Productos!B793)</f>
        <v/>
      </c>
      <c r="C793" s="26" t="str">
        <f>IF(A793="","",Ventas!H793)</f>
        <v/>
      </c>
      <c r="D793" s="26" t="str">
        <f t="shared" si="36"/>
        <v/>
      </c>
      <c r="E793" s="26" t="str">
        <f t="shared" si="37"/>
        <v/>
      </c>
      <c r="F793" s="26" t="str">
        <f t="shared" si="38"/>
        <v/>
      </c>
    </row>
    <row r="794" spans="1:6" x14ac:dyDescent="0.2">
      <c r="A794" s="18" t="str">
        <f>IF(Productos!A794="","",Productos!A794)</f>
        <v/>
      </c>
      <c r="B794" s="18" t="str">
        <f>IF(Productos!B794="","",Productos!B794)</f>
        <v/>
      </c>
      <c r="C794" s="26" t="str">
        <f>IF(A794="","",Ventas!H794)</f>
        <v/>
      </c>
      <c r="D794" s="26" t="str">
        <f t="shared" si="36"/>
        <v/>
      </c>
      <c r="E794" s="26" t="str">
        <f t="shared" si="37"/>
        <v/>
      </c>
      <c r="F794" s="26" t="str">
        <f t="shared" si="38"/>
        <v/>
      </c>
    </row>
    <row r="795" spans="1:6" x14ac:dyDescent="0.2">
      <c r="A795" s="18" t="str">
        <f>IF(Productos!A795="","",Productos!A795)</f>
        <v/>
      </c>
      <c r="B795" s="18" t="str">
        <f>IF(Productos!B795="","",Productos!B795)</f>
        <v/>
      </c>
      <c r="C795" s="26" t="str">
        <f>IF(A795="","",Ventas!H795)</f>
        <v/>
      </c>
      <c r="D795" s="26" t="str">
        <f t="shared" si="36"/>
        <v/>
      </c>
      <c r="E795" s="26" t="str">
        <f t="shared" si="37"/>
        <v/>
      </c>
      <c r="F795" s="26" t="str">
        <f t="shared" si="38"/>
        <v/>
      </c>
    </row>
    <row r="796" spans="1:6" x14ac:dyDescent="0.2">
      <c r="A796" s="18" t="str">
        <f>IF(Productos!A796="","",Productos!A796)</f>
        <v/>
      </c>
      <c r="B796" s="18" t="str">
        <f>IF(Productos!B796="","",Productos!B796)</f>
        <v/>
      </c>
      <c r="C796" s="26" t="str">
        <f>IF(A796="","",Ventas!H796)</f>
        <v/>
      </c>
      <c r="D796" s="26" t="str">
        <f t="shared" si="36"/>
        <v/>
      </c>
      <c r="E796" s="26" t="str">
        <f t="shared" si="37"/>
        <v/>
      </c>
      <c r="F796" s="26" t="str">
        <f t="shared" si="38"/>
        <v/>
      </c>
    </row>
    <row r="797" spans="1:6" x14ac:dyDescent="0.2">
      <c r="A797" s="18" t="str">
        <f>IF(Productos!A797="","",Productos!A797)</f>
        <v/>
      </c>
      <c r="B797" s="18" t="str">
        <f>IF(Productos!B797="","",Productos!B797)</f>
        <v/>
      </c>
      <c r="C797" s="26" t="str">
        <f>IF(A797="","",Ventas!H797)</f>
        <v/>
      </c>
      <c r="D797" s="26" t="str">
        <f t="shared" si="36"/>
        <v/>
      </c>
      <c r="E797" s="26" t="str">
        <f t="shared" si="37"/>
        <v/>
      </c>
      <c r="F797" s="26" t="str">
        <f t="shared" si="38"/>
        <v/>
      </c>
    </row>
    <row r="798" spans="1:6" x14ac:dyDescent="0.2">
      <c r="A798" s="18" t="str">
        <f>IF(Productos!A798="","",Productos!A798)</f>
        <v/>
      </c>
      <c r="B798" s="18" t="str">
        <f>IF(Productos!B798="","",Productos!B798)</f>
        <v/>
      </c>
      <c r="C798" s="26" t="str">
        <f>IF(A798="","",Ventas!H798)</f>
        <v/>
      </c>
      <c r="D798" s="26" t="str">
        <f t="shared" si="36"/>
        <v/>
      </c>
      <c r="E798" s="26" t="str">
        <f t="shared" si="37"/>
        <v/>
      </c>
      <c r="F798" s="26" t="str">
        <f t="shared" si="38"/>
        <v/>
      </c>
    </row>
    <row r="799" spans="1:6" x14ac:dyDescent="0.2">
      <c r="A799" s="18" t="str">
        <f>IF(Productos!A799="","",Productos!A799)</f>
        <v/>
      </c>
      <c r="B799" s="18" t="str">
        <f>IF(Productos!B799="","",Productos!B799)</f>
        <v/>
      </c>
      <c r="C799" s="26" t="str">
        <f>IF(A799="","",Ventas!H799)</f>
        <v/>
      </c>
      <c r="D799" s="26" t="str">
        <f t="shared" si="36"/>
        <v/>
      </c>
      <c r="E799" s="26" t="str">
        <f t="shared" si="37"/>
        <v/>
      </c>
      <c r="F799" s="26" t="str">
        <f t="shared" si="38"/>
        <v/>
      </c>
    </row>
    <row r="800" spans="1:6" x14ac:dyDescent="0.2">
      <c r="A800" s="18" t="str">
        <f>IF(Productos!A800="","",Productos!A800)</f>
        <v/>
      </c>
      <c r="B800" s="18" t="str">
        <f>IF(Productos!B800="","",Productos!B800)</f>
        <v/>
      </c>
      <c r="C800" s="26" t="str">
        <f>IF(A800="","",Ventas!H800)</f>
        <v/>
      </c>
      <c r="D800" s="26" t="str">
        <f t="shared" si="36"/>
        <v/>
      </c>
      <c r="E800" s="26" t="str">
        <f t="shared" si="37"/>
        <v/>
      </c>
      <c r="F800" s="26" t="str">
        <f t="shared" si="38"/>
        <v/>
      </c>
    </row>
    <row r="801" spans="1:6" x14ac:dyDescent="0.2">
      <c r="A801" s="18" t="str">
        <f>IF(Productos!A801="","",Productos!A801)</f>
        <v/>
      </c>
      <c r="B801" s="18" t="str">
        <f>IF(Productos!B801="","",Productos!B801)</f>
        <v/>
      </c>
      <c r="C801" s="26" t="str">
        <f>IF(A801="","",Ventas!H801)</f>
        <v/>
      </c>
      <c r="D801" s="26" t="str">
        <f t="shared" si="36"/>
        <v/>
      </c>
      <c r="E801" s="26" t="str">
        <f t="shared" si="37"/>
        <v/>
      </c>
      <c r="F801" s="26" t="str">
        <f t="shared" si="38"/>
        <v/>
      </c>
    </row>
    <row r="802" spans="1:6" x14ac:dyDescent="0.2">
      <c r="A802" s="18" t="str">
        <f>IF(Productos!A802="","",Productos!A802)</f>
        <v/>
      </c>
      <c r="B802" s="18" t="str">
        <f>IF(Productos!B802="","",Productos!B802)</f>
        <v/>
      </c>
      <c r="C802" s="26" t="str">
        <f>IF(A802="","",Ventas!H802)</f>
        <v/>
      </c>
      <c r="D802" s="26" t="str">
        <f t="shared" si="36"/>
        <v/>
      </c>
      <c r="E802" s="26" t="str">
        <f t="shared" si="37"/>
        <v/>
      </c>
      <c r="F802" s="26" t="str">
        <f t="shared" si="38"/>
        <v/>
      </c>
    </row>
    <row r="803" spans="1:6" x14ac:dyDescent="0.2">
      <c r="A803" s="18" t="str">
        <f>IF(Productos!A803="","",Productos!A803)</f>
        <v/>
      </c>
      <c r="B803" s="18" t="str">
        <f>IF(Productos!B803="","",Productos!B803)</f>
        <v/>
      </c>
      <c r="C803" s="26" t="str">
        <f>IF(A803="","",Ventas!H803)</f>
        <v/>
      </c>
      <c r="D803" s="26" t="str">
        <f t="shared" si="36"/>
        <v/>
      </c>
      <c r="E803" s="26" t="str">
        <f t="shared" si="37"/>
        <v/>
      </c>
      <c r="F803" s="26" t="str">
        <f t="shared" si="38"/>
        <v/>
      </c>
    </row>
    <row r="804" spans="1:6" x14ac:dyDescent="0.2">
      <c r="A804" s="18" t="str">
        <f>IF(Productos!A804="","",Productos!A804)</f>
        <v/>
      </c>
      <c r="B804" s="18" t="str">
        <f>IF(Productos!B804="","",Productos!B804)</f>
        <v/>
      </c>
      <c r="C804" s="26" t="str">
        <f>IF(A804="","",Ventas!H804)</f>
        <v/>
      </c>
      <c r="D804" s="26" t="str">
        <f t="shared" si="36"/>
        <v/>
      </c>
      <c r="E804" s="26" t="str">
        <f t="shared" si="37"/>
        <v/>
      </c>
      <c r="F804" s="26" t="str">
        <f t="shared" si="38"/>
        <v/>
      </c>
    </row>
    <row r="805" spans="1:6" x14ac:dyDescent="0.2">
      <c r="A805" s="18" t="str">
        <f>IF(Productos!A805="","",Productos!A805)</f>
        <v/>
      </c>
      <c r="B805" s="18" t="str">
        <f>IF(Productos!B805="","",Productos!B805)</f>
        <v/>
      </c>
      <c r="C805" s="26" t="str">
        <f>IF(A805="","",Ventas!H805)</f>
        <v/>
      </c>
      <c r="D805" s="26" t="str">
        <f t="shared" si="36"/>
        <v/>
      </c>
      <c r="E805" s="26" t="str">
        <f t="shared" si="37"/>
        <v/>
      </c>
      <c r="F805" s="26" t="str">
        <f t="shared" si="38"/>
        <v/>
      </c>
    </row>
    <row r="806" spans="1:6" x14ac:dyDescent="0.2">
      <c r="A806" s="18" t="str">
        <f>IF(Productos!A806="","",Productos!A806)</f>
        <v/>
      </c>
      <c r="B806" s="18" t="str">
        <f>IF(Productos!B806="","",Productos!B806)</f>
        <v/>
      </c>
      <c r="C806" s="26" t="str">
        <f>IF(A806="","",Ventas!H806)</f>
        <v/>
      </c>
      <c r="D806" s="26" t="str">
        <f t="shared" si="36"/>
        <v/>
      </c>
      <c r="E806" s="26" t="str">
        <f t="shared" si="37"/>
        <v/>
      </c>
      <c r="F806" s="26" t="str">
        <f t="shared" si="38"/>
        <v/>
      </c>
    </row>
    <row r="807" spans="1:6" x14ac:dyDescent="0.2">
      <c r="A807" s="18" t="str">
        <f>IF(Productos!A807="","",Productos!A807)</f>
        <v/>
      </c>
      <c r="B807" s="18" t="str">
        <f>IF(Productos!B807="","",Productos!B807)</f>
        <v/>
      </c>
      <c r="C807" s="26" t="str">
        <f>IF(A807="","",Ventas!H807)</f>
        <v/>
      </c>
      <c r="D807" s="26" t="str">
        <f t="shared" si="36"/>
        <v/>
      </c>
      <c r="E807" s="26" t="str">
        <f t="shared" si="37"/>
        <v/>
      </c>
      <c r="F807" s="26" t="str">
        <f t="shared" si="38"/>
        <v/>
      </c>
    </row>
    <row r="808" spans="1:6" x14ac:dyDescent="0.2">
      <c r="A808" s="18" t="str">
        <f>IF(Productos!A808="","",Productos!A808)</f>
        <v/>
      </c>
      <c r="B808" s="18" t="str">
        <f>IF(Productos!B808="","",Productos!B808)</f>
        <v/>
      </c>
      <c r="C808" s="26" t="str">
        <f>IF(A808="","",Ventas!H808)</f>
        <v/>
      </c>
      <c r="D808" s="26" t="str">
        <f t="shared" si="36"/>
        <v/>
      </c>
      <c r="E808" s="26" t="str">
        <f t="shared" si="37"/>
        <v/>
      </c>
      <c r="F808" s="26" t="str">
        <f t="shared" si="38"/>
        <v/>
      </c>
    </row>
    <row r="809" spans="1:6" x14ac:dyDescent="0.2">
      <c r="A809" s="18" t="str">
        <f>IF(Productos!A809="","",Productos!A809)</f>
        <v/>
      </c>
      <c r="B809" s="18" t="str">
        <f>IF(Productos!B809="","",Productos!B809)</f>
        <v/>
      </c>
      <c r="C809" s="26" t="str">
        <f>IF(A809="","",Ventas!H809)</f>
        <v/>
      </c>
      <c r="D809" s="26" t="str">
        <f t="shared" si="36"/>
        <v/>
      </c>
      <c r="E809" s="26" t="str">
        <f t="shared" si="37"/>
        <v/>
      </c>
      <c r="F809" s="26" t="str">
        <f t="shared" si="38"/>
        <v/>
      </c>
    </row>
    <row r="810" spans="1:6" x14ac:dyDescent="0.2">
      <c r="A810" s="18" t="str">
        <f>IF(Productos!A810="","",Productos!A810)</f>
        <v/>
      </c>
      <c r="B810" s="18" t="str">
        <f>IF(Productos!B810="","",Productos!B810)</f>
        <v/>
      </c>
      <c r="C810" s="26" t="str">
        <f>IF(A810="","",Ventas!H810)</f>
        <v/>
      </c>
      <c r="D810" s="26" t="str">
        <f t="shared" si="36"/>
        <v/>
      </c>
      <c r="E810" s="26" t="str">
        <f t="shared" si="37"/>
        <v/>
      </c>
      <c r="F810" s="26" t="str">
        <f t="shared" si="38"/>
        <v/>
      </c>
    </row>
    <row r="811" spans="1:6" x14ac:dyDescent="0.2">
      <c r="A811" s="18" t="str">
        <f>IF(Productos!A811="","",Productos!A811)</f>
        <v/>
      </c>
      <c r="B811" s="18" t="str">
        <f>IF(Productos!B811="","",Productos!B811)</f>
        <v/>
      </c>
      <c r="C811" s="26" t="str">
        <f>IF(A811="","",Ventas!H811)</f>
        <v/>
      </c>
      <c r="D811" s="26" t="str">
        <f t="shared" si="36"/>
        <v/>
      </c>
      <c r="E811" s="26" t="str">
        <f t="shared" si="37"/>
        <v/>
      </c>
      <c r="F811" s="26" t="str">
        <f t="shared" si="38"/>
        <v/>
      </c>
    </row>
    <row r="812" spans="1:6" x14ac:dyDescent="0.2">
      <c r="A812" s="18" t="str">
        <f>IF(Productos!A812="","",Productos!A812)</f>
        <v/>
      </c>
      <c r="B812" s="18" t="str">
        <f>IF(Productos!B812="","",Productos!B812)</f>
        <v/>
      </c>
      <c r="C812" s="26" t="str">
        <f>IF(A812="","",Ventas!H812)</f>
        <v/>
      </c>
      <c r="D812" s="26" t="str">
        <f t="shared" si="36"/>
        <v/>
      </c>
      <c r="E812" s="26" t="str">
        <f t="shared" si="37"/>
        <v/>
      </c>
      <c r="F812" s="26" t="str">
        <f t="shared" si="38"/>
        <v/>
      </c>
    </row>
    <row r="813" spans="1:6" x14ac:dyDescent="0.2">
      <c r="A813" s="18" t="str">
        <f>IF(Productos!A813="","",Productos!A813)</f>
        <v/>
      </c>
      <c r="B813" s="18" t="str">
        <f>IF(Productos!B813="","",Productos!B813)</f>
        <v/>
      </c>
      <c r="C813" s="26" t="str">
        <f>IF(A813="","",Ventas!H813)</f>
        <v/>
      </c>
      <c r="D813" s="26" t="str">
        <f t="shared" si="36"/>
        <v/>
      </c>
      <c r="E813" s="26" t="str">
        <f t="shared" si="37"/>
        <v/>
      </c>
      <c r="F813" s="26" t="str">
        <f t="shared" si="38"/>
        <v/>
      </c>
    </row>
    <row r="814" spans="1:6" x14ac:dyDescent="0.2">
      <c r="A814" s="18" t="str">
        <f>IF(Productos!A814="","",Productos!A814)</f>
        <v/>
      </c>
      <c r="B814" s="18" t="str">
        <f>IF(Productos!B814="","",Productos!B814)</f>
        <v/>
      </c>
      <c r="C814" s="26" t="str">
        <f>IF(A814="","",Ventas!H814)</f>
        <v/>
      </c>
      <c r="D814" s="26" t="str">
        <f t="shared" si="36"/>
        <v/>
      </c>
      <c r="E814" s="26" t="str">
        <f t="shared" si="37"/>
        <v/>
      </c>
      <c r="F814" s="26" t="str">
        <f t="shared" si="38"/>
        <v/>
      </c>
    </row>
    <row r="815" spans="1:6" x14ac:dyDescent="0.2">
      <c r="A815" s="18" t="str">
        <f>IF(Productos!A815="","",Productos!A815)</f>
        <v/>
      </c>
      <c r="B815" s="18" t="str">
        <f>IF(Productos!B815="","",Productos!B815)</f>
        <v/>
      </c>
      <c r="C815" s="26" t="str">
        <f>IF(A815="","",Ventas!H815)</f>
        <v/>
      </c>
      <c r="D815" s="26" t="str">
        <f t="shared" si="36"/>
        <v/>
      </c>
      <c r="E815" s="26" t="str">
        <f t="shared" si="37"/>
        <v/>
      </c>
      <c r="F815" s="26" t="str">
        <f t="shared" si="38"/>
        <v/>
      </c>
    </row>
    <row r="816" spans="1:6" x14ac:dyDescent="0.2">
      <c r="A816" s="18" t="str">
        <f>IF(Productos!A816="","",Productos!A816)</f>
        <v/>
      </c>
      <c r="B816" s="18" t="str">
        <f>IF(Productos!B816="","",Productos!B816)</f>
        <v/>
      </c>
      <c r="C816" s="26" t="str">
        <f>IF(A816="","",Ventas!H816)</f>
        <v/>
      </c>
      <c r="D816" s="26" t="str">
        <f t="shared" si="36"/>
        <v/>
      </c>
      <c r="E816" s="26" t="str">
        <f t="shared" si="37"/>
        <v/>
      </c>
      <c r="F816" s="26" t="str">
        <f t="shared" si="38"/>
        <v/>
      </c>
    </row>
    <row r="817" spans="1:6" x14ac:dyDescent="0.2">
      <c r="A817" s="18" t="str">
        <f>IF(Productos!A817="","",Productos!A817)</f>
        <v/>
      </c>
      <c r="B817" s="18" t="str">
        <f>IF(Productos!B817="","",Productos!B817)</f>
        <v/>
      </c>
      <c r="C817" s="26" t="str">
        <f>IF(A817="","",Ventas!H817)</f>
        <v/>
      </c>
      <c r="D817" s="26" t="str">
        <f t="shared" si="36"/>
        <v/>
      </c>
      <c r="E817" s="26" t="str">
        <f t="shared" si="37"/>
        <v/>
      </c>
      <c r="F817" s="26" t="str">
        <f t="shared" si="38"/>
        <v/>
      </c>
    </row>
    <row r="818" spans="1:6" x14ac:dyDescent="0.2">
      <c r="A818" s="18" t="str">
        <f>IF(Productos!A818="","",Productos!A818)</f>
        <v/>
      </c>
      <c r="B818" s="18" t="str">
        <f>IF(Productos!B818="","",Productos!B818)</f>
        <v/>
      </c>
      <c r="C818" s="26" t="str">
        <f>IF(A818="","",Ventas!H818)</f>
        <v/>
      </c>
      <c r="D818" s="26" t="str">
        <f t="shared" si="36"/>
        <v/>
      </c>
      <c r="E818" s="26" t="str">
        <f t="shared" si="37"/>
        <v/>
      </c>
      <c r="F818" s="26" t="str">
        <f t="shared" si="38"/>
        <v/>
      </c>
    </row>
    <row r="819" spans="1:6" x14ac:dyDescent="0.2">
      <c r="A819" s="18" t="str">
        <f>IF(Productos!A819="","",Productos!A819)</f>
        <v/>
      </c>
      <c r="B819" s="18" t="str">
        <f>IF(Productos!B819="","",Productos!B819)</f>
        <v/>
      </c>
      <c r="C819" s="26" t="str">
        <f>IF(A819="","",Ventas!H819)</f>
        <v/>
      </c>
      <c r="D819" s="26" t="str">
        <f t="shared" si="36"/>
        <v/>
      </c>
      <c r="E819" s="26" t="str">
        <f t="shared" si="37"/>
        <v/>
      </c>
      <c r="F819" s="26" t="str">
        <f t="shared" si="38"/>
        <v/>
      </c>
    </row>
    <row r="820" spans="1:6" x14ac:dyDescent="0.2">
      <c r="A820" s="18" t="str">
        <f>IF(Productos!A820="","",Productos!A820)</f>
        <v/>
      </c>
      <c r="B820" s="18" t="str">
        <f>IF(Productos!B820="","",Productos!B820)</f>
        <v/>
      </c>
      <c r="C820" s="26" t="str">
        <f>IF(A820="","",Ventas!H820)</f>
        <v/>
      </c>
      <c r="D820" s="26" t="str">
        <f t="shared" si="36"/>
        <v/>
      </c>
      <c r="E820" s="26" t="str">
        <f t="shared" si="37"/>
        <v/>
      </c>
      <c r="F820" s="26" t="str">
        <f t="shared" si="38"/>
        <v/>
      </c>
    </row>
    <row r="821" spans="1:6" x14ac:dyDescent="0.2">
      <c r="A821" s="18" t="str">
        <f>IF(Productos!A821="","",Productos!A821)</f>
        <v/>
      </c>
      <c r="B821" s="18" t="str">
        <f>IF(Productos!B821="","",Productos!B821)</f>
        <v/>
      </c>
      <c r="C821" s="26" t="str">
        <f>IF(A821="","",Ventas!H821)</f>
        <v/>
      </c>
      <c r="D821" s="26" t="str">
        <f t="shared" si="36"/>
        <v/>
      </c>
      <c r="E821" s="26" t="str">
        <f t="shared" si="37"/>
        <v/>
      </c>
      <c r="F821" s="26" t="str">
        <f t="shared" si="38"/>
        <v/>
      </c>
    </row>
    <row r="822" spans="1:6" x14ac:dyDescent="0.2">
      <c r="A822" s="18" t="str">
        <f>IF(Productos!A822="","",Productos!A822)</f>
        <v/>
      </c>
      <c r="B822" s="18" t="str">
        <f>IF(Productos!B822="","",Productos!B822)</f>
        <v/>
      </c>
      <c r="C822" s="26" t="str">
        <f>IF(A822="","",Ventas!H822)</f>
        <v/>
      </c>
      <c r="D822" s="26" t="str">
        <f t="shared" si="36"/>
        <v/>
      </c>
      <c r="E822" s="26" t="str">
        <f t="shared" si="37"/>
        <v/>
      </c>
      <c r="F822" s="26" t="str">
        <f t="shared" si="38"/>
        <v/>
      </c>
    </row>
    <row r="823" spans="1:6" x14ac:dyDescent="0.2">
      <c r="A823" s="18" t="str">
        <f>IF(Productos!A823="","",Productos!A823)</f>
        <v/>
      </c>
      <c r="B823" s="18" t="str">
        <f>IF(Productos!B823="","",Productos!B823)</f>
        <v/>
      </c>
      <c r="C823" s="26" t="str">
        <f>IF(A823="","",Ventas!H823)</f>
        <v/>
      </c>
      <c r="D823" s="26" t="str">
        <f t="shared" si="36"/>
        <v/>
      </c>
      <c r="E823" s="26" t="str">
        <f t="shared" si="37"/>
        <v/>
      </c>
      <c r="F823" s="26" t="str">
        <f t="shared" si="38"/>
        <v/>
      </c>
    </row>
    <row r="824" spans="1:6" x14ac:dyDescent="0.2">
      <c r="A824" s="18" t="str">
        <f>IF(Productos!A824="","",Productos!A824)</f>
        <v/>
      </c>
      <c r="B824" s="18" t="str">
        <f>IF(Productos!B824="","",Productos!B824)</f>
        <v/>
      </c>
      <c r="C824" s="26" t="str">
        <f>IF(A824="","",Ventas!H824)</f>
        <v/>
      </c>
      <c r="D824" s="26" t="str">
        <f t="shared" si="36"/>
        <v/>
      </c>
      <c r="E824" s="26" t="str">
        <f t="shared" si="37"/>
        <v/>
      </c>
      <c r="F824" s="26" t="str">
        <f t="shared" si="38"/>
        <v/>
      </c>
    </row>
    <row r="825" spans="1:6" x14ac:dyDescent="0.2">
      <c r="A825" s="18" t="str">
        <f>IF(Productos!A825="","",Productos!A825)</f>
        <v/>
      </c>
      <c r="B825" s="18" t="str">
        <f>IF(Productos!B825="","",Productos!B825)</f>
        <v/>
      </c>
      <c r="C825" s="26" t="str">
        <f>IF(A825="","",Ventas!H825)</f>
        <v/>
      </c>
      <c r="D825" s="26" t="str">
        <f t="shared" si="36"/>
        <v/>
      </c>
      <c r="E825" s="26" t="str">
        <f t="shared" si="37"/>
        <v/>
      </c>
      <c r="F825" s="26" t="str">
        <f t="shared" si="38"/>
        <v/>
      </c>
    </row>
    <row r="826" spans="1:6" x14ac:dyDescent="0.2">
      <c r="A826" s="18" t="str">
        <f>IF(Productos!A826="","",Productos!A826)</f>
        <v/>
      </c>
      <c r="B826" s="18" t="str">
        <f>IF(Productos!B826="","",Productos!B826)</f>
        <v/>
      </c>
      <c r="C826" s="26" t="str">
        <f>IF(A826="","",Ventas!H826)</f>
        <v/>
      </c>
      <c r="D826" s="26" t="str">
        <f t="shared" si="36"/>
        <v/>
      </c>
      <c r="E826" s="26" t="str">
        <f t="shared" si="37"/>
        <v/>
      </c>
      <c r="F826" s="26" t="str">
        <f t="shared" si="38"/>
        <v/>
      </c>
    </row>
    <row r="827" spans="1:6" x14ac:dyDescent="0.2">
      <c r="A827" s="18" t="str">
        <f>IF(Productos!A827="","",Productos!A827)</f>
        <v/>
      </c>
      <c r="B827" s="18" t="str">
        <f>IF(Productos!B827="","",Productos!B827)</f>
        <v/>
      </c>
      <c r="C827" s="26" t="str">
        <f>IF(A827="","",Ventas!H827)</f>
        <v/>
      </c>
      <c r="D827" s="26" t="str">
        <f t="shared" si="36"/>
        <v/>
      </c>
      <c r="E827" s="26" t="str">
        <f t="shared" si="37"/>
        <v/>
      </c>
      <c r="F827" s="26" t="str">
        <f t="shared" si="38"/>
        <v/>
      </c>
    </row>
    <row r="828" spans="1:6" x14ac:dyDescent="0.2">
      <c r="A828" s="18" t="str">
        <f>IF(Productos!A828="","",Productos!A828)</f>
        <v/>
      </c>
      <c r="B828" s="18" t="str">
        <f>IF(Productos!B828="","",Productos!B828)</f>
        <v/>
      </c>
      <c r="C828" s="26" t="str">
        <f>IF(A828="","",Ventas!H828)</f>
        <v/>
      </c>
      <c r="D828" s="26" t="str">
        <f t="shared" si="36"/>
        <v/>
      </c>
      <c r="E828" s="26" t="str">
        <f t="shared" si="37"/>
        <v/>
      </c>
      <c r="F828" s="26" t="str">
        <f t="shared" si="38"/>
        <v/>
      </c>
    </row>
    <row r="829" spans="1:6" x14ac:dyDescent="0.2">
      <c r="A829" s="18" t="str">
        <f>IF(Productos!A829="","",Productos!A829)</f>
        <v/>
      </c>
      <c r="B829" s="18" t="str">
        <f>IF(Productos!B829="","",Productos!B829)</f>
        <v/>
      </c>
      <c r="C829" s="26" t="str">
        <f>IF(A829="","",Ventas!H829)</f>
        <v/>
      </c>
      <c r="D829" s="26" t="str">
        <f t="shared" si="36"/>
        <v/>
      </c>
      <c r="E829" s="26" t="str">
        <f t="shared" si="37"/>
        <v/>
      </c>
      <c r="F829" s="26" t="str">
        <f t="shared" si="38"/>
        <v/>
      </c>
    </row>
    <row r="830" spans="1:6" x14ac:dyDescent="0.2">
      <c r="A830" s="18" t="str">
        <f>IF(Productos!A830="","",Productos!A830)</f>
        <v/>
      </c>
      <c r="B830" s="18" t="str">
        <f>IF(Productos!B830="","",Productos!B830)</f>
        <v/>
      </c>
      <c r="C830" s="26" t="str">
        <f>IF(A830="","",Ventas!H830)</f>
        <v/>
      </c>
      <c r="D830" s="26" t="str">
        <f t="shared" si="36"/>
        <v/>
      </c>
      <c r="E830" s="26" t="str">
        <f t="shared" si="37"/>
        <v/>
      </c>
      <c r="F830" s="26" t="str">
        <f t="shared" si="38"/>
        <v/>
      </c>
    </row>
    <row r="831" spans="1:6" x14ac:dyDescent="0.2">
      <c r="A831" s="18" t="str">
        <f>IF(Productos!A831="","",Productos!A831)</f>
        <v/>
      </c>
      <c r="B831" s="18" t="str">
        <f>IF(Productos!B831="","",Productos!B831)</f>
        <v/>
      </c>
      <c r="C831" s="26" t="str">
        <f>IF(A831="","",Ventas!H831)</f>
        <v/>
      </c>
      <c r="D831" s="26" t="str">
        <f t="shared" si="36"/>
        <v/>
      </c>
      <c r="E831" s="26" t="str">
        <f t="shared" si="37"/>
        <v/>
      </c>
      <c r="F831" s="26" t="str">
        <f t="shared" si="38"/>
        <v/>
      </c>
    </row>
    <row r="832" spans="1:6" x14ac:dyDescent="0.2">
      <c r="A832" s="18" t="str">
        <f>IF(Productos!A832="","",Productos!A832)</f>
        <v/>
      </c>
      <c r="B832" s="18" t="str">
        <f>IF(Productos!B832="","",Productos!B832)</f>
        <v/>
      </c>
      <c r="C832" s="26" t="str">
        <f>IF(A832="","",Ventas!H832)</f>
        <v/>
      </c>
      <c r="D832" s="26" t="str">
        <f t="shared" si="36"/>
        <v/>
      </c>
      <c r="E832" s="26" t="str">
        <f t="shared" si="37"/>
        <v/>
      </c>
      <c r="F832" s="26" t="str">
        <f t="shared" si="38"/>
        <v/>
      </c>
    </row>
    <row r="833" spans="1:6" x14ac:dyDescent="0.2">
      <c r="A833" s="18" t="str">
        <f>IF(Productos!A833="","",Productos!A833)</f>
        <v/>
      </c>
      <c r="B833" s="18" t="str">
        <f>IF(Productos!B833="","",Productos!B833)</f>
        <v/>
      </c>
      <c r="C833" s="26" t="str">
        <f>IF(A833="","",Ventas!H833)</f>
        <v/>
      </c>
      <c r="D833" s="26" t="str">
        <f t="shared" si="36"/>
        <v/>
      </c>
      <c r="E833" s="26" t="str">
        <f t="shared" si="37"/>
        <v/>
      </c>
      <c r="F833" s="26" t="str">
        <f t="shared" si="38"/>
        <v/>
      </c>
    </row>
    <row r="834" spans="1:6" x14ac:dyDescent="0.2">
      <c r="A834" s="18" t="str">
        <f>IF(Productos!A834="","",Productos!A834)</f>
        <v/>
      </c>
      <c r="B834" s="18" t="str">
        <f>IF(Productos!B834="","",Productos!B834)</f>
        <v/>
      </c>
      <c r="C834" s="26" t="str">
        <f>IF(A834="","",Ventas!H834)</f>
        <v/>
      </c>
      <c r="D834" s="26" t="str">
        <f t="shared" si="36"/>
        <v/>
      </c>
      <c r="E834" s="26" t="str">
        <f t="shared" si="37"/>
        <v/>
      </c>
      <c r="F834" s="26" t="str">
        <f t="shared" si="38"/>
        <v/>
      </c>
    </row>
    <row r="835" spans="1:6" x14ac:dyDescent="0.2">
      <c r="A835" s="18" t="str">
        <f>IF(Productos!A835="","",Productos!A835)</f>
        <v/>
      </c>
      <c r="B835" s="18" t="str">
        <f>IF(Productos!B835="","",Productos!B835)</f>
        <v/>
      </c>
      <c r="C835" s="26" t="str">
        <f>IF(A835="","",Ventas!H835)</f>
        <v/>
      </c>
      <c r="D835" s="26" t="str">
        <f t="shared" ref="D835:D898" si="39">IF(A835="","",ROUND(C835/3,2))</f>
        <v/>
      </c>
      <c r="E835" s="26" t="str">
        <f t="shared" ref="E835:E898" si="40">IF(A835="","",ROUND(C835/3,2))</f>
        <v/>
      </c>
      <c r="F835" s="26" t="str">
        <f t="shared" ref="F835:F898" si="41">IF(A835="","",C835-D835-E835)</f>
        <v/>
      </c>
    </row>
    <row r="836" spans="1:6" x14ac:dyDescent="0.2">
      <c r="A836" s="18" t="str">
        <f>IF(Productos!A836="","",Productos!A836)</f>
        <v/>
      </c>
      <c r="B836" s="18" t="str">
        <f>IF(Productos!B836="","",Productos!B836)</f>
        <v/>
      </c>
      <c r="C836" s="26" t="str">
        <f>IF(A836="","",Ventas!H836)</f>
        <v/>
      </c>
      <c r="D836" s="26" t="str">
        <f t="shared" si="39"/>
        <v/>
      </c>
      <c r="E836" s="26" t="str">
        <f t="shared" si="40"/>
        <v/>
      </c>
      <c r="F836" s="26" t="str">
        <f t="shared" si="41"/>
        <v/>
      </c>
    </row>
    <row r="837" spans="1:6" x14ac:dyDescent="0.2">
      <c r="A837" s="18" t="str">
        <f>IF(Productos!A837="","",Productos!A837)</f>
        <v/>
      </c>
      <c r="B837" s="18" t="str">
        <f>IF(Productos!B837="","",Productos!B837)</f>
        <v/>
      </c>
      <c r="C837" s="26" t="str">
        <f>IF(A837="","",Ventas!H837)</f>
        <v/>
      </c>
      <c r="D837" s="26" t="str">
        <f t="shared" si="39"/>
        <v/>
      </c>
      <c r="E837" s="26" t="str">
        <f t="shared" si="40"/>
        <v/>
      </c>
      <c r="F837" s="26" t="str">
        <f t="shared" si="41"/>
        <v/>
      </c>
    </row>
    <row r="838" spans="1:6" x14ac:dyDescent="0.2">
      <c r="A838" s="18" t="str">
        <f>IF(Productos!A838="","",Productos!A838)</f>
        <v/>
      </c>
      <c r="B838" s="18" t="str">
        <f>IF(Productos!B838="","",Productos!B838)</f>
        <v/>
      </c>
      <c r="C838" s="26" t="str">
        <f>IF(A838="","",Ventas!H838)</f>
        <v/>
      </c>
      <c r="D838" s="26" t="str">
        <f t="shared" si="39"/>
        <v/>
      </c>
      <c r="E838" s="26" t="str">
        <f t="shared" si="40"/>
        <v/>
      </c>
      <c r="F838" s="26" t="str">
        <f t="shared" si="41"/>
        <v/>
      </c>
    </row>
    <row r="839" spans="1:6" x14ac:dyDescent="0.2">
      <c r="A839" s="18" t="str">
        <f>IF(Productos!A839="","",Productos!A839)</f>
        <v/>
      </c>
      <c r="B839" s="18" t="str">
        <f>IF(Productos!B839="","",Productos!B839)</f>
        <v/>
      </c>
      <c r="C839" s="26" t="str">
        <f>IF(A839="","",Ventas!H839)</f>
        <v/>
      </c>
      <c r="D839" s="26" t="str">
        <f t="shared" si="39"/>
        <v/>
      </c>
      <c r="E839" s="26" t="str">
        <f t="shared" si="40"/>
        <v/>
      </c>
      <c r="F839" s="26" t="str">
        <f t="shared" si="41"/>
        <v/>
      </c>
    </row>
    <row r="840" spans="1:6" x14ac:dyDescent="0.2">
      <c r="A840" s="18" t="str">
        <f>IF(Productos!A840="","",Productos!A840)</f>
        <v/>
      </c>
      <c r="B840" s="18" t="str">
        <f>IF(Productos!B840="","",Productos!B840)</f>
        <v/>
      </c>
      <c r="C840" s="26" t="str">
        <f>IF(A840="","",Ventas!H840)</f>
        <v/>
      </c>
      <c r="D840" s="26" t="str">
        <f t="shared" si="39"/>
        <v/>
      </c>
      <c r="E840" s="26" t="str">
        <f t="shared" si="40"/>
        <v/>
      </c>
      <c r="F840" s="26" t="str">
        <f t="shared" si="41"/>
        <v/>
      </c>
    </row>
    <row r="841" spans="1:6" x14ac:dyDescent="0.2">
      <c r="A841" s="18" t="str">
        <f>IF(Productos!A841="","",Productos!A841)</f>
        <v/>
      </c>
      <c r="B841" s="18" t="str">
        <f>IF(Productos!B841="","",Productos!B841)</f>
        <v/>
      </c>
      <c r="C841" s="26" t="str">
        <f>IF(A841="","",Ventas!H841)</f>
        <v/>
      </c>
      <c r="D841" s="26" t="str">
        <f t="shared" si="39"/>
        <v/>
      </c>
      <c r="E841" s="26" t="str">
        <f t="shared" si="40"/>
        <v/>
      </c>
      <c r="F841" s="26" t="str">
        <f t="shared" si="41"/>
        <v/>
      </c>
    </row>
    <row r="842" spans="1:6" x14ac:dyDescent="0.2">
      <c r="A842" s="18" t="str">
        <f>IF(Productos!A842="","",Productos!A842)</f>
        <v/>
      </c>
      <c r="B842" s="18" t="str">
        <f>IF(Productos!B842="","",Productos!B842)</f>
        <v/>
      </c>
      <c r="C842" s="26" t="str">
        <f>IF(A842="","",Ventas!H842)</f>
        <v/>
      </c>
      <c r="D842" s="26" t="str">
        <f t="shared" si="39"/>
        <v/>
      </c>
      <c r="E842" s="26" t="str">
        <f t="shared" si="40"/>
        <v/>
      </c>
      <c r="F842" s="26" t="str">
        <f t="shared" si="41"/>
        <v/>
      </c>
    </row>
    <row r="843" spans="1:6" x14ac:dyDescent="0.2">
      <c r="A843" s="18" t="str">
        <f>IF(Productos!A843="","",Productos!A843)</f>
        <v/>
      </c>
      <c r="B843" s="18" t="str">
        <f>IF(Productos!B843="","",Productos!B843)</f>
        <v/>
      </c>
      <c r="C843" s="26" t="str">
        <f>IF(A843="","",Ventas!H843)</f>
        <v/>
      </c>
      <c r="D843" s="26" t="str">
        <f t="shared" si="39"/>
        <v/>
      </c>
      <c r="E843" s="26" t="str">
        <f t="shared" si="40"/>
        <v/>
      </c>
      <c r="F843" s="26" t="str">
        <f t="shared" si="41"/>
        <v/>
      </c>
    </row>
    <row r="844" spans="1:6" x14ac:dyDescent="0.2">
      <c r="A844" s="18" t="str">
        <f>IF(Productos!A844="","",Productos!A844)</f>
        <v/>
      </c>
      <c r="B844" s="18" t="str">
        <f>IF(Productos!B844="","",Productos!B844)</f>
        <v/>
      </c>
      <c r="C844" s="26" t="str">
        <f>IF(A844="","",Ventas!H844)</f>
        <v/>
      </c>
      <c r="D844" s="26" t="str">
        <f t="shared" si="39"/>
        <v/>
      </c>
      <c r="E844" s="26" t="str">
        <f t="shared" si="40"/>
        <v/>
      </c>
      <c r="F844" s="26" t="str">
        <f t="shared" si="41"/>
        <v/>
      </c>
    </row>
    <row r="845" spans="1:6" x14ac:dyDescent="0.2">
      <c r="A845" s="18" t="str">
        <f>IF(Productos!A845="","",Productos!A845)</f>
        <v/>
      </c>
      <c r="B845" s="18" t="str">
        <f>IF(Productos!B845="","",Productos!B845)</f>
        <v/>
      </c>
      <c r="C845" s="26" t="str">
        <f>IF(A845="","",Ventas!H845)</f>
        <v/>
      </c>
      <c r="D845" s="26" t="str">
        <f t="shared" si="39"/>
        <v/>
      </c>
      <c r="E845" s="26" t="str">
        <f t="shared" si="40"/>
        <v/>
      </c>
      <c r="F845" s="26" t="str">
        <f t="shared" si="41"/>
        <v/>
      </c>
    </row>
    <row r="846" spans="1:6" x14ac:dyDescent="0.2">
      <c r="A846" s="18" t="str">
        <f>IF(Productos!A846="","",Productos!A846)</f>
        <v/>
      </c>
      <c r="B846" s="18" t="str">
        <f>IF(Productos!B846="","",Productos!B846)</f>
        <v/>
      </c>
      <c r="C846" s="26" t="str">
        <f>IF(A846="","",Ventas!H846)</f>
        <v/>
      </c>
      <c r="D846" s="26" t="str">
        <f t="shared" si="39"/>
        <v/>
      </c>
      <c r="E846" s="26" t="str">
        <f t="shared" si="40"/>
        <v/>
      </c>
      <c r="F846" s="26" t="str">
        <f t="shared" si="41"/>
        <v/>
      </c>
    </row>
    <row r="847" spans="1:6" x14ac:dyDescent="0.2">
      <c r="A847" s="18" t="str">
        <f>IF(Productos!A847="","",Productos!A847)</f>
        <v/>
      </c>
      <c r="B847" s="18" t="str">
        <f>IF(Productos!B847="","",Productos!B847)</f>
        <v/>
      </c>
      <c r="C847" s="26" t="str">
        <f>IF(A847="","",Ventas!H847)</f>
        <v/>
      </c>
      <c r="D847" s="26" t="str">
        <f t="shared" si="39"/>
        <v/>
      </c>
      <c r="E847" s="26" t="str">
        <f t="shared" si="40"/>
        <v/>
      </c>
      <c r="F847" s="26" t="str">
        <f t="shared" si="41"/>
        <v/>
      </c>
    </row>
    <row r="848" spans="1:6" x14ac:dyDescent="0.2">
      <c r="A848" s="18" t="str">
        <f>IF(Productos!A848="","",Productos!A848)</f>
        <v/>
      </c>
      <c r="B848" s="18" t="str">
        <f>IF(Productos!B848="","",Productos!B848)</f>
        <v/>
      </c>
      <c r="C848" s="26" t="str">
        <f>IF(A848="","",Ventas!H848)</f>
        <v/>
      </c>
      <c r="D848" s="26" t="str">
        <f t="shared" si="39"/>
        <v/>
      </c>
      <c r="E848" s="26" t="str">
        <f t="shared" si="40"/>
        <v/>
      </c>
      <c r="F848" s="26" t="str">
        <f t="shared" si="41"/>
        <v/>
      </c>
    </row>
    <row r="849" spans="1:6" x14ac:dyDescent="0.2">
      <c r="A849" s="18" t="str">
        <f>IF(Productos!A849="","",Productos!A849)</f>
        <v/>
      </c>
      <c r="B849" s="18" t="str">
        <f>IF(Productos!B849="","",Productos!B849)</f>
        <v/>
      </c>
      <c r="C849" s="26" t="str">
        <f>IF(A849="","",Ventas!H849)</f>
        <v/>
      </c>
      <c r="D849" s="26" t="str">
        <f t="shared" si="39"/>
        <v/>
      </c>
      <c r="E849" s="26" t="str">
        <f t="shared" si="40"/>
        <v/>
      </c>
      <c r="F849" s="26" t="str">
        <f t="shared" si="41"/>
        <v/>
      </c>
    </row>
    <row r="850" spans="1:6" x14ac:dyDescent="0.2">
      <c r="A850" s="18" t="str">
        <f>IF(Productos!A850="","",Productos!A850)</f>
        <v/>
      </c>
      <c r="B850" s="18" t="str">
        <f>IF(Productos!B850="","",Productos!B850)</f>
        <v/>
      </c>
      <c r="C850" s="26" t="str">
        <f>IF(A850="","",Ventas!H850)</f>
        <v/>
      </c>
      <c r="D850" s="26" t="str">
        <f t="shared" si="39"/>
        <v/>
      </c>
      <c r="E850" s="26" t="str">
        <f t="shared" si="40"/>
        <v/>
      </c>
      <c r="F850" s="26" t="str">
        <f t="shared" si="41"/>
        <v/>
      </c>
    </row>
    <row r="851" spans="1:6" x14ac:dyDescent="0.2">
      <c r="A851" s="18" t="str">
        <f>IF(Productos!A851="","",Productos!A851)</f>
        <v/>
      </c>
      <c r="B851" s="18" t="str">
        <f>IF(Productos!B851="","",Productos!B851)</f>
        <v/>
      </c>
      <c r="C851" s="26" t="str">
        <f>IF(A851="","",Ventas!H851)</f>
        <v/>
      </c>
      <c r="D851" s="26" t="str">
        <f t="shared" si="39"/>
        <v/>
      </c>
      <c r="E851" s="26" t="str">
        <f t="shared" si="40"/>
        <v/>
      </c>
      <c r="F851" s="26" t="str">
        <f t="shared" si="41"/>
        <v/>
      </c>
    </row>
    <row r="852" spans="1:6" x14ac:dyDescent="0.2">
      <c r="A852" s="18" t="str">
        <f>IF(Productos!A852="","",Productos!A852)</f>
        <v/>
      </c>
      <c r="B852" s="18" t="str">
        <f>IF(Productos!B852="","",Productos!B852)</f>
        <v/>
      </c>
      <c r="C852" s="26" t="str">
        <f>IF(A852="","",Ventas!H852)</f>
        <v/>
      </c>
      <c r="D852" s="26" t="str">
        <f t="shared" si="39"/>
        <v/>
      </c>
      <c r="E852" s="26" t="str">
        <f t="shared" si="40"/>
        <v/>
      </c>
      <c r="F852" s="26" t="str">
        <f t="shared" si="41"/>
        <v/>
      </c>
    </row>
    <row r="853" spans="1:6" x14ac:dyDescent="0.2">
      <c r="A853" s="18" t="str">
        <f>IF(Productos!A853="","",Productos!A853)</f>
        <v/>
      </c>
      <c r="B853" s="18" t="str">
        <f>IF(Productos!B853="","",Productos!B853)</f>
        <v/>
      </c>
      <c r="C853" s="26" t="str">
        <f>IF(A853="","",Ventas!H853)</f>
        <v/>
      </c>
      <c r="D853" s="26" t="str">
        <f t="shared" si="39"/>
        <v/>
      </c>
      <c r="E853" s="26" t="str">
        <f t="shared" si="40"/>
        <v/>
      </c>
      <c r="F853" s="26" t="str">
        <f t="shared" si="41"/>
        <v/>
      </c>
    </row>
    <row r="854" spans="1:6" x14ac:dyDescent="0.2">
      <c r="A854" s="18" t="str">
        <f>IF(Productos!A854="","",Productos!A854)</f>
        <v/>
      </c>
      <c r="B854" s="18" t="str">
        <f>IF(Productos!B854="","",Productos!B854)</f>
        <v/>
      </c>
      <c r="C854" s="26" t="str">
        <f>IF(A854="","",Ventas!H854)</f>
        <v/>
      </c>
      <c r="D854" s="26" t="str">
        <f t="shared" si="39"/>
        <v/>
      </c>
      <c r="E854" s="26" t="str">
        <f t="shared" si="40"/>
        <v/>
      </c>
      <c r="F854" s="26" t="str">
        <f t="shared" si="41"/>
        <v/>
      </c>
    </row>
    <row r="855" spans="1:6" x14ac:dyDescent="0.2">
      <c r="A855" s="18" t="str">
        <f>IF(Productos!A855="","",Productos!A855)</f>
        <v/>
      </c>
      <c r="B855" s="18" t="str">
        <f>IF(Productos!B855="","",Productos!B855)</f>
        <v/>
      </c>
      <c r="C855" s="26" t="str">
        <f>IF(A855="","",Ventas!H855)</f>
        <v/>
      </c>
      <c r="D855" s="26" t="str">
        <f t="shared" si="39"/>
        <v/>
      </c>
      <c r="E855" s="26" t="str">
        <f t="shared" si="40"/>
        <v/>
      </c>
      <c r="F855" s="26" t="str">
        <f t="shared" si="41"/>
        <v/>
      </c>
    </row>
    <row r="856" spans="1:6" x14ac:dyDescent="0.2">
      <c r="A856" s="18" t="str">
        <f>IF(Productos!A856="","",Productos!A856)</f>
        <v/>
      </c>
      <c r="B856" s="18" t="str">
        <f>IF(Productos!B856="","",Productos!B856)</f>
        <v/>
      </c>
      <c r="C856" s="26" t="str">
        <f>IF(A856="","",Ventas!H856)</f>
        <v/>
      </c>
      <c r="D856" s="26" t="str">
        <f t="shared" si="39"/>
        <v/>
      </c>
      <c r="E856" s="26" t="str">
        <f t="shared" si="40"/>
        <v/>
      </c>
      <c r="F856" s="26" t="str">
        <f t="shared" si="41"/>
        <v/>
      </c>
    </row>
    <row r="857" spans="1:6" x14ac:dyDescent="0.2">
      <c r="A857" s="18" t="str">
        <f>IF(Productos!A857="","",Productos!A857)</f>
        <v/>
      </c>
      <c r="B857" s="18" t="str">
        <f>IF(Productos!B857="","",Productos!B857)</f>
        <v/>
      </c>
      <c r="C857" s="26" t="str">
        <f>IF(A857="","",Ventas!H857)</f>
        <v/>
      </c>
      <c r="D857" s="26" t="str">
        <f t="shared" si="39"/>
        <v/>
      </c>
      <c r="E857" s="26" t="str">
        <f t="shared" si="40"/>
        <v/>
      </c>
      <c r="F857" s="26" t="str">
        <f t="shared" si="41"/>
        <v/>
      </c>
    </row>
    <row r="858" spans="1:6" x14ac:dyDescent="0.2">
      <c r="A858" s="18" t="str">
        <f>IF(Productos!A858="","",Productos!A858)</f>
        <v/>
      </c>
      <c r="B858" s="18" t="str">
        <f>IF(Productos!B858="","",Productos!B858)</f>
        <v/>
      </c>
      <c r="C858" s="26" t="str">
        <f>IF(A858="","",Ventas!H858)</f>
        <v/>
      </c>
      <c r="D858" s="26" t="str">
        <f t="shared" si="39"/>
        <v/>
      </c>
      <c r="E858" s="26" t="str">
        <f t="shared" si="40"/>
        <v/>
      </c>
      <c r="F858" s="26" t="str">
        <f t="shared" si="41"/>
        <v/>
      </c>
    </row>
    <row r="859" spans="1:6" x14ac:dyDescent="0.2">
      <c r="A859" s="18" t="str">
        <f>IF(Productos!A859="","",Productos!A859)</f>
        <v/>
      </c>
      <c r="B859" s="18" t="str">
        <f>IF(Productos!B859="","",Productos!B859)</f>
        <v/>
      </c>
      <c r="C859" s="26" t="str">
        <f>IF(A859="","",Ventas!H859)</f>
        <v/>
      </c>
      <c r="D859" s="26" t="str">
        <f t="shared" si="39"/>
        <v/>
      </c>
      <c r="E859" s="26" t="str">
        <f t="shared" si="40"/>
        <v/>
      </c>
      <c r="F859" s="26" t="str">
        <f t="shared" si="41"/>
        <v/>
      </c>
    </row>
    <row r="860" spans="1:6" x14ac:dyDescent="0.2">
      <c r="A860" s="18" t="str">
        <f>IF(Productos!A860="","",Productos!A860)</f>
        <v/>
      </c>
      <c r="B860" s="18" t="str">
        <f>IF(Productos!B860="","",Productos!B860)</f>
        <v/>
      </c>
      <c r="C860" s="26" t="str">
        <f>IF(A860="","",Ventas!H860)</f>
        <v/>
      </c>
      <c r="D860" s="26" t="str">
        <f t="shared" si="39"/>
        <v/>
      </c>
      <c r="E860" s="26" t="str">
        <f t="shared" si="40"/>
        <v/>
      </c>
      <c r="F860" s="26" t="str">
        <f t="shared" si="41"/>
        <v/>
      </c>
    </row>
    <row r="861" spans="1:6" x14ac:dyDescent="0.2">
      <c r="A861" s="18" t="str">
        <f>IF(Productos!A861="","",Productos!A861)</f>
        <v/>
      </c>
      <c r="B861" s="18" t="str">
        <f>IF(Productos!B861="","",Productos!B861)</f>
        <v/>
      </c>
      <c r="C861" s="26" t="str">
        <f>IF(A861="","",Ventas!H861)</f>
        <v/>
      </c>
      <c r="D861" s="26" t="str">
        <f t="shared" si="39"/>
        <v/>
      </c>
      <c r="E861" s="26" t="str">
        <f t="shared" si="40"/>
        <v/>
      </c>
      <c r="F861" s="26" t="str">
        <f t="shared" si="41"/>
        <v/>
      </c>
    </row>
    <row r="862" spans="1:6" x14ac:dyDescent="0.2">
      <c r="A862" s="18" t="str">
        <f>IF(Productos!A862="","",Productos!A862)</f>
        <v/>
      </c>
      <c r="B862" s="18" t="str">
        <f>IF(Productos!B862="","",Productos!B862)</f>
        <v/>
      </c>
      <c r="C862" s="26" t="str">
        <f>IF(A862="","",Ventas!H862)</f>
        <v/>
      </c>
      <c r="D862" s="26" t="str">
        <f t="shared" si="39"/>
        <v/>
      </c>
      <c r="E862" s="26" t="str">
        <f t="shared" si="40"/>
        <v/>
      </c>
      <c r="F862" s="26" t="str">
        <f t="shared" si="41"/>
        <v/>
      </c>
    </row>
    <row r="863" spans="1:6" x14ac:dyDescent="0.2">
      <c r="A863" s="18" t="str">
        <f>IF(Productos!A863="","",Productos!A863)</f>
        <v/>
      </c>
      <c r="B863" s="18" t="str">
        <f>IF(Productos!B863="","",Productos!B863)</f>
        <v/>
      </c>
      <c r="C863" s="26" t="str">
        <f>IF(A863="","",Ventas!H863)</f>
        <v/>
      </c>
      <c r="D863" s="26" t="str">
        <f t="shared" si="39"/>
        <v/>
      </c>
      <c r="E863" s="26" t="str">
        <f t="shared" si="40"/>
        <v/>
      </c>
      <c r="F863" s="26" t="str">
        <f t="shared" si="41"/>
        <v/>
      </c>
    </row>
    <row r="864" spans="1:6" x14ac:dyDescent="0.2">
      <c r="A864" s="18" t="str">
        <f>IF(Productos!A864="","",Productos!A864)</f>
        <v/>
      </c>
      <c r="B864" s="18" t="str">
        <f>IF(Productos!B864="","",Productos!B864)</f>
        <v/>
      </c>
      <c r="C864" s="26" t="str">
        <f>IF(A864="","",Ventas!H864)</f>
        <v/>
      </c>
      <c r="D864" s="26" t="str">
        <f t="shared" si="39"/>
        <v/>
      </c>
      <c r="E864" s="26" t="str">
        <f t="shared" si="40"/>
        <v/>
      </c>
      <c r="F864" s="26" t="str">
        <f t="shared" si="41"/>
        <v/>
      </c>
    </row>
    <row r="865" spans="1:6" x14ac:dyDescent="0.2">
      <c r="A865" s="18" t="str">
        <f>IF(Productos!A865="","",Productos!A865)</f>
        <v/>
      </c>
      <c r="B865" s="18" t="str">
        <f>IF(Productos!B865="","",Productos!B865)</f>
        <v/>
      </c>
      <c r="C865" s="26" t="str">
        <f>IF(A865="","",Ventas!H865)</f>
        <v/>
      </c>
      <c r="D865" s="26" t="str">
        <f t="shared" si="39"/>
        <v/>
      </c>
      <c r="E865" s="26" t="str">
        <f t="shared" si="40"/>
        <v/>
      </c>
      <c r="F865" s="26" t="str">
        <f t="shared" si="41"/>
        <v/>
      </c>
    </row>
    <row r="866" spans="1:6" x14ac:dyDescent="0.2">
      <c r="A866" s="18" t="str">
        <f>IF(Productos!A866="","",Productos!A866)</f>
        <v/>
      </c>
      <c r="B866" s="18" t="str">
        <f>IF(Productos!B866="","",Productos!B866)</f>
        <v/>
      </c>
      <c r="C866" s="26" t="str">
        <f>IF(A866="","",Ventas!H866)</f>
        <v/>
      </c>
      <c r="D866" s="26" t="str">
        <f t="shared" si="39"/>
        <v/>
      </c>
      <c r="E866" s="26" t="str">
        <f t="shared" si="40"/>
        <v/>
      </c>
      <c r="F866" s="26" t="str">
        <f t="shared" si="41"/>
        <v/>
      </c>
    </row>
    <row r="867" spans="1:6" x14ac:dyDescent="0.2">
      <c r="A867" s="18" t="str">
        <f>IF(Productos!A867="","",Productos!A867)</f>
        <v/>
      </c>
      <c r="B867" s="18" t="str">
        <f>IF(Productos!B867="","",Productos!B867)</f>
        <v/>
      </c>
      <c r="C867" s="26" t="str">
        <f>IF(A867="","",Ventas!H867)</f>
        <v/>
      </c>
      <c r="D867" s="26" t="str">
        <f t="shared" si="39"/>
        <v/>
      </c>
      <c r="E867" s="26" t="str">
        <f t="shared" si="40"/>
        <v/>
      </c>
      <c r="F867" s="26" t="str">
        <f t="shared" si="41"/>
        <v/>
      </c>
    </row>
    <row r="868" spans="1:6" x14ac:dyDescent="0.2">
      <c r="A868" s="18" t="str">
        <f>IF(Productos!A868="","",Productos!A868)</f>
        <v/>
      </c>
      <c r="B868" s="18" t="str">
        <f>IF(Productos!B868="","",Productos!B868)</f>
        <v/>
      </c>
      <c r="C868" s="26" t="str">
        <f>IF(A868="","",Ventas!H868)</f>
        <v/>
      </c>
      <c r="D868" s="26" t="str">
        <f t="shared" si="39"/>
        <v/>
      </c>
      <c r="E868" s="26" t="str">
        <f t="shared" si="40"/>
        <v/>
      </c>
      <c r="F868" s="26" t="str">
        <f t="shared" si="41"/>
        <v/>
      </c>
    </row>
    <row r="869" spans="1:6" x14ac:dyDescent="0.2">
      <c r="A869" s="18" t="str">
        <f>IF(Productos!A869="","",Productos!A869)</f>
        <v/>
      </c>
      <c r="B869" s="18" t="str">
        <f>IF(Productos!B869="","",Productos!B869)</f>
        <v/>
      </c>
      <c r="C869" s="26" t="str">
        <f>IF(A869="","",Ventas!H869)</f>
        <v/>
      </c>
      <c r="D869" s="26" t="str">
        <f t="shared" si="39"/>
        <v/>
      </c>
      <c r="E869" s="26" t="str">
        <f t="shared" si="40"/>
        <v/>
      </c>
      <c r="F869" s="26" t="str">
        <f t="shared" si="41"/>
        <v/>
      </c>
    </row>
    <row r="870" spans="1:6" x14ac:dyDescent="0.2">
      <c r="A870" s="18" t="str">
        <f>IF(Productos!A870="","",Productos!A870)</f>
        <v/>
      </c>
      <c r="B870" s="18" t="str">
        <f>IF(Productos!B870="","",Productos!B870)</f>
        <v/>
      </c>
      <c r="C870" s="26" t="str">
        <f>IF(A870="","",Ventas!H870)</f>
        <v/>
      </c>
      <c r="D870" s="26" t="str">
        <f t="shared" si="39"/>
        <v/>
      </c>
      <c r="E870" s="26" t="str">
        <f t="shared" si="40"/>
        <v/>
      </c>
      <c r="F870" s="26" t="str">
        <f t="shared" si="41"/>
        <v/>
      </c>
    </row>
    <row r="871" spans="1:6" x14ac:dyDescent="0.2">
      <c r="A871" s="18" t="str">
        <f>IF(Productos!A871="","",Productos!A871)</f>
        <v/>
      </c>
      <c r="B871" s="18" t="str">
        <f>IF(Productos!B871="","",Productos!B871)</f>
        <v/>
      </c>
      <c r="C871" s="26" t="str">
        <f>IF(A871="","",Ventas!H871)</f>
        <v/>
      </c>
      <c r="D871" s="26" t="str">
        <f t="shared" si="39"/>
        <v/>
      </c>
      <c r="E871" s="26" t="str">
        <f t="shared" si="40"/>
        <v/>
      </c>
      <c r="F871" s="26" t="str">
        <f t="shared" si="41"/>
        <v/>
      </c>
    </row>
    <row r="872" spans="1:6" x14ac:dyDescent="0.2">
      <c r="A872" s="18" t="str">
        <f>IF(Productos!A872="","",Productos!A872)</f>
        <v/>
      </c>
      <c r="B872" s="18" t="str">
        <f>IF(Productos!B872="","",Productos!B872)</f>
        <v/>
      </c>
      <c r="C872" s="26" t="str">
        <f>IF(A872="","",Ventas!H872)</f>
        <v/>
      </c>
      <c r="D872" s="26" t="str">
        <f t="shared" si="39"/>
        <v/>
      </c>
      <c r="E872" s="26" t="str">
        <f t="shared" si="40"/>
        <v/>
      </c>
      <c r="F872" s="26" t="str">
        <f t="shared" si="41"/>
        <v/>
      </c>
    </row>
    <row r="873" spans="1:6" x14ac:dyDescent="0.2">
      <c r="A873" s="18" t="str">
        <f>IF(Productos!A873="","",Productos!A873)</f>
        <v/>
      </c>
      <c r="B873" s="18" t="str">
        <f>IF(Productos!B873="","",Productos!B873)</f>
        <v/>
      </c>
      <c r="C873" s="26" t="str">
        <f>IF(A873="","",Ventas!H873)</f>
        <v/>
      </c>
      <c r="D873" s="26" t="str">
        <f t="shared" si="39"/>
        <v/>
      </c>
      <c r="E873" s="26" t="str">
        <f t="shared" si="40"/>
        <v/>
      </c>
      <c r="F873" s="26" t="str">
        <f t="shared" si="41"/>
        <v/>
      </c>
    </row>
    <row r="874" spans="1:6" x14ac:dyDescent="0.2">
      <c r="A874" s="18" t="str">
        <f>IF(Productos!A874="","",Productos!A874)</f>
        <v/>
      </c>
      <c r="B874" s="18" t="str">
        <f>IF(Productos!B874="","",Productos!B874)</f>
        <v/>
      </c>
      <c r="C874" s="26" t="str">
        <f>IF(A874="","",Ventas!H874)</f>
        <v/>
      </c>
      <c r="D874" s="26" t="str">
        <f t="shared" si="39"/>
        <v/>
      </c>
      <c r="E874" s="26" t="str">
        <f t="shared" si="40"/>
        <v/>
      </c>
      <c r="F874" s="26" t="str">
        <f t="shared" si="41"/>
        <v/>
      </c>
    </row>
    <row r="875" spans="1:6" x14ac:dyDescent="0.2">
      <c r="A875" s="18" t="str">
        <f>IF(Productos!A875="","",Productos!A875)</f>
        <v/>
      </c>
      <c r="B875" s="18" t="str">
        <f>IF(Productos!B875="","",Productos!B875)</f>
        <v/>
      </c>
      <c r="C875" s="26" t="str">
        <f>IF(A875="","",Ventas!H875)</f>
        <v/>
      </c>
      <c r="D875" s="26" t="str">
        <f t="shared" si="39"/>
        <v/>
      </c>
      <c r="E875" s="26" t="str">
        <f t="shared" si="40"/>
        <v/>
      </c>
      <c r="F875" s="26" t="str">
        <f t="shared" si="41"/>
        <v/>
      </c>
    </row>
    <row r="876" spans="1:6" x14ac:dyDescent="0.2">
      <c r="A876" s="18" t="str">
        <f>IF(Productos!A876="","",Productos!A876)</f>
        <v/>
      </c>
      <c r="B876" s="18" t="str">
        <f>IF(Productos!B876="","",Productos!B876)</f>
        <v/>
      </c>
      <c r="C876" s="26" t="str">
        <f>IF(A876="","",Ventas!H876)</f>
        <v/>
      </c>
      <c r="D876" s="26" t="str">
        <f t="shared" si="39"/>
        <v/>
      </c>
      <c r="E876" s="26" t="str">
        <f t="shared" si="40"/>
        <v/>
      </c>
      <c r="F876" s="26" t="str">
        <f t="shared" si="41"/>
        <v/>
      </c>
    </row>
    <row r="877" spans="1:6" x14ac:dyDescent="0.2">
      <c r="A877" s="18" t="str">
        <f>IF(Productos!A877="","",Productos!A877)</f>
        <v/>
      </c>
      <c r="B877" s="18" t="str">
        <f>IF(Productos!B877="","",Productos!B877)</f>
        <v/>
      </c>
      <c r="C877" s="26" t="str">
        <f>IF(A877="","",Ventas!H877)</f>
        <v/>
      </c>
      <c r="D877" s="26" t="str">
        <f t="shared" si="39"/>
        <v/>
      </c>
      <c r="E877" s="26" t="str">
        <f t="shared" si="40"/>
        <v/>
      </c>
      <c r="F877" s="26" t="str">
        <f t="shared" si="41"/>
        <v/>
      </c>
    </row>
    <row r="878" spans="1:6" x14ac:dyDescent="0.2">
      <c r="A878" s="18" t="str">
        <f>IF(Productos!A878="","",Productos!A878)</f>
        <v/>
      </c>
      <c r="B878" s="18" t="str">
        <f>IF(Productos!B878="","",Productos!B878)</f>
        <v/>
      </c>
      <c r="C878" s="26" t="str">
        <f>IF(A878="","",Ventas!H878)</f>
        <v/>
      </c>
      <c r="D878" s="26" t="str">
        <f t="shared" si="39"/>
        <v/>
      </c>
      <c r="E878" s="26" t="str">
        <f t="shared" si="40"/>
        <v/>
      </c>
      <c r="F878" s="26" t="str">
        <f t="shared" si="41"/>
        <v/>
      </c>
    </row>
    <row r="879" spans="1:6" x14ac:dyDescent="0.2">
      <c r="A879" s="18" t="str">
        <f>IF(Productos!A879="","",Productos!A879)</f>
        <v/>
      </c>
      <c r="B879" s="18" t="str">
        <f>IF(Productos!B879="","",Productos!B879)</f>
        <v/>
      </c>
      <c r="C879" s="26" t="str">
        <f>IF(A879="","",Ventas!H879)</f>
        <v/>
      </c>
      <c r="D879" s="26" t="str">
        <f t="shared" si="39"/>
        <v/>
      </c>
      <c r="E879" s="26" t="str">
        <f t="shared" si="40"/>
        <v/>
      </c>
      <c r="F879" s="26" t="str">
        <f t="shared" si="41"/>
        <v/>
      </c>
    </row>
    <row r="880" spans="1:6" x14ac:dyDescent="0.2">
      <c r="A880" s="18" t="str">
        <f>IF(Productos!A880="","",Productos!A880)</f>
        <v/>
      </c>
      <c r="B880" s="18" t="str">
        <f>IF(Productos!B880="","",Productos!B880)</f>
        <v/>
      </c>
      <c r="C880" s="26" t="str">
        <f>IF(A880="","",Ventas!H880)</f>
        <v/>
      </c>
      <c r="D880" s="26" t="str">
        <f t="shared" si="39"/>
        <v/>
      </c>
      <c r="E880" s="26" t="str">
        <f t="shared" si="40"/>
        <v/>
      </c>
      <c r="F880" s="26" t="str">
        <f t="shared" si="41"/>
        <v/>
      </c>
    </row>
    <row r="881" spans="1:6" x14ac:dyDescent="0.2">
      <c r="A881" s="18" t="str">
        <f>IF(Productos!A881="","",Productos!A881)</f>
        <v/>
      </c>
      <c r="B881" s="18" t="str">
        <f>IF(Productos!B881="","",Productos!B881)</f>
        <v/>
      </c>
      <c r="C881" s="26" t="str">
        <f>IF(A881="","",Ventas!H881)</f>
        <v/>
      </c>
      <c r="D881" s="26" t="str">
        <f t="shared" si="39"/>
        <v/>
      </c>
      <c r="E881" s="26" t="str">
        <f t="shared" si="40"/>
        <v/>
      </c>
      <c r="F881" s="26" t="str">
        <f t="shared" si="41"/>
        <v/>
      </c>
    </row>
    <row r="882" spans="1:6" x14ac:dyDescent="0.2">
      <c r="A882" s="18" t="str">
        <f>IF(Productos!A882="","",Productos!A882)</f>
        <v/>
      </c>
      <c r="B882" s="18" t="str">
        <f>IF(Productos!B882="","",Productos!B882)</f>
        <v/>
      </c>
      <c r="C882" s="26" t="str">
        <f>IF(A882="","",Ventas!H882)</f>
        <v/>
      </c>
      <c r="D882" s="26" t="str">
        <f t="shared" si="39"/>
        <v/>
      </c>
      <c r="E882" s="26" t="str">
        <f t="shared" si="40"/>
        <v/>
      </c>
      <c r="F882" s="26" t="str">
        <f t="shared" si="41"/>
        <v/>
      </c>
    </row>
    <row r="883" spans="1:6" x14ac:dyDescent="0.2">
      <c r="A883" s="18" t="str">
        <f>IF(Productos!A883="","",Productos!A883)</f>
        <v/>
      </c>
      <c r="B883" s="18" t="str">
        <f>IF(Productos!B883="","",Productos!B883)</f>
        <v/>
      </c>
      <c r="C883" s="26" t="str">
        <f>IF(A883="","",Ventas!H883)</f>
        <v/>
      </c>
      <c r="D883" s="26" t="str">
        <f t="shared" si="39"/>
        <v/>
      </c>
      <c r="E883" s="26" t="str">
        <f t="shared" si="40"/>
        <v/>
      </c>
      <c r="F883" s="26" t="str">
        <f t="shared" si="41"/>
        <v/>
      </c>
    </row>
    <row r="884" spans="1:6" x14ac:dyDescent="0.2">
      <c r="A884" s="18" t="str">
        <f>IF(Productos!A884="","",Productos!A884)</f>
        <v/>
      </c>
      <c r="B884" s="18" t="str">
        <f>IF(Productos!B884="","",Productos!B884)</f>
        <v/>
      </c>
      <c r="C884" s="26" t="str">
        <f>IF(A884="","",Ventas!H884)</f>
        <v/>
      </c>
      <c r="D884" s="26" t="str">
        <f t="shared" si="39"/>
        <v/>
      </c>
      <c r="E884" s="26" t="str">
        <f t="shared" si="40"/>
        <v/>
      </c>
      <c r="F884" s="26" t="str">
        <f t="shared" si="41"/>
        <v/>
      </c>
    </row>
    <row r="885" spans="1:6" x14ac:dyDescent="0.2">
      <c r="A885" s="18" t="str">
        <f>IF(Productos!A885="","",Productos!A885)</f>
        <v/>
      </c>
      <c r="B885" s="18" t="str">
        <f>IF(Productos!B885="","",Productos!B885)</f>
        <v/>
      </c>
      <c r="C885" s="26" t="str">
        <f>IF(A885="","",Ventas!H885)</f>
        <v/>
      </c>
      <c r="D885" s="26" t="str">
        <f t="shared" si="39"/>
        <v/>
      </c>
      <c r="E885" s="26" t="str">
        <f t="shared" si="40"/>
        <v/>
      </c>
      <c r="F885" s="26" t="str">
        <f t="shared" si="41"/>
        <v/>
      </c>
    </row>
    <row r="886" spans="1:6" x14ac:dyDescent="0.2">
      <c r="A886" s="18" t="str">
        <f>IF(Productos!A886="","",Productos!A886)</f>
        <v/>
      </c>
      <c r="B886" s="18" t="str">
        <f>IF(Productos!B886="","",Productos!B886)</f>
        <v/>
      </c>
      <c r="C886" s="26" t="str">
        <f>IF(A886="","",Ventas!H886)</f>
        <v/>
      </c>
      <c r="D886" s="26" t="str">
        <f t="shared" si="39"/>
        <v/>
      </c>
      <c r="E886" s="26" t="str">
        <f t="shared" si="40"/>
        <v/>
      </c>
      <c r="F886" s="26" t="str">
        <f t="shared" si="41"/>
        <v/>
      </c>
    </row>
    <row r="887" spans="1:6" x14ac:dyDescent="0.2">
      <c r="A887" s="18" t="str">
        <f>IF(Productos!A887="","",Productos!A887)</f>
        <v/>
      </c>
      <c r="B887" s="18" t="str">
        <f>IF(Productos!B887="","",Productos!B887)</f>
        <v/>
      </c>
      <c r="C887" s="26" t="str">
        <f>IF(A887="","",Ventas!H887)</f>
        <v/>
      </c>
      <c r="D887" s="26" t="str">
        <f t="shared" si="39"/>
        <v/>
      </c>
      <c r="E887" s="26" t="str">
        <f t="shared" si="40"/>
        <v/>
      </c>
      <c r="F887" s="26" t="str">
        <f t="shared" si="41"/>
        <v/>
      </c>
    </row>
    <row r="888" spans="1:6" x14ac:dyDescent="0.2">
      <c r="A888" s="18" t="str">
        <f>IF(Productos!A888="","",Productos!A888)</f>
        <v/>
      </c>
      <c r="B888" s="18" t="str">
        <f>IF(Productos!B888="","",Productos!B888)</f>
        <v/>
      </c>
      <c r="C888" s="26" t="str">
        <f>IF(A888="","",Ventas!H888)</f>
        <v/>
      </c>
      <c r="D888" s="26" t="str">
        <f t="shared" si="39"/>
        <v/>
      </c>
      <c r="E888" s="26" t="str">
        <f t="shared" si="40"/>
        <v/>
      </c>
      <c r="F888" s="26" t="str">
        <f t="shared" si="41"/>
        <v/>
      </c>
    </row>
    <row r="889" spans="1:6" x14ac:dyDescent="0.2">
      <c r="A889" s="18" t="str">
        <f>IF(Productos!A889="","",Productos!A889)</f>
        <v/>
      </c>
      <c r="B889" s="18" t="str">
        <f>IF(Productos!B889="","",Productos!B889)</f>
        <v/>
      </c>
      <c r="C889" s="26" t="str">
        <f>IF(A889="","",Ventas!H889)</f>
        <v/>
      </c>
      <c r="D889" s="26" t="str">
        <f t="shared" si="39"/>
        <v/>
      </c>
      <c r="E889" s="26" t="str">
        <f t="shared" si="40"/>
        <v/>
      </c>
      <c r="F889" s="26" t="str">
        <f t="shared" si="41"/>
        <v/>
      </c>
    </row>
    <row r="890" spans="1:6" x14ac:dyDescent="0.2">
      <c r="A890" s="18" t="str">
        <f>IF(Productos!A890="","",Productos!A890)</f>
        <v/>
      </c>
      <c r="B890" s="18" t="str">
        <f>IF(Productos!B890="","",Productos!B890)</f>
        <v/>
      </c>
      <c r="C890" s="26" t="str">
        <f>IF(A890="","",Ventas!H890)</f>
        <v/>
      </c>
      <c r="D890" s="26" t="str">
        <f t="shared" si="39"/>
        <v/>
      </c>
      <c r="E890" s="26" t="str">
        <f t="shared" si="40"/>
        <v/>
      </c>
      <c r="F890" s="26" t="str">
        <f t="shared" si="41"/>
        <v/>
      </c>
    </row>
    <row r="891" spans="1:6" x14ac:dyDescent="0.2">
      <c r="A891" s="18" t="str">
        <f>IF(Productos!A891="","",Productos!A891)</f>
        <v/>
      </c>
      <c r="B891" s="18" t="str">
        <f>IF(Productos!B891="","",Productos!B891)</f>
        <v/>
      </c>
      <c r="C891" s="26" t="str">
        <f>IF(A891="","",Ventas!H891)</f>
        <v/>
      </c>
      <c r="D891" s="26" t="str">
        <f t="shared" si="39"/>
        <v/>
      </c>
      <c r="E891" s="26" t="str">
        <f t="shared" si="40"/>
        <v/>
      </c>
      <c r="F891" s="26" t="str">
        <f t="shared" si="41"/>
        <v/>
      </c>
    </row>
    <row r="892" spans="1:6" x14ac:dyDescent="0.2">
      <c r="A892" s="18" t="str">
        <f>IF(Productos!A892="","",Productos!A892)</f>
        <v/>
      </c>
      <c r="B892" s="18" t="str">
        <f>IF(Productos!B892="","",Productos!B892)</f>
        <v/>
      </c>
      <c r="C892" s="26" t="str">
        <f>IF(A892="","",Ventas!H892)</f>
        <v/>
      </c>
      <c r="D892" s="26" t="str">
        <f t="shared" si="39"/>
        <v/>
      </c>
      <c r="E892" s="26" t="str">
        <f t="shared" si="40"/>
        <v/>
      </c>
      <c r="F892" s="26" t="str">
        <f t="shared" si="41"/>
        <v/>
      </c>
    </row>
    <row r="893" spans="1:6" x14ac:dyDescent="0.2">
      <c r="A893" s="18" t="str">
        <f>IF(Productos!A893="","",Productos!A893)</f>
        <v/>
      </c>
      <c r="B893" s="18" t="str">
        <f>IF(Productos!B893="","",Productos!B893)</f>
        <v/>
      </c>
      <c r="C893" s="26" t="str">
        <f>IF(A893="","",Ventas!H893)</f>
        <v/>
      </c>
      <c r="D893" s="26" t="str">
        <f t="shared" si="39"/>
        <v/>
      </c>
      <c r="E893" s="26" t="str">
        <f t="shared" si="40"/>
        <v/>
      </c>
      <c r="F893" s="26" t="str">
        <f t="shared" si="41"/>
        <v/>
      </c>
    </row>
    <row r="894" spans="1:6" x14ac:dyDescent="0.2">
      <c r="A894" s="18" t="str">
        <f>IF(Productos!A894="","",Productos!A894)</f>
        <v/>
      </c>
      <c r="B894" s="18" t="str">
        <f>IF(Productos!B894="","",Productos!B894)</f>
        <v/>
      </c>
      <c r="C894" s="26" t="str">
        <f>IF(A894="","",Ventas!H894)</f>
        <v/>
      </c>
      <c r="D894" s="26" t="str">
        <f t="shared" si="39"/>
        <v/>
      </c>
      <c r="E894" s="26" t="str">
        <f t="shared" si="40"/>
        <v/>
      </c>
      <c r="F894" s="26" t="str">
        <f t="shared" si="41"/>
        <v/>
      </c>
    </row>
    <row r="895" spans="1:6" x14ac:dyDescent="0.2">
      <c r="A895" s="18" t="str">
        <f>IF(Productos!A895="","",Productos!A895)</f>
        <v/>
      </c>
      <c r="B895" s="18" t="str">
        <f>IF(Productos!B895="","",Productos!B895)</f>
        <v/>
      </c>
      <c r="C895" s="26" t="str">
        <f>IF(A895="","",Ventas!H895)</f>
        <v/>
      </c>
      <c r="D895" s="26" t="str">
        <f t="shared" si="39"/>
        <v/>
      </c>
      <c r="E895" s="26" t="str">
        <f t="shared" si="40"/>
        <v/>
      </c>
      <c r="F895" s="26" t="str">
        <f t="shared" si="41"/>
        <v/>
      </c>
    </row>
    <row r="896" spans="1:6" x14ac:dyDescent="0.2">
      <c r="A896" s="18" t="str">
        <f>IF(Productos!A896="","",Productos!A896)</f>
        <v/>
      </c>
      <c r="B896" s="18" t="str">
        <f>IF(Productos!B896="","",Productos!B896)</f>
        <v/>
      </c>
      <c r="C896" s="26" t="str">
        <f>IF(A896="","",Ventas!H896)</f>
        <v/>
      </c>
      <c r="D896" s="26" t="str">
        <f t="shared" si="39"/>
        <v/>
      </c>
      <c r="E896" s="26" t="str">
        <f t="shared" si="40"/>
        <v/>
      </c>
      <c r="F896" s="26" t="str">
        <f t="shared" si="41"/>
        <v/>
      </c>
    </row>
    <row r="897" spans="1:6" x14ac:dyDescent="0.2">
      <c r="A897" s="18" t="str">
        <f>IF(Productos!A897="","",Productos!A897)</f>
        <v/>
      </c>
      <c r="B897" s="18" t="str">
        <f>IF(Productos!B897="","",Productos!B897)</f>
        <v/>
      </c>
      <c r="C897" s="26" t="str">
        <f>IF(A897="","",Ventas!H897)</f>
        <v/>
      </c>
      <c r="D897" s="26" t="str">
        <f t="shared" si="39"/>
        <v/>
      </c>
      <c r="E897" s="26" t="str">
        <f t="shared" si="40"/>
        <v/>
      </c>
      <c r="F897" s="26" t="str">
        <f t="shared" si="41"/>
        <v/>
      </c>
    </row>
    <row r="898" spans="1:6" x14ac:dyDescent="0.2">
      <c r="A898" s="18" t="str">
        <f>IF(Productos!A898="","",Productos!A898)</f>
        <v/>
      </c>
      <c r="B898" s="18" t="str">
        <f>IF(Productos!B898="","",Productos!B898)</f>
        <v/>
      </c>
      <c r="C898" s="26" t="str">
        <f>IF(A898="","",Ventas!H898)</f>
        <v/>
      </c>
      <c r="D898" s="26" t="str">
        <f t="shared" si="39"/>
        <v/>
      </c>
      <c r="E898" s="26" t="str">
        <f t="shared" si="40"/>
        <v/>
      </c>
      <c r="F898" s="26" t="str">
        <f t="shared" si="41"/>
        <v/>
      </c>
    </row>
    <row r="899" spans="1:6" x14ac:dyDescent="0.2">
      <c r="A899" s="18" t="str">
        <f>IF(Productos!A899="","",Productos!A899)</f>
        <v/>
      </c>
      <c r="B899" s="18" t="str">
        <f>IF(Productos!B899="","",Productos!B899)</f>
        <v/>
      </c>
      <c r="C899" s="26" t="str">
        <f>IF(A899="","",Ventas!H899)</f>
        <v/>
      </c>
      <c r="D899" s="26" t="str">
        <f t="shared" ref="D899:D962" si="42">IF(A899="","",ROUND(C899/3,2))</f>
        <v/>
      </c>
      <c r="E899" s="26" t="str">
        <f t="shared" ref="E899:E962" si="43">IF(A899="","",ROUND(C899/3,2))</f>
        <v/>
      </c>
      <c r="F899" s="26" t="str">
        <f t="shared" ref="F899:F962" si="44">IF(A899="","",C899-D899-E899)</f>
        <v/>
      </c>
    </row>
    <row r="900" spans="1:6" x14ac:dyDescent="0.2">
      <c r="A900" s="18" t="str">
        <f>IF(Productos!A900="","",Productos!A900)</f>
        <v/>
      </c>
      <c r="B900" s="18" t="str">
        <f>IF(Productos!B900="","",Productos!B900)</f>
        <v/>
      </c>
      <c r="C900" s="26" t="str">
        <f>IF(A900="","",Ventas!H900)</f>
        <v/>
      </c>
      <c r="D900" s="26" t="str">
        <f t="shared" si="42"/>
        <v/>
      </c>
      <c r="E900" s="26" t="str">
        <f t="shared" si="43"/>
        <v/>
      </c>
      <c r="F900" s="26" t="str">
        <f t="shared" si="44"/>
        <v/>
      </c>
    </row>
    <row r="901" spans="1:6" x14ac:dyDescent="0.2">
      <c r="A901" s="18" t="str">
        <f>IF(Productos!A901="","",Productos!A901)</f>
        <v/>
      </c>
      <c r="B901" s="18" t="str">
        <f>IF(Productos!B901="","",Productos!B901)</f>
        <v/>
      </c>
      <c r="C901" s="26" t="str">
        <f>IF(A901="","",Ventas!H901)</f>
        <v/>
      </c>
      <c r="D901" s="26" t="str">
        <f t="shared" si="42"/>
        <v/>
      </c>
      <c r="E901" s="26" t="str">
        <f t="shared" si="43"/>
        <v/>
      </c>
      <c r="F901" s="26" t="str">
        <f t="shared" si="44"/>
        <v/>
      </c>
    </row>
    <row r="902" spans="1:6" x14ac:dyDescent="0.2">
      <c r="A902" s="18" t="str">
        <f>IF(Productos!A902="","",Productos!A902)</f>
        <v/>
      </c>
      <c r="B902" s="18" t="str">
        <f>IF(Productos!B902="","",Productos!B902)</f>
        <v/>
      </c>
      <c r="C902" s="26" t="str">
        <f>IF(A902="","",Ventas!H902)</f>
        <v/>
      </c>
      <c r="D902" s="26" t="str">
        <f t="shared" si="42"/>
        <v/>
      </c>
      <c r="E902" s="26" t="str">
        <f t="shared" si="43"/>
        <v/>
      </c>
      <c r="F902" s="26" t="str">
        <f t="shared" si="44"/>
        <v/>
      </c>
    </row>
    <row r="903" spans="1:6" x14ac:dyDescent="0.2">
      <c r="A903" s="18" t="str">
        <f>IF(Productos!A903="","",Productos!A903)</f>
        <v/>
      </c>
      <c r="B903" s="18" t="str">
        <f>IF(Productos!B903="","",Productos!B903)</f>
        <v/>
      </c>
      <c r="C903" s="26" t="str">
        <f>IF(A903="","",Ventas!H903)</f>
        <v/>
      </c>
      <c r="D903" s="26" t="str">
        <f t="shared" si="42"/>
        <v/>
      </c>
      <c r="E903" s="26" t="str">
        <f t="shared" si="43"/>
        <v/>
      </c>
      <c r="F903" s="26" t="str">
        <f t="shared" si="44"/>
        <v/>
      </c>
    </row>
    <row r="904" spans="1:6" x14ac:dyDescent="0.2">
      <c r="A904" s="18" t="str">
        <f>IF(Productos!A904="","",Productos!A904)</f>
        <v/>
      </c>
      <c r="B904" s="18" t="str">
        <f>IF(Productos!B904="","",Productos!B904)</f>
        <v/>
      </c>
      <c r="C904" s="26" t="str">
        <f>IF(A904="","",Ventas!H904)</f>
        <v/>
      </c>
      <c r="D904" s="26" t="str">
        <f t="shared" si="42"/>
        <v/>
      </c>
      <c r="E904" s="26" t="str">
        <f t="shared" si="43"/>
        <v/>
      </c>
      <c r="F904" s="26" t="str">
        <f t="shared" si="44"/>
        <v/>
      </c>
    </row>
    <row r="905" spans="1:6" x14ac:dyDescent="0.2">
      <c r="A905" s="18" t="str">
        <f>IF(Productos!A905="","",Productos!A905)</f>
        <v/>
      </c>
      <c r="B905" s="18" t="str">
        <f>IF(Productos!B905="","",Productos!B905)</f>
        <v/>
      </c>
      <c r="C905" s="26" t="str">
        <f>IF(A905="","",Ventas!H905)</f>
        <v/>
      </c>
      <c r="D905" s="26" t="str">
        <f t="shared" si="42"/>
        <v/>
      </c>
      <c r="E905" s="26" t="str">
        <f t="shared" si="43"/>
        <v/>
      </c>
      <c r="F905" s="26" t="str">
        <f t="shared" si="44"/>
        <v/>
      </c>
    </row>
    <row r="906" spans="1:6" x14ac:dyDescent="0.2">
      <c r="A906" s="18" t="str">
        <f>IF(Productos!A906="","",Productos!A906)</f>
        <v/>
      </c>
      <c r="B906" s="18" t="str">
        <f>IF(Productos!B906="","",Productos!B906)</f>
        <v/>
      </c>
      <c r="C906" s="26" t="str">
        <f>IF(A906="","",Ventas!H906)</f>
        <v/>
      </c>
      <c r="D906" s="26" t="str">
        <f t="shared" si="42"/>
        <v/>
      </c>
      <c r="E906" s="26" t="str">
        <f t="shared" si="43"/>
        <v/>
      </c>
      <c r="F906" s="26" t="str">
        <f t="shared" si="44"/>
        <v/>
      </c>
    </row>
    <row r="907" spans="1:6" x14ac:dyDescent="0.2">
      <c r="A907" s="18" t="str">
        <f>IF(Productos!A907="","",Productos!A907)</f>
        <v/>
      </c>
      <c r="B907" s="18" t="str">
        <f>IF(Productos!B907="","",Productos!B907)</f>
        <v/>
      </c>
      <c r="C907" s="26" t="str">
        <f>IF(A907="","",Ventas!H907)</f>
        <v/>
      </c>
      <c r="D907" s="26" t="str">
        <f t="shared" si="42"/>
        <v/>
      </c>
      <c r="E907" s="26" t="str">
        <f t="shared" si="43"/>
        <v/>
      </c>
      <c r="F907" s="26" t="str">
        <f t="shared" si="44"/>
        <v/>
      </c>
    </row>
    <row r="908" spans="1:6" x14ac:dyDescent="0.2">
      <c r="A908" s="18" t="str">
        <f>IF(Productos!A908="","",Productos!A908)</f>
        <v/>
      </c>
      <c r="B908" s="18" t="str">
        <f>IF(Productos!B908="","",Productos!B908)</f>
        <v/>
      </c>
      <c r="C908" s="26" t="str">
        <f>IF(A908="","",Ventas!H908)</f>
        <v/>
      </c>
      <c r="D908" s="26" t="str">
        <f t="shared" si="42"/>
        <v/>
      </c>
      <c r="E908" s="26" t="str">
        <f t="shared" si="43"/>
        <v/>
      </c>
      <c r="F908" s="26" t="str">
        <f t="shared" si="44"/>
        <v/>
      </c>
    </row>
    <row r="909" spans="1:6" x14ac:dyDescent="0.2">
      <c r="A909" s="18" t="str">
        <f>IF(Productos!A909="","",Productos!A909)</f>
        <v/>
      </c>
      <c r="B909" s="18" t="str">
        <f>IF(Productos!B909="","",Productos!B909)</f>
        <v/>
      </c>
      <c r="C909" s="26" t="str">
        <f>IF(A909="","",Ventas!H909)</f>
        <v/>
      </c>
      <c r="D909" s="26" t="str">
        <f t="shared" si="42"/>
        <v/>
      </c>
      <c r="E909" s="26" t="str">
        <f t="shared" si="43"/>
        <v/>
      </c>
      <c r="F909" s="26" t="str">
        <f t="shared" si="44"/>
        <v/>
      </c>
    </row>
    <row r="910" spans="1:6" x14ac:dyDescent="0.2">
      <c r="A910" s="18" t="str">
        <f>IF(Productos!A910="","",Productos!A910)</f>
        <v/>
      </c>
      <c r="B910" s="18" t="str">
        <f>IF(Productos!B910="","",Productos!B910)</f>
        <v/>
      </c>
      <c r="C910" s="26" t="str">
        <f>IF(A910="","",Ventas!H910)</f>
        <v/>
      </c>
      <c r="D910" s="26" t="str">
        <f t="shared" si="42"/>
        <v/>
      </c>
      <c r="E910" s="26" t="str">
        <f t="shared" si="43"/>
        <v/>
      </c>
      <c r="F910" s="26" t="str">
        <f t="shared" si="44"/>
        <v/>
      </c>
    </row>
    <row r="911" spans="1:6" x14ac:dyDescent="0.2">
      <c r="A911" s="18" t="str">
        <f>IF(Productos!A911="","",Productos!A911)</f>
        <v/>
      </c>
      <c r="B911" s="18" t="str">
        <f>IF(Productos!B911="","",Productos!B911)</f>
        <v/>
      </c>
      <c r="C911" s="26" t="str">
        <f>IF(A911="","",Ventas!H911)</f>
        <v/>
      </c>
      <c r="D911" s="26" t="str">
        <f t="shared" si="42"/>
        <v/>
      </c>
      <c r="E911" s="26" t="str">
        <f t="shared" si="43"/>
        <v/>
      </c>
      <c r="F911" s="26" t="str">
        <f t="shared" si="44"/>
        <v/>
      </c>
    </row>
    <row r="912" spans="1:6" x14ac:dyDescent="0.2">
      <c r="A912" s="18" t="str">
        <f>IF(Productos!A912="","",Productos!A912)</f>
        <v/>
      </c>
      <c r="B912" s="18" t="str">
        <f>IF(Productos!B912="","",Productos!B912)</f>
        <v/>
      </c>
      <c r="C912" s="26" t="str">
        <f>IF(A912="","",Ventas!H912)</f>
        <v/>
      </c>
      <c r="D912" s="26" t="str">
        <f t="shared" si="42"/>
        <v/>
      </c>
      <c r="E912" s="26" t="str">
        <f t="shared" si="43"/>
        <v/>
      </c>
      <c r="F912" s="26" t="str">
        <f t="shared" si="44"/>
        <v/>
      </c>
    </row>
    <row r="913" spans="1:6" x14ac:dyDescent="0.2">
      <c r="A913" s="18" t="str">
        <f>IF(Productos!A913="","",Productos!A913)</f>
        <v/>
      </c>
      <c r="B913" s="18" t="str">
        <f>IF(Productos!B913="","",Productos!B913)</f>
        <v/>
      </c>
      <c r="C913" s="26" t="str">
        <f>IF(A913="","",Ventas!H913)</f>
        <v/>
      </c>
      <c r="D913" s="26" t="str">
        <f t="shared" si="42"/>
        <v/>
      </c>
      <c r="E913" s="26" t="str">
        <f t="shared" si="43"/>
        <v/>
      </c>
      <c r="F913" s="26" t="str">
        <f t="shared" si="44"/>
        <v/>
      </c>
    </row>
    <row r="914" spans="1:6" x14ac:dyDescent="0.2">
      <c r="A914" s="18" t="str">
        <f>IF(Productos!A914="","",Productos!A914)</f>
        <v/>
      </c>
      <c r="B914" s="18" t="str">
        <f>IF(Productos!B914="","",Productos!B914)</f>
        <v/>
      </c>
      <c r="C914" s="26" t="str">
        <f>IF(A914="","",Ventas!H914)</f>
        <v/>
      </c>
      <c r="D914" s="26" t="str">
        <f t="shared" si="42"/>
        <v/>
      </c>
      <c r="E914" s="26" t="str">
        <f t="shared" si="43"/>
        <v/>
      </c>
      <c r="F914" s="26" t="str">
        <f t="shared" si="44"/>
        <v/>
      </c>
    </row>
    <row r="915" spans="1:6" x14ac:dyDescent="0.2">
      <c r="A915" s="18" t="str">
        <f>IF(Productos!A915="","",Productos!A915)</f>
        <v/>
      </c>
      <c r="B915" s="18" t="str">
        <f>IF(Productos!B915="","",Productos!B915)</f>
        <v/>
      </c>
      <c r="C915" s="26" t="str">
        <f>IF(A915="","",Ventas!H915)</f>
        <v/>
      </c>
      <c r="D915" s="26" t="str">
        <f t="shared" si="42"/>
        <v/>
      </c>
      <c r="E915" s="26" t="str">
        <f t="shared" si="43"/>
        <v/>
      </c>
      <c r="F915" s="26" t="str">
        <f t="shared" si="44"/>
        <v/>
      </c>
    </row>
    <row r="916" spans="1:6" x14ac:dyDescent="0.2">
      <c r="A916" s="18" t="str">
        <f>IF(Productos!A916="","",Productos!A916)</f>
        <v/>
      </c>
      <c r="B916" s="18" t="str">
        <f>IF(Productos!B916="","",Productos!B916)</f>
        <v/>
      </c>
      <c r="C916" s="26" t="str">
        <f>IF(A916="","",Ventas!H916)</f>
        <v/>
      </c>
      <c r="D916" s="26" t="str">
        <f t="shared" si="42"/>
        <v/>
      </c>
      <c r="E916" s="26" t="str">
        <f t="shared" si="43"/>
        <v/>
      </c>
      <c r="F916" s="26" t="str">
        <f t="shared" si="44"/>
        <v/>
      </c>
    </row>
    <row r="917" spans="1:6" x14ac:dyDescent="0.2">
      <c r="A917" s="18" t="str">
        <f>IF(Productos!A917="","",Productos!A917)</f>
        <v/>
      </c>
      <c r="B917" s="18" t="str">
        <f>IF(Productos!B917="","",Productos!B917)</f>
        <v/>
      </c>
      <c r="C917" s="26" t="str">
        <f>IF(A917="","",Ventas!H917)</f>
        <v/>
      </c>
      <c r="D917" s="26" t="str">
        <f t="shared" si="42"/>
        <v/>
      </c>
      <c r="E917" s="26" t="str">
        <f t="shared" si="43"/>
        <v/>
      </c>
      <c r="F917" s="26" t="str">
        <f t="shared" si="44"/>
        <v/>
      </c>
    </row>
    <row r="918" spans="1:6" x14ac:dyDescent="0.2">
      <c r="A918" s="18" t="str">
        <f>IF(Productos!A918="","",Productos!A918)</f>
        <v/>
      </c>
      <c r="B918" s="18" t="str">
        <f>IF(Productos!B918="","",Productos!B918)</f>
        <v/>
      </c>
      <c r="C918" s="26" t="str">
        <f>IF(A918="","",Ventas!H918)</f>
        <v/>
      </c>
      <c r="D918" s="26" t="str">
        <f t="shared" si="42"/>
        <v/>
      </c>
      <c r="E918" s="26" t="str">
        <f t="shared" si="43"/>
        <v/>
      </c>
      <c r="F918" s="26" t="str">
        <f t="shared" si="44"/>
        <v/>
      </c>
    </row>
    <row r="919" spans="1:6" x14ac:dyDescent="0.2">
      <c r="A919" s="18" t="str">
        <f>IF(Productos!A919="","",Productos!A919)</f>
        <v/>
      </c>
      <c r="B919" s="18" t="str">
        <f>IF(Productos!B919="","",Productos!B919)</f>
        <v/>
      </c>
      <c r="C919" s="26" t="str">
        <f>IF(A919="","",Ventas!H919)</f>
        <v/>
      </c>
      <c r="D919" s="26" t="str">
        <f t="shared" si="42"/>
        <v/>
      </c>
      <c r="E919" s="26" t="str">
        <f t="shared" si="43"/>
        <v/>
      </c>
      <c r="F919" s="26" t="str">
        <f t="shared" si="44"/>
        <v/>
      </c>
    </row>
    <row r="920" spans="1:6" x14ac:dyDescent="0.2">
      <c r="A920" s="18" t="str">
        <f>IF(Productos!A920="","",Productos!A920)</f>
        <v/>
      </c>
      <c r="B920" s="18" t="str">
        <f>IF(Productos!B920="","",Productos!B920)</f>
        <v/>
      </c>
      <c r="C920" s="26" t="str">
        <f>IF(A920="","",Ventas!H920)</f>
        <v/>
      </c>
      <c r="D920" s="26" t="str">
        <f t="shared" si="42"/>
        <v/>
      </c>
      <c r="E920" s="26" t="str">
        <f t="shared" si="43"/>
        <v/>
      </c>
      <c r="F920" s="26" t="str">
        <f t="shared" si="44"/>
        <v/>
      </c>
    </row>
    <row r="921" spans="1:6" x14ac:dyDescent="0.2">
      <c r="A921" s="18" t="str">
        <f>IF(Productos!A921="","",Productos!A921)</f>
        <v/>
      </c>
      <c r="B921" s="18" t="str">
        <f>IF(Productos!B921="","",Productos!B921)</f>
        <v/>
      </c>
      <c r="C921" s="26" t="str">
        <f>IF(A921="","",Ventas!H921)</f>
        <v/>
      </c>
      <c r="D921" s="26" t="str">
        <f t="shared" si="42"/>
        <v/>
      </c>
      <c r="E921" s="26" t="str">
        <f t="shared" si="43"/>
        <v/>
      </c>
      <c r="F921" s="26" t="str">
        <f t="shared" si="44"/>
        <v/>
      </c>
    </row>
    <row r="922" spans="1:6" x14ac:dyDescent="0.2">
      <c r="A922" s="18" t="str">
        <f>IF(Productos!A922="","",Productos!A922)</f>
        <v/>
      </c>
      <c r="B922" s="18" t="str">
        <f>IF(Productos!B922="","",Productos!B922)</f>
        <v/>
      </c>
      <c r="C922" s="26" t="str">
        <f>IF(A922="","",Ventas!H922)</f>
        <v/>
      </c>
      <c r="D922" s="26" t="str">
        <f t="shared" si="42"/>
        <v/>
      </c>
      <c r="E922" s="26" t="str">
        <f t="shared" si="43"/>
        <v/>
      </c>
      <c r="F922" s="26" t="str">
        <f t="shared" si="44"/>
        <v/>
      </c>
    </row>
    <row r="923" spans="1:6" x14ac:dyDescent="0.2">
      <c r="A923" s="18" t="str">
        <f>IF(Productos!A923="","",Productos!A923)</f>
        <v/>
      </c>
      <c r="B923" s="18" t="str">
        <f>IF(Productos!B923="","",Productos!B923)</f>
        <v/>
      </c>
      <c r="C923" s="26" t="str">
        <f>IF(A923="","",Ventas!H923)</f>
        <v/>
      </c>
      <c r="D923" s="26" t="str">
        <f t="shared" si="42"/>
        <v/>
      </c>
      <c r="E923" s="26" t="str">
        <f t="shared" si="43"/>
        <v/>
      </c>
      <c r="F923" s="26" t="str">
        <f t="shared" si="44"/>
        <v/>
      </c>
    </row>
    <row r="924" spans="1:6" x14ac:dyDescent="0.2">
      <c r="A924" s="18" t="str">
        <f>IF(Productos!A924="","",Productos!A924)</f>
        <v/>
      </c>
      <c r="B924" s="18" t="str">
        <f>IF(Productos!B924="","",Productos!B924)</f>
        <v/>
      </c>
      <c r="C924" s="26" t="str">
        <f>IF(A924="","",Ventas!H924)</f>
        <v/>
      </c>
      <c r="D924" s="26" t="str">
        <f t="shared" si="42"/>
        <v/>
      </c>
      <c r="E924" s="26" t="str">
        <f t="shared" si="43"/>
        <v/>
      </c>
      <c r="F924" s="26" t="str">
        <f t="shared" si="44"/>
        <v/>
      </c>
    </row>
    <row r="925" spans="1:6" x14ac:dyDescent="0.2">
      <c r="A925" s="18" t="str">
        <f>IF(Productos!A925="","",Productos!A925)</f>
        <v/>
      </c>
      <c r="B925" s="18" t="str">
        <f>IF(Productos!B925="","",Productos!B925)</f>
        <v/>
      </c>
      <c r="C925" s="26" t="str">
        <f>IF(A925="","",Ventas!H925)</f>
        <v/>
      </c>
      <c r="D925" s="26" t="str">
        <f t="shared" si="42"/>
        <v/>
      </c>
      <c r="E925" s="26" t="str">
        <f t="shared" si="43"/>
        <v/>
      </c>
      <c r="F925" s="26" t="str">
        <f t="shared" si="44"/>
        <v/>
      </c>
    </row>
    <row r="926" spans="1:6" x14ac:dyDescent="0.2">
      <c r="A926" s="18" t="str">
        <f>IF(Productos!A926="","",Productos!A926)</f>
        <v/>
      </c>
      <c r="B926" s="18" t="str">
        <f>IF(Productos!B926="","",Productos!B926)</f>
        <v/>
      </c>
      <c r="C926" s="26" t="str">
        <f>IF(A926="","",Ventas!H926)</f>
        <v/>
      </c>
      <c r="D926" s="26" t="str">
        <f t="shared" si="42"/>
        <v/>
      </c>
      <c r="E926" s="26" t="str">
        <f t="shared" si="43"/>
        <v/>
      </c>
      <c r="F926" s="26" t="str">
        <f t="shared" si="44"/>
        <v/>
      </c>
    </row>
    <row r="927" spans="1:6" x14ac:dyDescent="0.2">
      <c r="A927" s="18" t="str">
        <f>IF(Productos!A927="","",Productos!A927)</f>
        <v/>
      </c>
      <c r="B927" s="18" t="str">
        <f>IF(Productos!B927="","",Productos!B927)</f>
        <v/>
      </c>
      <c r="C927" s="26" t="str">
        <f>IF(A927="","",Ventas!H927)</f>
        <v/>
      </c>
      <c r="D927" s="26" t="str">
        <f t="shared" si="42"/>
        <v/>
      </c>
      <c r="E927" s="26" t="str">
        <f t="shared" si="43"/>
        <v/>
      </c>
      <c r="F927" s="26" t="str">
        <f t="shared" si="44"/>
        <v/>
      </c>
    </row>
    <row r="928" spans="1:6" x14ac:dyDescent="0.2">
      <c r="A928" s="18" t="str">
        <f>IF(Productos!A928="","",Productos!A928)</f>
        <v/>
      </c>
      <c r="B928" s="18" t="str">
        <f>IF(Productos!B928="","",Productos!B928)</f>
        <v/>
      </c>
      <c r="C928" s="26" t="str">
        <f>IF(A928="","",Ventas!H928)</f>
        <v/>
      </c>
      <c r="D928" s="26" t="str">
        <f t="shared" si="42"/>
        <v/>
      </c>
      <c r="E928" s="26" t="str">
        <f t="shared" si="43"/>
        <v/>
      </c>
      <c r="F928" s="26" t="str">
        <f t="shared" si="44"/>
        <v/>
      </c>
    </row>
    <row r="929" spans="1:6" x14ac:dyDescent="0.2">
      <c r="A929" s="18" t="str">
        <f>IF(Productos!A929="","",Productos!A929)</f>
        <v/>
      </c>
      <c r="B929" s="18" t="str">
        <f>IF(Productos!B929="","",Productos!B929)</f>
        <v/>
      </c>
      <c r="C929" s="26" t="str">
        <f>IF(A929="","",Ventas!H929)</f>
        <v/>
      </c>
      <c r="D929" s="26" t="str">
        <f t="shared" si="42"/>
        <v/>
      </c>
      <c r="E929" s="26" t="str">
        <f t="shared" si="43"/>
        <v/>
      </c>
      <c r="F929" s="26" t="str">
        <f t="shared" si="44"/>
        <v/>
      </c>
    </row>
    <row r="930" spans="1:6" x14ac:dyDescent="0.2">
      <c r="A930" s="18" t="str">
        <f>IF(Productos!A930="","",Productos!A930)</f>
        <v/>
      </c>
      <c r="B930" s="18" t="str">
        <f>IF(Productos!B930="","",Productos!B930)</f>
        <v/>
      </c>
      <c r="C930" s="26" t="str">
        <f>IF(A930="","",Ventas!H930)</f>
        <v/>
      </c>
      <c r="D930" s="26" t="str">
        <f t="shared" si="42"/>
        <v/>
      </c>
      <c r="E930" s="26" t="str">
        <f t="shared" si="43"/>
        <v/>
      </c>
      <c r="F930" s="26" t="str">
        <f t="shared" si="44"/>
        <v/>
      </c>
    </row>
    <row r="931" spans="1:6" x14ac:dyDescent="0.2">
      <c r="A931" s="18" t="str">
        <f>IF(Productos!A931="","",Productos!A931)</f>
        <v/>
      </c>
      <c r="B931" s="18" t="str">
        <f>IF(Productos!B931="","",Productos!B931)</f>
        <v/>
      </c>
      <c r="C931" s="26" t="str">
        <f>IF(A931="","",Ventas!H931)</f>
        <v/>
      </c>
      <c r="D931" s="26" t="str">
        <f t="shared" si="42"/>
        <v/>
      </c>
      <c r="E931" s="26" t="str">
        <f t="shared" si="43"/>
        <v/>
      </c>
      <c r="F931" s="26" t="str">
        <f t="shared" si="44"/>
        <v/>
      </c>
    </row>
    <row r="932" spans="1:6" x14ac:dyDescent="0.2">
      <c r="A932" s="18" t="str">
        <f>IF(Productos!A932="","",Productos!A932)</f>
        <v/>
      </c>
      <c r="B932" s="18" t="str">
        <f>IF(Productos!B932="","",Productos!B932)</f>
        <v/>
      </c>
      <c r="C932" s="26" t="str">
        <f>IF(A932="","",Ventas!H932)</f>
        <v/>
      </c>
      <c r="D932" s="26" t="str">
        <f t="shared" si="42"/>
        <v/>
      </c>
      <c r="E932" s="26" t="str">
        <f t="shared" si="43"/>
        <v/>
      </c>
      <c r="F932" s="26" t="str">
        <f t="shared" si="44"/>
        <v/>
      </c>
    </row>
    <row r="933" spans="1:6" x14ac:dyDescent="0.2">
      <c r="A933" s="18" t="str">
        <f>IF(Productos!A933="","",Productos!A933)</f>
        <v/>
      </c>
      <c r="B933" s="18" t="str">
        <f>IF(Productos!B933="","",Productos!B933)</f>
        <v/>
      </c>
      <c r="C933" s="26" t="str">
        <f>IF(A933="","",Ventas!H933)</f>
        <v/>
      </c>
      <c r="D933" s="26" t="str">
        <f t="shared" si="42"/>
        <v/>
      </c>
      <c r="E933" s="26" t="str">
        <f t="shared" si="43"/>
        <v/>
      </c>
      <c r="F933" s="26" t="str">
        <f t="shared" si="44"/>
        <v/>
      </c>
    </row>
    <row r="934" spans="1:6" x14ac:dyDescent="0.2">
      <c r="A934" s="18" t="str">
        <f>IF(Productos!A934="","",Productos!A934)</f>
        <v/>
      </c>
      <c r="B934" s="18" t="str">
        <f>IF(Productos!B934="","",Productos!B934)</f>
        <v/>
      </c>
      <c r="C934" s="26" t="str">
        <f>IF(A934="","",Ventas!H934)</f>
        <v/>
      </c>
      <c r="D934" s="26" t="str">
        <f t="shared" si="42"/>
        <v/>
      </c>
      <c r="E934" s="26" t="str">
        <f t="shared" si="43"/>
        <v/>
      </c>
      <c r="F934" s="26" t="str">
        <f t="shared" si="44"/>
        <v/>
      </c>
    </row>
    <row r="935" spans="1:6" x14ac:dyDescent="0.2">
      <c r="A935" s="18" t="str">
        <f>IF(Productos!A935="","",Productos!A935)</f>
        <v/>
      </c>
      <c r="B935" s="18" t="str">
        <f>IF(Productos!B935="","",Productos!B935)</f>
        <v/>
      </c>
      <c r="C935" s="26" t="str">
        <f>IF(A935="","",Ventas!H935)</f>
        <v/>
      </c>
      <c r="D935" s="26" t="str">
        <f t="shared" si="42"/>
        <v/>
      </c>
      <c r="E935" s="26" t="str">
        <f t="shared" si="43"/>
        <v/>
      </c>
      <c r="F935" s="26" t="str">
        <f t="shared" si="44"/>
        <v/>
      </c>
    </row>
    <row r="936" spans="1:6" x14ac:dyDescent="0.2">
      <c r="A936" s="18" t="str">
        <f>IF(Productos!A936="","",Productos!A936)</f>
        <v/>
      </c>
      <c r="B936" s="18" t="str">
        <f>IF(Productos!B936="","",Productos!B936)</f>
        <v/>
      </c>
      <c r="C936" s="26" t="str">
        <f>IF(A936="","",Ventas!H936)</f>
        <v/>
      </c>
      <c r="D936" s="26" t="str">
        <f t="shared" si="42"/>
        <v/>
      </c>
      <c r="E936" s="26" t="str">
        <f t="shared" si="43"/>
        <v/>
      </c>
      <c r="F936" s="26" t="str">
        <f t="shared" si="44"/>
        <v/>
      </c>
    </row>
    <row r="937" spans="1:6" x14ac:dyDescent="0.2">
      <c r="A937" s="18" t="str">
        <f>IF(Productos!A937="","",Productos!A937)</f>
        <v/>
      </c>
      <c r="B937" s="18" t="str">
        <f>IF(Productos!B937="","",Productos!B937)</f>
        <v/>
      </c>
      <c r="C937" s="26" t="str">
        <f>IF(A937="","",Ventas!H937)</f>
        <v/>
      </c>
      <c r="D937" s="26" t="str">
        <f t="shared" si="42"/>
        <v/>
      </c>
      <c r="E937" s="26" t="str">
        <f t="shared" si="43"/>
        <v/>
      </c>
      <c r="F937" s="26" t="str">
        <f t="shared" si="44"/>
        <v/>
      </c>
    </row>
    <row r="938" spans="1:6" x14ac:dyDescent="0.2">
      <c r="A938" s="18" t="str">
        <f>IF(Productos!A938="","",Productos!A938)</f>
        <v/>
      </c>
      <c r="B938" s="18" t="str">
        <f>IF(Productos!B938="","",Productos!B938)</f>
        <v/>
      </c>
      <c r="C938" s="26" t="str">
        <f>IF(A938="","",Ventas!H938)</f>
        <v/>
      </c>
      <c r="D938" s="26" t="str">
        <f t="shared" si="42"/>
        <v/>
      </c>
      <c r="E938" s="26" t="str">
        <f t="shared" si="43"/>
        <v/>
      </c>
      <c r="F938" s="26" t="str">
        <f t="shared" si="44"/>
        <v/>
      </c>
    </row>
    <row r="939" spans="1:6" x14ac:dyDescent="0.2">
      <c r="A939" s="18" t="str">
        <f>IF(Productos!A939="","",Productos!A939)</f>
        <v/>
      </c>
      <c r="B939" s="18" t="str">
        <f>IF(Productos!B939="","",Productos!B939)</f>
        <v/>
      </c>
      <c r="C939" s="26" t="str">
        <f>IF(A939="","",Ventas!H939)</f>
        <v/>
      </c>
      <c r="D939" s="26" t="str">
        <f t="shared" si="42"/>
        <v/>
      </c>
      <c r="E939" s="26" t="str">
        <f t="shared" si="43"/>
        <v/>
      </c>
      <c r="F939" s="26" t="str">
        <f t="shared" si="44"/>
        <v/>
      </c>
    </row>
    <row r="940" spans="1:6" x14ac:dyDescent="0.2">
      <c r="A940" s="18" t="str">
        <f>IF(Productos!A940="","",Productos!A940)</f>
        <v/>
      </c>
      <c r="B940" s="18" t="str">
        <f>IF(Productos!B940="","",Productos!B940)</f>
        <v/>
      </c>
      <c r="C940" s="26" t="str">
        <f>IF(A940="","",Ventas!H940)</f>
        <v/>
      </c>
      <c r="D940" s="26" t="str">
        <f t="shared" si="42"/>
        <v/>
      </c>
      <c r="E940" s="26" t="str">
        <f t="shared" si="43"/>
        <v/>
      </c>
      <c r="F940" s="26" t="str">
        <f t="shared" si="44"/>
        <v/>
      </c>
    </row>
    <row r="941" spans="1:6" x14ac:dyDescent="0.2">
      <c r="A941" s="18" t="str">
        <f>IF(Productos!A941="","",Productos!A941)</f>
        <v/>
      </c>
      <c r="B941" s="18" t="str">
        <f>IF(Productos!B941="","",Productos!B941)</f>
        <v/>
      </c>
      <c r="C941" s="26" t="str">
        <f>IF(A941="","",Ventas!H941)</f>
        <v/>
      </c>
      <c r="D941" s="26" t="str">
        <f t="shared" si="42"/>
        <v/>
      </c>
      <c r="E941" s="26" t="str">
        <f t="shared" si="43"/>
        <v/>
      </c>
      <c r="F941" s="26" t="str">
        <f t="shared" si="44"/>
        <v/>
      </c>
    </row>
    <row r="942" spans="1:6" x14ac:dyDescent="0.2">
      <c r="A942" s="18" t="str">
        <f>IF(Productos!A942="","",Productos!A942)</f>
        <v/>
      </c>
      <c r="B942" s="18" t="str">
        <f>IF(Productos!B942="","",Productos!B942)</f>
        <v/>
      </c>
      <c r="C942" s="26" t="str">
        <f>IF(A942="","",Ventas!H942)</f>
        <v/>
      </c>
      <c r="D942" s="26" t="str">
        <f t="shared" si="42"/>
        <v/>
      </c>
      <c r="E942" s="26" t="str">
        <f t="shared" si="43"/>
        <v/>
      </c>
      <c r="F942" s="26" t="str">
        <f t="shared" si="44"/>
        <v/>
      </c>
    </row>
    <row r="943" spans="1:6" x14ac:dyDescent="0.2">
      <c r="A943" s="18" t="str">
        <f>IF(Productos!A943="","",Productos!A943)</f>
        <v/>
      </c>
      <c r="B943" s="18" t="str">
        <f>IF(Productos!B943="","",Productos!B943)</f>
        <v/>
      </c>
      <c r="C943" s="26" t="str">
        <f>IF(A943="","",Ventas!H943)</f>
        <v/>
      </c>
      <c r="D943" s="26" t="str">
        <f t="shared" si="42"/>
        <v/>
      </c>
      <c r="E943" s="26" t="str">
        <f t="shared" si="43"/>
        <v/>
      </c>
      <c r="F943" s="26" t="str">
        <f t="shared" si="44"/>
        <v/>
      </c>
    </row>
    <row r="944" spans="1:6" x14ac:dyDescent="0.2">
      <c r="A944" s="18" t="str">
        <f>IF(Productos!A944="","",Productos!A944)</f>
        <v/>
      </c>
      <c r="B944" s="18" t="str">
        <f>IF(Productos!B944="","",Productos!B944)</f>
        <v/>
      </c>
      <c r="C944" s="26" t="str">
        <f>IF(A944="","",Ventas!H944)</f>
        <v/>
      </c>
      <c r="D944" s="26" t="str">
        <f t="shared" si="42"/>
        <v/>
      </c>
      <c r="E944" s="26" t="str">
        <f t="shared" si="43"/>
        <v/>
      </c>
      <c r="F944" s="26" t="str">
        <f t="shared" si="44"/>
        <v/>
      </c>
    </row>
    <row r="945" spans="1:6" x14ac:dyDescent="0.2">
      <c r="A945" s="18" t="str">
        <f>IF(Productos!A945="","",Productos!A945)</f>
        <v/>
      </c>
      <c r="B945" s="18" t="str">
        <f>IF(Productos!B945="","",Productos!B945)</f>
        <v/>
      </c>
      <c r="C945" s="26" t="str">
        <f>IF(A945="","",Ventas!H945)</f>
        <v/>
      </c>
      <c r="D945" s="26" t="str">
        <f t="shared" si="42"/>
        <v/>
      </c>
      <c r="E945" s="26" t="str">
        <f t="shared" si="43"/>
        <v/>
      </c>
      <c r="F945" s="26" t="str">
        <f t="shared" si="44"/>
        <v/>
      </c>
    </row>
    <row r="946" spans="1:6" x14ac:dyDescent="0.2">
      <c r="A946" s="18" t="str">
        <f>IF(Productos!A946="","",Productos!A946)</f>
        <v/>
      </c>
      <c r="B946" s="18" t="str">
        <f>IF(Productos!B946="","",Productos!B946)</f>
        <v/>
      </c>
      <c r="C946" s="26" t="str">
        <f>IF(A946="","",Ventas!H946)</f>
        <v/>
      </c>
      <c r="D946" s="26" t="str">
        <f t="shared" si="42"/>
        <v/>
      </c>
      <c r="E946" s="26" t="str">
        <f t="shared" si="43"/>
        <v/>
      </c>
      <c r="F946" s="26" t="str">
        <f t="shared" si="44"/>
        <v/>
      </c>
    </row>
    <row r="947" spans="1:6" x14ac:dyDescent="0.2">
      <c r="A947" s="18" t="str">
        <f>IF(Productos!A947="","",Productos!A947)</f>
        <v/>
      </c>
      <c r="B947" s="18" t="str">
        <f>IF(Productos!B947="","",Productos!B947)</f>
        <v/>
      </c>
      <c r="C947" s="26" t="str">
        <f>IF(A947="","",Ventas!H947)</f>
        <v/>
      </c>
      <c r="D947" s="26" t="str">
        <f t="shared" si="42"/>
        <v/>
      </c>
      <c r="E947" s="26" t="str">
        <f t="shared" si="43"/>
        <v/>
      </c>
      <c r="F947" s="26" t="str">
        <f t="shared" si="44"/>
        <v/>
      </c>
    </row>
    <row r="948" spans="1:6" x14ac:dyDescent="0.2">
      <c r="A948" s="18" t="str">
        <f>IF(Productos!A948="","",Productos!A948)</f>
        <v/>
      </c>
      <c r="B948" s="18" t="str">
        <f>IF(Productos!B948="","",Productos!B948)</f>
        <v/>
      </c>
      <c r="C948" s="26" t="str">
        <f>IF(A948="","",Ventas!H948)</f>
        <v/>
      </c>
      <c r="D948" s="26" t="str">
        <f t="shared" si="42"/>
        <v/>
      </c>
      <c r="E948" s="26" t="str">
        <f t="shared" si="43"/>
        <v/>
      </c>
      <c r="F948" s="26" t="str">
        <f t="shared" si="44"/>
        <v/>
      </c>
    </row>
    <row r="949" spans="1:6" x14ac:dyDescent="0.2">
      <c r="A949" s="18" t="str">
        <f>IF(Productos!A949="","",Productos!A949)</f>
        <v/>
      </c>
      <c r="B949" s="18" t="str">
        <f>IF(Productos!B949="","",Productos!B949)</f>
        <v/>
      </c>
      <c r="C949" s="26" t="str">
        <f>IF(A949="","",Ventas!H949)</f>
        <v/>
      </c>
      <c r="D949" s="26" t="str">
        <f t="shared" si="42"/>
        <v/>
      </c>
      <c r="E949" s="26" t="str">
        <f t="shared" si="43"/>
        <v/>
      </c>
      <c r="F949" s="26" t="str">
        <f t="shared" si="44"/>
        <v/>
      </c>
    </row>
    <row r="950" spans="1:6" x14ac:dyDescent="0.2">
      <c r="A950" s="18" t="str">
        <f>IF(Productos!A950="","",Productos!A950)</f>
        <v/>
      </c>
      <c r="B950" s="18" t="str">
        <f>IF(Productos!B950="","",Productos!B950)</f>
        <v/>
      </c>
      <c r="C950" s="26" t="str">
        <f>IF(A950="","",Ventas!H950)</f>
        <v/>
      </c>
      <c r="D950" s="26" t="str">
        <f t="shared" si="42"/>
        <v/>
      </c>
      <c r="E950" s="26" t="str">
        <f t="shared" si="43"/>
        <v/>
      </c>
      <c r="F950" s="26" t="str">
        <f t="shared" si="44"/>
        <v/>
      </c>
    </row>
    <row r="951" spans="1:6" x14ac:dyDescent="0.2">
      <c r="A951" s="18" t="str">
        <f>IF(Productos!A951="","",Productos!A951)</f>
        <v/>
      </c>
      <c r="B951" s="18" t="str">
        <f>IF(Productos!B951="","",Productos!B951)</f>
        <v/>
      </c>
      <c r="C951" s="26" t="str">
        <f>IF(A951="","",Ventas!H951)</f>
        <v/>
      </c>
      <c r="D951" s="26" t="str">
        <f t="shared" si="42"/>
        <v/>
      </c>
      <c r="E951" s="26" t="str">
        <f t="shared" si="43"/>
        <v/>
      </c>
      <c r="F951" s="26" t="str">
        <f t="shared" si="44"/>
        <v/>
      </c>
    </row>
    <row r="952" spans="1:6" x14ac:dyDescent="0.2">
      <c r="A952" s="18" t="str">
        <f>IF(Productos!A952="","",Productos!A952)</f>
        <v/>
      </c>
      <c r="B952" s="18" t="str">
        <f>IF(Productos!B952="","",Productos!B952)</f>
        <v/>
      </c>
      <c r="C952" s="26" t="str">
        <f>IF(A952="","",Ventas!H952)</f>
        <v/>
      </c>
      <c r="D952" s="26" t="str">
        <f t="shared" si="42"/>
        <v/>
      </c>
      <c r="E952" s="26" t="str">
        <f t="shared" si="43"/>
        <v/>
      </c>
      <c r="F952" s="26" t="str">
        <f t="shared" si="44"/>
        <v/>
      </c>
    </row>
    <row r="953" spans="1:6" x14ac:dyDescent="0.2">
      <c r="A953" s="18" t="str">
        <f>IF(Productos!A953="","",Productos!A953)</f>
        <v/>
      </c>
      <c r="B953" s="18" t="str">
        <f>IF(Productos!B953="","",Productos!B953)</f>
        <v/>
      </c>
      <c r="C953" s="26" t="str">
        <f>IF(A953="","",Ventas!H953)</f>
        <v/>
      </c>
      <c r="D953" s="26" t="str">
        <f t="shared" si="42"/>
        <v/>
      </c>
      <c r="E953" s="26" t="str">
        <f t="shared" si="43"/>
        <v/>
      </c>
      <c r="F953" s="26" t="str">
        <f t="shared" si="44"/>
        <v/>
      </c>
    </row>
    <row r="954" spans="1:6" x14ac:dyDescent="0.2">
      <c r="A954" s="18" t="str">
        <f>IF(Productos!A954="","",Productos!A954)</f>
        <v/>
      </c>
      <c r="B954" s="18" t="str">
        <f>IF(Productos!B954="","",Productos!B954)</f>
        <v/>
      </c>
      <c r="C954" s="26" t="str">
        <f>IF(A954="","",Ventas!H954)</f>
        <v/>
      </c>
      <c r="D954" s="26" t="str">
        <f t="shared" si="42"/>
        <v/>
      </c>
      <c r="E954" s="26" t="str">
        <f t="shared" si="43"/>
        <v/>
      </c>
      <c r="F954" s="26" t="str">
        <f t="shared" si="44"/>
        <v/>
      </c>
    </row>
    <row r="955" spans="1:6" x14ac:dyDescent="0.2">
      <c r="A955" s="18" t="str">
        <f>IF(Productos!A955="","",Productos!A955)</f>
        <v/>
      </c>
      <c r="B955" s="18" t="str">
        <f>IF(Productos!B955="","",Productos!B955)</f>
        <v/>
      </c>
      <c r="C955" s="26" t="str">
        <f>IF(A955="","",Ventas!H955)</f>
        <v/>
      </c>
      <c r="D955" s="26" t="str">
        <f t="shared" si="42"/>
        <v/>
      </c>
      <c r="E955" s="26" t="str">
        <f t="shared" si="43"/>
        <v/>
      </c>
      <c r="F955" s="26" t="str">
        <f t="shared" si="44"/>
        <v/>
      </c>
    </row>
    <row r="956" spans="1:6" x14ac:dyDescent="0.2">
      <c r="A956" s="18" t="str">
        <f>IF(Productos!A956="","",Productos!A956)</f>
        <v/>
      </c>
      <c r="B956" s="18" t="str">
        <f>IF(Productos!B956="","",Productos!B956)</f>
        <v/>
      </c>
      <c r="C956" s="26" t="str">
        <f>IF(A956="","",Ventas!H956)</f>
        <v/>
      </c>
      <c r="D956" s="26" t="str">
        <f t="shared" si="42"/>
        <v/>
      </c>
      <c r="E956" s="26" t="str">
        <f t="shared" si="43"/>
        <v/>
      </c>
      <c r="F956" s="26" t="str">
        <f t="shared" si="44"/>
        <v/>
      </c>
    </row>
    <row r="957" spans="1:6" x14ac:dyDescent="0.2">
      <c r="A957" s="18" t="str">
        <f>IF(Productos!A957="","",Productos!A957)</f>
        <v/>
      </c>
      <c r="B957" s="18" t="str">
        <f>IF(Productos!B957="","",Productos!B957)</f>
        <v/>
      </c>
      <c r="C957" s="26" t="str">
        <f>IF(A957="","",Ventas!H957)</f>
        <v/>
      </c>
      <c r="D957" s="26" t="str">
        <f t="shared" si="42"/>
        <v/>
      </c>
      <c r="E957" s="26" t="str">
        <f t="shared" si="43"/>
        <v/>
      </c>
      <c r="F957" s="26" t="str">
        <f t="shared" si="44"/>
        <v/>
      </c>
    </row>
    <row r="958" spans="1:6" x14ac:dyDescent="0.2">
      <c r="A958" s="18" t="str">
        <f>IF(Productos!A958="","",Productos!A958)</f>
        <v/>
      </c>
      <c r="B958" s="18" t="str">
        <f>IF(Productos!B958="","",Productos!B958)</f>
        <v/>
      </c>
      <c r="C958" s="26" t="str">
        <f>IF(A958="","",Ventas!H958)</f>
        <v/>
      </c>
      <c r="D958" s="26" t="str">
        <f t="shared" si="42"/>
        <v/>
      </c>
      <c r="E958" s="26" t="str">
        <f t="shared" si="43"/>
        <v/>
      </c>
      <c r="F958" s="26" t="str">
        <f t="shared" si="44"/>
        <v/>
      </c>
    </row>
    <row r="959" spans="1:6" x14ac:dyDescent="0.2">
      <c r="A959" s="18" t="str">
        <f>IF(Productos!A959="","",Productos!A959)</f>
        <v/>
      </c>
      <c r="B959" s="18" t="str">
        <f>IF(Productos!B959="","",Productos!B959)</f>
        <v/>
      </c>
      <c r="C959" s="26" t="str">
        <f>IF(A959="","",Ventas!H959)</f>
        <v/>
      </c>
      <c r="D959" s="26" t="str">
        <f t="shared" si="42"/>
        <v/>
      </c>
      <c r="E959" s="26" t="str">
        <f t="shared" si="43"/>
        <v/>
      </c>
      <c r="F959" s="26" t="str">
        <f t="shared" si="44"/>
        <v/>
      </c>
    </row>
    <row r="960" spans="1:6" x14ac:dyDescent="0.2">
      <c r="A960" s="18" t="str">
        <f>IF(Productos!A960="","",Productos!A960)</f>
        <v/>
      </c>
      <c r="B960" s="18" t="str">
        <f>IF(Productos!B960="","",Productos!B960)</f>
        <v/>
      </c>
      <c r="C960" s="26" t="str">
        <f>IF(A960="","",Ventas!H960)</f>
        <v/>
      </c>
      <c r="D960" s="26" t="str">
        <f t="shared" si="42"/>
        <v/>
      </c>
      <c r="E960" s="26" t="str">
        <f t="shared" si="43"/>
        <v/>
      </c>
      <c r="F960" s="26" t="str">
        <f t="shared" si="44"/>
        <v/>
      </c>
    </row>
    <row r="961" spans="1:6" x14ac:dyDescent="0.2">
      <c r="A961" s="18" t="str">
        <f>IF(Productos!A961="","",Productos!A961)</f>
        <v/>
      </c>
      <c r="B961" s="18" t="str">
        <f>IF(Productos!B961="","",Productos!B961)</f>
        <v/>
      </c>
      <c r="C961" s="26" t="str">
        <f>IF(A961="","",Ventas!H961)</f>
        <v/>
      </c>
      <c r="D961" s="26" t="str">
        <f t="shared" si="42"/>
        <v/>
      </c>
      <c r="E961" s="26" t="str">
        <f t="shared" si="43"/>
        <v/>
      </c>
      <c r="F961" s="26" t="str">
        <f t="shared" si="44"/>
        <v/>
      </c>
    </row>
    <row r="962" spans="1:6" x14ac:dyDescent="0.2">
      <c r="A962" s="18" t="str">
        <f>IF(Productos!A962="","",Productos!A962)</f>
        <v/>
      </c>
      <c r="B962" s="18" t="str">
        <f>IF(Productos!B962="","",Productos!B962)</f>
        <v/>
      </c>
      <c r="C962" s="26" t="str">
        <f>IF(A962="","",Ventas!H962)</f>
        <v/>
      </c>
      <c r="D962" s="26" t="str">
        <f t="shared" si="42"/>
        <v/>
      </c>
      <c r="E962" s="26" t="str">
        <f t="shared" si="43"/>
        <v/>
      </c>
      <c r="F962" s="26" t="str">
        <f t="shared" si="44"/>
        <v/>
      </c>
    </row>
    <row r="963" spans="1:6" x14ac:dyDescent="0.2">
      <c r="A963" s="18" t="str">
        <f>IF(Productos!A963="","",Productos!A963)</f>
        <v/>
      </c>
      <c r="B963" s="18" t="str">
        <f>IF(Productos!B963="","",Productos!B963)</f>
        <v/>
      </c>
      <c r="C963" s="26" t="str">
        <f>IF(A963="","",Ventas!H963)</f>
        <v/>
      </c>
      <c r="D963" s="26" t="str">
        <f t="shared" ref="D963:D1000" si="45">IF(A963="","",ROUND(C963/3,2))</f>
        <v/>
      </c>
      <c r="E963" s="26" t="str">
        <f t="shared" ref="E963:E1000" si="46">IF(A963="","",ROUND(C963/3,2))</f>
        <v/>
      </c>
      <c r="F963" s="26" t="str">
        <f t="shared" ref="F963:F1000" si="47">IF(A963="","",C963-D963-E963)</f>
        <v/>
      </c>
    </row>
    <row r="964" spans="1:6" x14ac:dyDescent="0.2">
      <c r="A964" s="18" t="str">
        <f>IF(Productos!A964="","",Productos!A964)</f>
        <v/>
      </c>
      <c r="B964" s="18" t="str">
        <f>IF(Productos!B964="","",Productos!B964)</f>
        <v/>
      </c>
      <c r="C964" s="26" t="str">
        <f>IF(A964="","",Ventas!H964)</f>
        <v/>
      </c>
      <c r="D964" s="26" t="str">
        <f t="shared" si="45"/>
        <v/>
      </c>
      <c r="E964" s="26" t="str">
        <f t="shared" si="46"/>
        <v/>
      </c>
      <c r="F964" s="26" t="str">
        <f t="shared" si="47"/>
        <v/>
      </c>
    </row>
    <row r="965" spans="1:6" x14ac:dyDescent="0.2">
      <c r="A965" s="18" t="str">
        <f>IF(Productos!A965="","",Productos!A965)</f>
        <v/>
      </c>
      <c r="B965" s="18" t="str">
        <f>IF(Productos!B965="","",Productos!B965)</f>
        <v/>
      </c>
      <c r="C965" s="26" t="str">
        <f>IF(A965="","",Ventas!H965)</f>
        <v/>
      </c>
      <c r="D965" s="26" t="str">
        <f t="shared" si="45"/>
        <v/>
      </c>
      <c r="E965" s="26" t="str">
        <f t="shared" si="46"/>
        <v/>
      </c>
      <c r="F965" s="26" t="str">
        <f t="shared" si="47"/>
        <v/>
      </c>
    </row>
    <row r="966" spans="1:6" x14ac:dyDescent="0.2">
      <c r="A966" s="18" t="str">
        <f>IF(Productos!A966="","",Productos!A966)</f>
        <v/>
      </c>
      <c r="B966" s="18" t="str">
        <f>IF(Productos!B966="","",Productos!B966)</f>
        <v/>
      </c>
      <c r="C966" s="26" t="str">
        <f>IF(A966="","",Ventas!H966)</f>
        <v/>
      </c>
      <c r="D966" s="26" t="str">
        <f t="shared" si="45"/>
        <v/>
      </c>
      <c r="E966" s="26" t="str">
        <f t="shared" si="46"/>
        <v/>
      </c>
      <c r="F966" s="26" t="str">
        <f t="shared" si="47"/>
        <v/>
      </c>
    </row>
    <row r="967" spans="1:6" x14ac:dyDescent="0.2">
      <c r="A967" s="18" t="str">
        <f>IF(Productos!A967="","",Productos!A967)</f>
        <v/>
      </c>
      <c r="B967" s="18" t="str">
        <f>IF(Productos!B967="","",Productos!B967)</f>
        <v/>
      </c>
      <c r="C967" s="26" t="str">
        <f>IF(A967="","",Ventas!H967)</f>
        <v/>
      </c>
      <c r="D967" s="26" t="str">
        <f t="shared" si="45"/>
        <v/>
      </c>
      <c r="E967" s="26" t="str">
        <f t="shared" si="46"/>
        <v/>
      </c>
      <c r="F967" s="26" t="str">
        <f t="shared" si="47"/>
        <v/>
      </c>
    </row>
    <row r="968" spans="1:6" x14ac:dyDescent="0.2">
      <c r="A968" s="18" t="str">
        <f>IF(Productos!A968="","",Productos!A968)</f>
        <v/>
      </c>
      <c r="B968" s="18" t="str">
        <f>IF(Productos!B968="","",Productos!B968)</f>
        <v/>
      </c>
      <c r="C968" s="26" t="str">
        <f>IF(A968="","",Ventas!H968)</f>
        <v/>
      </c>
      <c r="D968" s="26" t="str">
        <f t="shared" si="45"/>
        <v/>
      </c>
      <c r="E968" s="26" t="str">
        <f t="shared" si="46"/>
        <v/>
      </c>
      <c r="F968" s="26" t="str">
        <f t="shared" si="47"/>
        <v/>
      </c>
    </row>
    <row r="969" spans="1:6" x14ac:dyDescent="0.2">
      <c r="A969" s="18" t="str">
        <f>IF(Productos!A969="","",Productos!A969)</f>
        <v/>
      </c>
      <c r="B969" s="18" t="str">
        <f>IF(Productos!B969="","",Productos!B969)</f>
        <v/>
      </c>
      <c r="C969" s="26" t="str">
        <f>IF(A969="","",Ventas!H969)</f>
        <v/>
      </c>
      <c r="D969" s="26" t="str">
        <f t="shared" si="45"/>
        <v/>
      </c>
      <c r="E969" s="26" t="str">
        <f t="shared" si="46"/>
        <v/>
      </c>
      <c r="F969" s="26" t="str">
        <f t="shared" si="47"/>
        <v/>
      </c>
    </row>
    <row r="970" spans="1:6" x14ac:dyDescent="0.2">
      <c r="A970" s="18" t="str">
        <f>IF(Productos!A970="","",Productos!A970)</f>
        <v/>
      </c>
      <c r="B970" s="18" t="str">
        <f>IF(Productos!B970="","",Productos!B970)</f>
        <v/>
      </c>
      <c r="C970" s="26" t="str">
        <f>IF(A970="","",Ventas!H970)</f>
        <v/>
      </c>
      <c r="D970" s="26" t="str">
        <f t="shared" si="45"/>
        <v/>
      </c>
      <c r="E970" s="26" t="str">
        <f t="shared" si="46"/>
        <v/>
      </c>
      <c r="F970" s="26" t="str">
        <f t="shared" si="47"/>
        <v/>
      </c>
    </row>
    <row r="971" spans="1:6" x14ac:dyDescent="0.2">
      <c r="A971" s="18" t="str">
        <f>IF(Productos!A971="","",Productos!A971)</f>
        <v/>
      </c>
      <c r="B971" s="18" t="str">
        <f>IF(Productos!B971="","",Productos!B971)</f>
        <v/>
      </c>
      <c r="C971" s="26" t="str">
        <f>IF(A971="","",Ventas!H971)</f>
        <v/>
      </c>
      <c r="D971" s="26" t="str">
        <f t="shared" si="45"/>
        <v/>
      </c>
      <c r="E971" s="26" t="str">
        <f t="shared" si="46"/>
        <v/>
      </c>
      <c r="F971" s="26" t="str">
        <f t="shared" si="47"/>
        <v/>
      </c>
    </row>
    <row r="972" spans="1:6" x14ac:dyDescent="0.2">
      <c r="A972" s="18" t="str">
        <f>IF(Productos!A972="","",Productos!A972)</f>
        <v/>
      </c>
      <c r="B972" s="18" t="str">
        <f>IF(Productos!B972="","",Productos!B972)</f>
        <v/>
      </c>
      <c r="C972" s="26" t="str">
        <f>IF(A972="","",Ventas!H972)</f>
        <v/>
      </c>
      <c r="D972" s="26" t="str">
        <f t="shared" si="45"/>
        <v/>
      </c>
      <c r="E972" s="26" t="str">
        <f t="shared" si="46"/>
        <v/>
      </c>
      <c r="F972" s="26" t="str">
        <f t="shared" si="47"/>
        <v/>
      </c>
    </row>
    <row r="973" spans="1:6" x14ac:dyDescent="0.2">
      <c r="A973" s="18" t="str">
        <f>IF(Productos!A973="","",Productos!A973)</f>
        <v/>
      </c>
      <c r="B973" s="18" t="str">
        <f>IF(Productos!B973="","",Productos!B973)</f>
        <v/>
      </c>
      <c r="C973" s="26" t="str">
        <f>IF(A973="","",Ventas!H973)</f>
        <v/>
      </c>
      <c r="D973" s="26" t="str">
        <f t="shared" si="45"/>
        <v/>
      </c>
      <c r="E973" s="26" t="str">
        <f t="shared" si="46"/>
        <v/>
      </c>
      <c r="F973" s="26" t="str">
        <f t="shared" si="47"/>
        <v/>
      </c>
    </row>
    <row r="974" spans="1:6" x14ac:dyDescent="0.2">
      <c r="A974" s="18" t="str">
        <f>IF(Productos!A974="","",Productos!A974)</f>
        <v/>
      </c>
      <c r="B974" s="18" t="str">
        <f>IF(Productos!B974="","",Productos!B974)</f>
        <v/>
      </c>
      <c r="C974" s="26" t="str">
        <f>IF(A974="","",Ventas!H974)</f>
        <v/>
      </c>
      <c r="D974" s="26" t="str">
        <f t="shared" si="45"/>
        <v/>
      </c>
      <c r="E974" s="26" t="str">
        <f t="shared" si="46"/>
        <v/>
      </c>
      <c r="F974" s="26" t="str">
        <f t="shared" si="47"/>
        <v/>
      </c>
    </row>
    <row r="975" spans="1:6" x14ac:dyDescent="0.2">
      <c r="A975" s="18" t="str">
        <f>IF(Productos!A975="","",Productos!A975)</f>
        <v/>
      </c>
      <c r="B975" s="18" t="str">
        <f>IF(Productos!B975="","",Productos!B975)</f>
        <v/>
      </c>
      <c r="C975" s="26" t="str">
        <f>IF(A975="","",Ventas!H975)</f>
        <v/>
      </c>
      <c r="D975" s="26" t="str">
        <f t="shared" si="45"/>
        <v/>
      </c>
      <c r="E975" s="26" t="str">
        <f t="shared" si="46"/>
        <v/>
      </c>
      <c r="F975" s="26" t="str">
        <f t="shared" si="47"/>
        <v/>
      </c>
    </row>
    <row r="976" spans="1:6" x14ac:dyDescent="0.2">
      <c r="A976" s="18" t="str">
        <f>IF(Productos!A976="","",Productos!A976)</f>
        <v/>
      </c>
      <c r="B976" s="18" t="str">
        <f>IF(Productos!B976="","",Productos!B976)</f>
        <v/>
      </c>
      <c r="C976" s="26" t="str">
        <f>IF(A976="","",Ventas!H976)</f>
        <v/>
      </c>
      <c r="D976" s="26" t="str">
        <f t="shared" si="45"/>
        <v/>
      </c>
      <c r="E976" s="26" t="str">
        <f t="shared" si="46"/>
        <v/>
      </c>
      <c r="F976" s="26" t="str">
        <f t="shared" si="47"/>
        <v/>
      </c>
    </row>
    <row r="977" spans="1:6" x14ac:dyDescent="0.2">
      <c r="A977" s="18" t="str">
        <f>IF(Productos!A977="","",Productos!A977)</f>
        <v/>
      </c>
      <c r="B977" s="18" t="str">
        <f>IF(Productos!B977="","",Productos!B977)</f>
        <v/>
      </c>
      <c r="C977" s="26" t="str">
        <f>IF(A977="","",Ventas!H977)</f>
        <v/>
      </c>
      <c r="D977" s="26" t="str">
        <f t="shared" si="45"/>
        <v/>
      </c>
      <c r="E977" s="26" t="str">
        <f t="shared" si="46"/>
        <v/>
      </c>
      <c r="F977" s="26" t="str">
        <f t="shared" si="47"/>
        <v/>
      </c>
    </row>
    <row r="978" spans="1:6" x14ac:dyDescent="0.2">
      <c r="A978" s="18" t="str">
        <f>IF(Productos!A978="","",Productos!A978)</f>
        <v/>
      </c>
      <c r="B978" s="18" t="str">
        <f>IF(Productos!B978="","",Productos!B978)</f>
        <v/>
      </c>
      <c r="C978" s="26" t="str">
        <f>IF(A978="","",Ventas!H978)</f>
        <v/>
      </c>
      <c r="D978" s="26" t="str">
        <f t="shared" si="45"/>
        <v/>
      </c>
      <c r="E978" s="26" t="str">
        <f t="shared" si="46"/>
        <v/>
      </c>
      <c r="F978" s="26" t="str">
        <f t="shared" si="47"/>
        <v/>
      </c>
    </row>
    <row r="979" spans="1:6" x14ac:dyDescent="0.2">
      <c r="A979" s="18" t="str">
        <f>IF(Productos!A979="","",Productos!A979)</f>
        <v/>
      </c>
      <c r="B979" s="18" t="str">
        <f>IF(Productos!B979="","",Productos!B979)</f>
        <v/>
      </c>
      <c r="C979" s="26" t="str">
        <f>IF(A979="","",Ventas!H979)</f>
        <v/>
      </c>
      <c r="D979" s="26" t="str">
        <f t="shared" si="45"/>
        <v/>
      </c>
      <c r="E979" s="26" t="str">
        <f t="shared" si="46"/>
        <v/>
      </c>
      <c r="F979" s="26" t="str">
        <f t="shared" si="47"/>
        <v/>
      </c>
    </row>
    <row r="980" spans="1:6" x14ac:dyDescent="0.2">
      <c r="A980" s="18" t="str">
        <f>IF(Productos!A980="","",Productos!A980)</f>
        <v/>
      </c>
      <c r="B980" s="18" t="str">
        <f>IF(Productos!B980="","",Productos!B980)</f>
        <v/>
      </c>
      <c r="C980" s="26" t="str">
        <f>IF(A980="","",Ventas!H980)</f>
        <v/>
      </c>
      <c r="D980" s="26" t="str">
        <f t="shared" si="45"/>
        <v/>
      </c>
      <c r="E980" s="26" t="str">
        <f t="shared" si="46"/>
        <v/>
      </c>
      <c r="F980" s="26" t="str">
        <f t="shared" si="47"/>
        <v/>
      </c>
    </row>
    <row r="981" spans="1:6" x14ac:dyDescent="0.2">
      <c r="A981" s="18" t="str">
        <f>IF(Productos!A981="","",Productos!A981)</f>
        <v/>
      </c>
      <c r="B981" s="18" t="str">
        <f>IF(Productos!B981="","",Productos!B981)</f>
        <v/>
      </c>
      <c r="C981" s="26" t="str">
        <f>IF(A981="","",Ventas!H981)</f>
        <v/>
      </c>
      <c r="D981" s="26" t="str">
        <f t="shared" si="45"/>
        <v/>
      </c>
      <c r="E981" s="26" t="str">
        <f t="shared" si="46"/>
        <v/>
      </c>
      <c r="F981" s="26" t="str">
        <f t="shared" si="47"/>
        <v/>
      </c>
    </row>
    <row r="982" spans="1:6" x14ac:dyDescent="0.2">
      <c r="A982" s="18" t="str">
        <f>IF(Productos!A982="","",Productos!A982)</f>
        <v/>
      </c>
      <c r="B982" s="18" t="str">
        <f>IF(Productos!B982="","",Productos!B982)</f>
        <v/>
      </c>
      <c r="C982" s="26" t="str">
        <f>IF(A982="","",Ventas!H982)</f>
        <v/>
      </c>
      <c r="D982" s="26" t="str">
        <f t="shared" si="45"/>
        <v/>
      </c>
      <c r="E982" s="26" t="str">
        <f t="shared" si="46"/>
        <v/>
      </c>
      <c r="F982" s="26" t="str">
        <f t="shared" si="47"/>
        <v/>
      </c>
    </row>
    <row r="983" spans="1:6" x14ac:dyDescent="0.2">
      <c r="A983" s="18" t="str">
        <f>IF(Productos!A983="","",Productos!A983)</f>
        <v/>
      </c>
      <c r="B983" s="18" t="str">
        <f>IF(Productos!B983="","",Productos!B983)</f>
        <v/>
      </c>
      <c r="C983" s="26" t="str">
        <f>IF(A983="","",Ventas!H983)</f>
        <v/>
      </c>
      <c r="D983" s="26" t="str">
        <f t="shared" si="45"/>
        <v/>
      </c>
      <c r="E983" s="26" t="str">
        <f t="shared" si="46"/>
        <v/>
      </c>
      <c r="F983" s="26" t="str">
        <f t="shared" si="47"/>
        <v/>
      </c>
    </row>
    <row r="984" spans="1:6" x14ac:dyDescent="0.2">
      <c r="A984" s="18" t="str">
        <f>IF(Productos!A984="","",Productos!A984)</f>
        <v/>
      </c>
      <c r="B984" s="18" t="str">
        <f>IF(Productos!B984="","",Productos!B984)</f>
        <v/>
      </c>
      <c r="C984" s="26" t="str">
        <f>IF(A984="","",Ventas!H984)</f>
        <v/>
      </c>
      <c r="D984" s="26" t="str">
        <f t="shared" si="45"/>
        <v/>
      </c>
      <c r="E984" s="26" t="str">
        <f t="shared" si="46"/>
        <v/>
      </c>
      <c r="F984" s="26" t="str">
        <f t="shared" si="47"/>
        <v/>
      </c>
    </row>
    <row r="985" spans="1:6" x14ac:dyDescent="0.2">
      <c r="A985" s="18" t="str">
        <f>IF(Productos!A985="","",Productos!A985)</f>
        <v/>
      </c>
      <c r="B985" s="18" t="str">
        <f>IF(Productos!B985="","",Productos!B985)</f>
        <v/>
      </c>
      <c r="C985" s="26" t="str">
        <f>IF(A985="","",Ventas!H985)</f>
        <v/>
      </c>
      <c r="D985" s="26" t="str">
        <f t="shared" si="45"/>
        <v/>
      </c>
      <c r="E985" s="26" t="str">
        <f t="shared" si="46"/>
        <v/>
      </c>
      <c r="F985" s="26" t="str">
        <f t="shared" si="47"/>
        <v/>
      </c>
    </row>
    <row r="986" spans="1:6" x14ac:dyDescent="0.2">
      <c r="A986" s="18" t="str">
        <f>IF(Productos!A986="","",Productos!A986)</f>
        <v/>
      </c>
      <c r="B986" s="18" t="str">
        <f>IF(Productos!B986="","",Productos!B986)</f>
        <v/>
      </c>
      <c r="C986" s="26" t="str">
        <f>IF(A986="","",Ventas!H986)</f>
        <v/>
      </c>
      <c r="D986" s="26" t="str">
        <f t="shared" si="45"/>
        <v/>
      </c>
      <c r="E986" s="26" t="str">
        <f t="shared" si="46"/>
        <v/>
      </c>
      <c r="F986" s="26" t="str">
        <f t="shared" si="47"/>
        <v/>
      </c>
    </row>
    <row r="987" spans="1:6" x14ac:dyDescent="0.2">
      <c r="A987" s="18" t="str">
        <f>IF(Productos!A987="","",Productos!A987)</f>
        <v/>
      </c>
      <c r="B987" s="18" t="str">
        <f>IF(Productos!B987="","",Productos!B987)</f>
        <v/>
      </c>
      <c r="C987" s="26" t="str">
        <f>IF(A987="","",Ventas!H987)</f>
        <v/>
      </c>
      <c r="D987" s="26" t="str">
        <f t="shared" si="45"/>
        <v/>
      </c>
      <c r="E987" s="26" t="str">
        <f t="shared" si="46"/>
        <v/>
      </c>
      <c r="F987" s="26" t="str">
        <f t="shared" si="47"/>
        <v/>
      </c>
    </row>
    <row r="988" spans="1:6" x14ac:dyDescent="0.2">
      <c r="A988" s="18" t="str">
        <f>IF(Productos!A988="","",Productos!A988)</f>
        <v/>
      </c>
      <c r="B988" s="18" t="str">
        <f>IF(Productos!B988="","",Productos!B988)</f>
        <v/>
      </c>
      <c r="C988" s="26" t="str">
        <f>IF(A988="","",Ventas!H988)</f>
        <v/>
      </c>
      <c r="D988" s="26" t="str">
        <f t="shared" si="45"/>
        <v/>
      </c>
      <c r="E988" s="26" t="str">
        <f t="shared" si="46"/>
        <v/>
      </c>
      <c r="F988" s="26" t="str">
        <f t="shared" si="47"/>
        <v/>
      </c>
    </row>
    <row r="989" spans="1:6" x14ac:dyDescent="0.2">
      <c r="A989" s="18" t="str">
        <f>IF(Productos!A989="","",Productos!A989)</f>
        <v/>
      </c>
      <c r="B989" s="18" t="str">
        <f>IF(Productos!B989="","",Productos!B989)</f>
        <v/>
      </c>
      <c r="C989" s="26" t="str">
        <f>IF(A989="","",Ventas!H989)</f>
        <v/>
      </c>
      <c r="D989" s="26" t="str">
        <f t="shared" si="45"/>
        <v/>
      </c>
      <c r="E989" s="26" t="str">
        <f t="shared" si="46"/>
        <v/>
      </c>
      <c r="F989" s="26" t="str">
        <f t="shared" si="47"/>
        <v/>
      </c>
    </row>
    <row r="990" spans="1:6" x14ac:dyDescent="0.2">
      <c r="A990" s="18" t="str">
        <f>IF(Productos!A990="","",Productos!A990)</f>
        <v/>
      </c>
      <c r="B990" s="18" t="str">
        <f>IF(Productos!B990="","",Productos!B990)</f>
        <v/>
      </c>
      <c r="C990" s="26" t="str">
        <f>IF(A990="","",Ventas!H990)</f>
        <v/>
      </c>
      <c r="D990" s="26" t="str">
        <f t="shared" si="45"/>
        <v/>
      </c>
      <c r="E990" s="26" t="str">
        <f t="shared" si="46"/>
        <v/>
      </c>
      <c r="F990" s="26" t="str">
        <f t="shared" si="47"/>
        <v/>
      </c>
    </row>
    <row r="991" spans="1:6" x14ac:dyDescent="0.2">
      <c r="A991" s="18" t="str">
        <f>IF(Productos!A991="","",Productos!A991)</f>
        <v/>
      </c>
      <c r="B991" s="18" t="str">
        <f>IF(Productos!B991="","",Productos!B991)</f>
        <v/>
      </c>
      <c r="C991" s="26" t="str">
        <f>IF(A991="","",Ventas!H991)</f>
        <v/>
      </c>
      <c r="D991" s="26" t="str">
        <f t="shared" si="45"/>
        <v/>
      </c>
      <c r="E991" s="26" t="str">
        <f t="shared" si="46"/>
        <v/>
      </c>
      <c r="F991" s="26" t="str">
        <f t="shared" si="47"/>
        <v/>
      </c>
    </row>
    <row r="992" spans="1:6" x14ac:dyDescent="0.2">
      <c r="A992" s="18" t="str">
        <f>IF(Productos!A992="","",Productos!A992)</f>
        <v/>
      </c>
      <c r="B992" s="18" t="str">
        <f>IF(Productos!B992="","",Productos!B992)</f>
        <v/>
      </c>
      <c r="C992" s="26" t="str">
        <f>IF(A992="","",Ventas!H992)</f>
        <v/>
      </c>
      <c r="D992" s="26" t="str">
        <f t="shared" si="45"/>
        <v/>
      </c>
      <c r="E992" s="26" t="str">
        <f t="shared" si="46"/>
        <v/>
      </c>
      <c r="F992" s="26" t="str">
        <f t="shared" si="47"/>
        <v/>
      </c>
    </row>
    <row r="993" spans="1:6" x14ac:dyDescent="0.2">
      <c r="A993" s="18" t="str">
        <f>IF(Productos!A993="","",Productos!A993)</f>
        <v/>
      </c>
      <c r="B993" s="18" t="str">
        <f>IF(Productos!B993="","",Productos!B993)</f>
        <v/>
      </c>
      <c r="C993" s="26" t="str">
        <f>IF(A993="","",Ventas!H993)</f>
        <v/>
      </c>
      <c r="D993" s="26" t="str">
        <f t="shared" si="45"/>
        <v/>
      </c>
      <c r="E993" s="26" t="str">
        <f t="shared" si="46"/>
        <v/>
      </c>
      <c r="F993" s="26" t="str">
        <f t="shared" si="47"/>
        <v/>
      </c>
    </row>
    <row r="994" spans="1:6" x14ac:dyDescent="0.2">
      <c r="A994" s="18" t="str">
        <f>IF(Productos!A994="","",Productos!A994)</f>
        <v/>
      </c>
      <c r="B994" s="18" t="str">
        <f>IF(Productos!B994="","",Productos!B994)</f>
        <v/>
      </c>
      <c r="C994" s="26" t="str">
        <f>IF(A994="","",Ventas!H994)</f>
        <v/>
      </c>
      <c r="D994" s="26" t="str">
        <f t="shared" si="45"/>
        <v/>
      </c>
      <c r="E994" s="26" t="str">
        <f t="shared" si="46"/>
        <v/>
      </c>
      <c r="F994" s="26" t="str">
        <f t="shared" si="47"/>
        <v/>
      </c>
    </row>
    <row r="995" spans="1:6" x14ac:dyDescent="0.2">
      <c r="A995" s="18" t="str">
        <f>IF(Productos!A995="","",Productos!A995)</f>
        <v/>
      </c>
      <c r="B995" s="18" t="str">
        <f>IF(Productos!B995="","",Productos!B995)</f>
        <v/>
      </c>
      <c r="C995" s="26" t="str">
        <f>IF(A995="","",Ventas!H995)</f>
        <v/>
      </c>
      <c r="D995" s="26" t="str">
        <f t="shared" si="45"/>
        <v/>
      </c>
      <c r="E995" s="26" t="str">
        <f t="shared" si="46"/>
        <v/>
      </c>
      <c r="F995" s="26" t="str">
        <f t="shared" si="47"/>
        <v/>
      </c>
    </row>
    <row r="996" spans="1:6" x14ac:dyDescent="0.2">
      <c r="A996" s="18" t="str">
        <f>IF(Productos!A996="","",Productos!A996)</f>
        <v/>
      </c>
      <c r="B996" s="18" t="str">
        <f>IF(Productos!B996="","",Productos!B996)</f>
        <v/>
      </c>
      <c r="C996" s="26" t="str">
        <f>IF(A996="","",Ventas!H996)</f>
        <v/>
      </c>
      <c r="D996" s="26" t="str">
        <f t="shared" si="45"/>
        <v/>
      </c>
      <c r="E996" s="26" t="str">
        <f t="shared" si="46"/>
        <v/>
      </c>
      <c r="F996" s="26" t="str">
        <f t="shared" si="47"/>
        <v/>
      </c>
    </row>
    <row r="997" spans="1:6" x14ac:dyDescent="0.2">
      <c r="A997" s="18" t="str">
        <f>IF(Productos!A997="","",Productos!A997)</f>
        <v/>
      </c>
      <c r="B997" s="18" t="str">
        <f>IF(Productos!B997="","",Productos!B997)</f>
        <v/>
      </c>
      <c r="C997" s="26" t="str">
        <f>IF(A997="","",Ventas!H997)</f>
        <v/>
      </c>
      <c r="D997" s="26" t="str">
        <f t="shared" si="45"/>
        <v/>
      </c>
      <c r="E997" s="26" t="str">
        <f t="shared" si="46"/>
        <v/>
      </c>
      <c r="F997" s="26" t="str">
        <f t="shared" si="47"/>
        <v/>
      </c>
    </row>
    <row r="998" spans="1:6" x14ac:dyDescent="0.2">
      <c r="A998" s="18" t="str">
        <f>IF(Productos!A998="","",Productos!A998)</f>
        <v/>
      </c>
      <c r="B998" s="18" t="str">
        <f>IF(Productos!B998="","",Productos!B998)</f>
        <v/>
      </c>
      <c r="C998" s="26" t="str">
        <f>IF(A998="","",Ventas!H998)</f>
        <v/>
      </c>
      <c r="D998" s="26" t="str">
        <f t="shared" si="45"/>
        <v/>
      </c>
      <c r="E998" s="26" t="str">
        <f t="shared" si="46"/>
        <v/>
      </c>
      <c r="F998" s="26" t="str">
        <f t="shared" si="47"/>
        <v/>
      </c>
    </row>
    <row r="999" spans="1:6" x14ac:dyDescent="0.2">
      <c r="A999" s="18" t="str">
        <f>IF(Productos!A999="","",Productos!A999)</f>
        <v/>
      </c>
      <c r="B999" s="18" t="str">
        <f>IF(Productos!B999="","",Productos!B999)</f>
        <v/>
      </c>
      <c r="C999" s="26" t="str">
        <f>IF(A999="","",Ventas!H999)</f>
        <v/>
      </c>
      <c r="D999" s="26" t="str">
        <f t="shared" si="45"/>
        <v/>
      </c>
      <c r="E999" s="26" t="str">
        <f t="shared" si="46"/>
        <v/>
      </c>
      <c r="F999" s="26" t="str">
        <f t="shared" si="47"/>
        <v/>
      </c>
    </row>
    <row r="1000" spans="1:6" x14ac:dyDescent="0.2">
      <c r="A1000" s="18" t="str">
        <f>IF(Productos!A1000="","",Productos!A1000)</f>
        <v/>
      </c>
      <c r="B1000" s="18" t="str">
        <f>IF(Productos!B1000="","",Productos!B1000)</f>
        <v/>
      </c>
      <c r="C1000" s="26" t="str">
        <f>IF(A1000="","",Ventas!H1000)</f>
        <v/>
      </c>
      <c r="D1000" s="26" t="str">
        <f t="shared" si="45"/>
        <v/>
      </c>
      <c r="E1000" s="26" t="str">
        <f t="shared" si="46"/>
        <v/>
      </c>
      <c r="F1000" s="26" t="str">
        <f t="shared" si="47"/>
        <v/>
      </c>
    </row>
    <row r="1002" spans="1:6" x14ac:dyDescent="0.2">
      <c r="B1002" s="4" t="s">
        <v>51</v>
      </c>
      <c r="C1002" s="53">
        <f>SUM(C$2:C1000)</f>
        <v>2310.9085875364945</v>
      </c>
      <c r="D1002" s="52">
        <f>SUM(D$2:D1000)</f>
        <v>770.30999999999983</v>
      </c>
      <c r="E1002" s="52">
        <f>SUM(E$2:E1000)</f>
        <v>770.30999999999983</v>
      </c>
      <c r="F1002" s="52">
        <f>SUM(F$2:F1000)</f>
        <v>770.28858753649467</v>
      </c>
    </row>
  </sheetData>
  <autoFilter ref="A1:F197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G9" sqref="G9"/>
    </sheetView>
  </sheetViews>
  <sheetFormatPr baseColWidth="10" defaultColWidth="8.6640625" defaultRowHeight="15" x14ac:dyDescent="0.2"/>
  <cols>
    <col min="1" max="1" width="81.83203125" customWidth="1"/>
  </cols>
  <sheetData>
    <row r="1" spans="1:4" ht="19" customHeight="1" x14ac:dyDescent="0.25">
      <c r="A1" s="41" t="s">
        <v>52</v>
      </c>
      <c r="B1" s="38"/>
      <c r="C1" s="38"/>
      <c r="D1" s="38"/>
    </row>
    <row r="3" spans="1:4" x14ac:dyDescent="0.2">
      <c r="A3" s="6" t="s">
        <v>53</v>
      </c>
    </row>
    <row r="4" spans="1:4" x14ac:dyDescent="0.2">
      <c r="A4" t="s">
        <v>54</v>
      </c>
    </row>
    <row r="5" spans="1:4" x14ac:dyDescent="0.2">
      <c r="A5" t="s">
        <v>55</v>
      </c>
    </row>
    <row r="6" spans="1:4" x14ac:dyDescent="0.2">
      <c r="A6" t="s">
        <v>56</v>
      </c>
    </row>
    <row r="7" spans="1:4" x14ac:dyDescent="0.2">
      <c r="A7" t="s">
        <v>57</v>
      </c>
    </row>
    <row r="8" spans="1:4" x14ac:dyDescent="0.2">
      <c r="A8" t="s">
        <v>58</v>
      </c>
    </row>
    <row r="10" spans="1:4" x14ac:dyDescent="0.2">
      <c r="A10" s="7" t="s">
        <v>59</v>
      </c>
    </row>
    <row r="11" spans="1:4" x14ac:dyDescent="0.2">
      <c r="A11" t="s">
        <v>60</v>
      </c>
    </row>
    <row r="12" spans="1:4" x14ac:dyDescent="0.2">
      <c r="A12" t="s">
        <v>61</v>
      </c>
    </row>
    <row r="14" spans="1:4" x14ac:dyDescent="0.2">
      <c r="A14" s="8" t="s">
        <v>62</v>
      </c>
    </row>
    <row r="15" spans="1:4" x14ac:dyDescent="0.2">
      <c r="A15" t="s">
        <v>63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G26" sqref="G26"/>
    </sheetView>
  </sheetViews>
  <sheetFormatPr baseColWidth="10" defaultColWidth="11.5" defaultRowHeight="15" x14ac:dyDescent="0.2"/>
  <cols>
    <col min="1" max="1" width="21.83203125" customWidth="1"/>
    <col min="2" max="2" width="15.5" customWidth="1"/>
    <col min="3" max="3" width="13.5" customWidth="1"/>
    <col min="4" max="4" width="15.5" customWidth="1"/>
    <col min="5" max="5" width="13.5" customWidth="1"/>
    <col min="6" max="6" width="15.5" customWidth="1"/>
    <col min="7" max="7" width="13.5" customWidth="1"/>
    <col min="8" max="8" width="15.5" customWidth="1"/>
    <col min="9" max="9" width="13.5" customWidth="1"/>
  </cols>
  <sheetData>
    <row r="1" spans="1:9" ht="30" customHeight="1" x14ac:dyDescent="0.25">
      <c r="A1" s="42" t="s">
        <v>64</v>
      </c>
      <c r="B1" s="38"/>
      <c r="C1" s="38"/>
      <c r="D1" s="38"/>
      <c r="E1" s="38"/>
      <c r="F1" s="38"/>
      <c r="G1" s="38"/>
      <c r="H1" s="38"/>
      <c r="I1" s="38"/>
    </row>
    <row r="2" spans="1:9" x14ac:dyDescent="0.2">
      <c r="A2" t="s">
        <v>65</v>
      </c>
      <c r="B2" t="s">
        <v>66</v>
      </c>
      <c r="C2" t="s">
        <v>67</v>
      </c>
      <c r="D2" t="s">
        <v>68</v>
      </c>
      <c r="E2" t="s">
        <v>67</v>
      </c>
      <c r="F2" t="s">
        <v>69</v>
      </c>
      <c r="G2" t="s">
        <v>67</v>
      </c>
      <c r="H2" t="s">
        <v>70</v>
      </c>
      <c r="I2" t="s">
        <v>67</v>
      </c>
    </row>
    <row r="3" spans="1:9" x14ac:dyDescent="0.2">
      <c r="A3" s="9"/>
      <c r="B3" s="9"/>
      <c r="C3" s="9"/>
      <c r="D3" s="9"/>
      <c r="E3" s="9"/>
      <c r="F3" s="9"/>
      <c r="G3" s="9"/>
      <c r="H3" s="9"/>
      <c r="I3" s="9"/>
    </row>
    <row r="4" spans="1:9" x14ac:dyDescent="0.2">
      <c r="A4" s="10"/>
      <c r="B4" s="11"/>
      <c r="C4" s="12"/>
      <c r="D4" s="11"/>
      <c r="E4" s="12"/>
      <c r="F4" s="11"/>
      <c r="G4" s="12"/>
      <c r="H4" s="11"/>
      <c r="I4" s="12"/>
    </row>
    <row r="5" spans="1:9" x14ac:dyDescent="0.2">
      <c r="A5" s="13" t="s">
        <v>71</v>
      </c>
      <c r="B5" s="14">
        <v>1327</v>
      </c>
      <c r="C5" s="35">
        <v>46140</v>
      </c>
      <c r="D5" s="15">
        <v>0</v>
      </c>
      <c r="E5" s="35"/>
      <c r="F5" s="15"/>
      <c r="G5" s="35"/>
      <c r="H5" s="15"/>
      <c r="I5" s="35"/>
    </row>
    <row r="6" spans="1:9" x14ac:dyDescent="0.2">
      <c r="A6" s="13" t="s">
        <v>72</v>
      </c>
      <c r="B6" s="13">
        <v>3190</v>
      </c>
      <c r="C6" s="35">
        <v>46140</v>
      </c>
      <c r="D6" s="13"/>
      <c r="E6" s="35"/>
      <c r="F6" s="13"/>
      <c r="G6" s="35"/>
      <c r="H6" s="13"/>
      <c r="I6" s="35"/>
    </row>
    <row r="7" spans="1:9" x14ac:dyDescent="0.2">
      <c r="A7" s="16"/>
      <c r="B7" s="13"/>
      <c r="C7" s="13"/>
      <c r="D7" s="13"/>
      <c r="E7" s="13"/>
      <c r="F7" s="13"/>
      <c r="G7" s="13"/>
      <c r="H7" s="13"/>
      <c r="I7" s="13"/>
    </row>
    <row r="8" spans="1:9" x14ac:dyDescent="0.2">
      <c r="A8" s="43" t="s">
        <v>73</v>
      </c>
      <c r="B8" s="38"/>
      <c r="C8" s="38"/>
      <c r="D8" s="38"/>
      <c r="E8" s="38"/>
      <c r="F8" s="38"/>
      <c r="G8" s="38"/>
      <c r="H8" s="38"/>
      <c r="I8" s="38"/>
    </row>
    <row r="9" spans="1:9" x14ac:dyDescent="0.2">
      <c r="A9" s="13" t="s">
        <v>74</v>
      </c>
      <c r="B9" s="11">
        <f>B5+D5+F5+H5</f>
        <v>1327</v>
      </c>
      <c r="C9" s="13"/>
      <c r="D9" s="13"/>
      <c r="E9" s="13"/>
      <c r="F9" s="13"/>
      <c r="G9" s="13"/>
      <c r="H9" s="13"/>
      <c r="I9" s="13"/>
    </row>
    <row r="10" spans="1:9" x14ac:dyDescent="0.2">
      <c r="A10" s="13" t="s">
        <v>75</v>
      </c>
      <c r="B10" s="10">
        <f>B6+D6+F6+H6</f>
        <v>3190</v>
      </c>
      <c r="C10" s="13"/>
      <c r="D10" s="13"/>
      <c r="E10" s="13"/>
      <c r="F10" s="13"/>
      <c r="G10" s="13"/>
      <c r="H10" s="13"/>
      <c r="I10" s="13"/>
    </row>
    <row r="11" spans="1:9" x14ac:dyDescent="0.2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2">
      <c r="A12" s="10" t="s">
        <v>76</v>
      </c>
      <c r="B12" s="13"/>
      <c r="C12" s="13"/>
      <c r="D12" s="13"/>
      <c r="E12" s="13"/>
      <c r="F12" s="13"/>
      <c r="G12" s="13"/>
      <c r="H12" s="13"/>
      <c r="I12" s="13"/>
    </row>
    <row r="13" spans="1:9" x14ac:dyDescent="0.2">
      <c r="A13" s="13" t="s">
        <v>77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">
      <c r="A14" s="13" t="s">
        <v>78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2">
      <c r="A15" s="13" t="s">
        <v>79</v>
      </c>
      <c r="B15" s="13"/>
      <c r="C15" s="13"/>
      <c r="D15" s="13"/>
      <c r="E15" s="13"/>
      <c r="F15" s="13"/>
      <c r="G15" s="13"/>
      <c r="H15" s="13"/>
      <c r="I15" s="13"/>
    </row>
  </sheetData>
  <mergeCells count="2">
    <mergeCell ref="A1:I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Productos</vt:lpstr>
      <vt:lpstr>Ventas</vt:lpstr>
      <vt:lpstr>Productos Vendidos</vt:lpstr>
      <vt:lpstr>Reparto</vt:lpstr>
      <vt:lpstr>Cómo usar</vt:lpstr>
      <vt:lpstr>Cortes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NUNEZ MORALES, LUIS FERNANDO</cp:lastModifiedBy>
  <dcterms:created xsi:type="dcterms:W3CDTF">2026-04-22T21:44:12Z</dcterms:created>
  <dcterms:modified xsi:type="dcterms:W3CDTF">2026-09-23T22:05:08Z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0x0101001BDBFCBB1E1A564480D77F2693ED8711</vt:lpwstr>
  </property>
</Properties>
</file>